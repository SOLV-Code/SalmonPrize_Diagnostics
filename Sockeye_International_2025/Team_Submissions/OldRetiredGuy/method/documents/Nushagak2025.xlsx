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13_ncr:1_{C1EB3B39-BE88-4A22-97C8-674D78211DEA}" xr6:coauthVersionLast="47" xr6:coauthVersionMax="47" xr10:uidLastSave="{00000000-0000-0000-0000-000000000000}"/>
  <bookViews>
    <workbookView xWindow="-120" yWindow="-120" windowWidth="29040" windowHeight="15720" activeTab="2" xr2:uid="{F2506C93-5B32-4D82-B9C1-43481305A108}"/>
  </bookViews>
  <sheets>
    <sheet name="Cors" sheetId="5" r:id="rId1"/>
    <sheet name="ENVIRO" sheetId="7" r:id="rId2"/>
    <sheet name="MAINPRED" sheetId="9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3" i="9" l="1"/>
  <c r="X171" i="9"/>
  <c r="N151" i="9"/>
  <c r="M151" i="9"/>
  <c r="L151" i="9"/>
  <c r="K151" i="9"/>
  <c r="J151" i="9"/>
  <c r="I151" i="9"/>
  <c r="H151" i="9"/>
  <c r="G151" i="9"/>
  <c r="F151" i="9"/>
  <c r="T149" i="9"/>
  <c r="S149" i="9"/>
  <c r="P149" i="9"/>
  <c r="T148" i="9"/>
  <c r="S148" i="9"/>
  <c r="P148" i="9"/>
  <c r="T147" i="9"/>
  <c r="S147" i="9"/>
  <c r="P147" i="9"/>
  <c r="T146" i="9"/>
  <c r="S146" i="9"/>
  <c r="P146" i="9"/>
  <c r="T145" i="9"/>
  <c r="S145" i="9"/>
  <c r="P145" i="9"/>
  <c r="T144" i="9"/>
  <c r="S144" i="9"/>
  <c r="P144" i="9"/>
  <c r="T143" i="9"/>
  <c r="S143" i="9"/>
  <c r="P143" i="9"/>
  <c r="T142" i="9"/>
  <c r="S142" i="9"/>
  <c r="P142" i="9"/>
  <c r="T141" i="9"/>
  <c r="S141" i="9"/>
  <c r="P141" i="9"/>
  <c r="T140" i="9"/>
  <c r="S140" i="9"/>
  <c r="P140" i="9"/>
  <c r="T139" i="9"/>
  <c r="S139" i="9"/>
  <c r="T138" i="9"/>
  <c r="S138" i="9"/>
  <c r="T137" i="9"/>
  <c r="S137" i="9"/>
  <c r="T136" i="9"/>
  <c r="S136" i="9"/>
  <c r="T135" i="9"/>
  <c r="S135" i="9"/>
  <c r="T134" i="9"/>
  <c r="S134" i="9"/>
  <c r="T133" i="9"/>
  <c r="S133" i="9"/>
  <c r="T132" i="9"/>
  <c r="S132" i="9"/>
  <c r="T131" i="9"/>
  <c r="S131" i="9"/>
  <c r="T130" i="9"/>
  <c r="S130" i="9"/>
  <c r="T129" i="9"/>
  <c r="S129" i="9"/>
  <c r="T128" i="9"/>
  <c r="S128" i="9"/>
  <c r="T127" i="9"/>
  <c r="S127" i="9"/>
  <c r="T126" i="9"/>
  <c r="S126" i="9"/>
  <c r="T125" i="9"/>
  <c r="S125" i="9"/>
  <c r="T124" i="9"/>
  <c r="S124" i="9"/>
  <c r="P84" i="9"/>
  <c r="S84" i="9" s="1"/>
  <c r="J65" i="9"/>
  <c r="L65" i="9" s="1"/>
  <c r="G65" i="9"/>
  <c r="D65" i="9"/>
  <c r="D64" i="9"/>
  <c r="E64" i="9" s="1"/>
  <c r="D63" i="9"/>
  <c r="D62" i="9"/>
  <c r="D61" i="9"/>
  <c r="I65" i="9" s="1"/>
  <c r="D60" i="9"/>
  <c r="E60" i="9" s="1"/>
  <c r="E59" i="9"/>
  <c r="D59" i="9"/>
  <c r="D58" i="9"/>
  <c r="D57" i="9"/>
  <c r="D56" i="9"/>
  <c r="D55" i="9"/>
  <c r="D54" i="9"/>
  <c r="D53" i="9"/>
  <c r="D52" i="9"/>
  <c r="D51" i="9"/>
  <c r="E51" i="9" s="1"/>
  <c r="D50" i="9"/>
  <c r="E49" i="9"/>
  <c r="D49" i="9"/>
  <c r="D48" i="9"/>
  <c r="D47" i="9"/>
  <c r="D46" i="9"/>
  <c r="E46" i="9" s="1"/>
  <c r="D45" i="9"/>
  <c r="D44" i="9"/>
  <c r="D43" i="9"/>
  <c r="D42" i="9"/>
  <c r="E42" i="9" s="1"/>
  <c r="D41" i="9"/>
  <c r="E41" i="9" s="1"/>
  <c r="D40" i="9"/>
  <c r="D39" i="9"/>
  <c r="D38" i="9"/>
  <c r="D37" i="9"/>
  <c r="D36" i="9"/>
  <c r="D35" i="9"/>
  <c r="E35" i="9" s="1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E21" i="9"/>
  <c r="D21" i="9"/>
  <c r="D20" i="9"/>
  <c r="D19" i="9"/>
  <c r="D18" i="9"/>
  <c r="D17" i="9"/>
  <c r="D16" i="9"/>
  <c r="D15" i="9"/>
  <c r="D14" i="9"/>
  <c r="D13" i="9"/>
  <c r="D12" i="9"/>
  <c r="D11" i="9"/>
  <c r="D10" i="9"/>
  <c r="E9" i="9"/>
  <c r="D9" i="9"/>
  <c r="D8" i="9"/>
  <c r="D7" i="9"/>
  <c r="D6" i="9"/>
  <c r="D5" i="9"/>
  <c r="D4" i="9"/>
  <c r="P40" i="7"/>
  <c r="O40" i="7"/>
  <c r="AC21" i="7"/>
  <c r="Y20" i="7"/>
  <c r="X20" i="7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G5" i="5"/>
  <c r="E8" i="9" l="1"/>
  <c r="E65" i="9"/>
  <c r="F65" i="9"/>
  <c r="E28" i="9"/>
  <c r="E13" i="9"/>
  <c r="E37" i="9"/>
  <c r="E33" i="9"/>
  <c r="H65" i="9"/>
  <c r="H152" i="9"/>
  <c r="E22" i="9"/>
  <c r="E29" i="9"/>
  <c r="E10" i="9"/>
  <c r="I152" i="9"/>
  <c r="E63" i="9"/>
  <c r="J152" i="9"/>
  <c r="E24" i="9"/>
  <c r="E45" i="9"/>
  <c r="E55" i="9"/>
  <c r="E19" i="9"/>
  <c r="E26" i="9"/>
  <c r="G152" i="9"/>
  <c r="S151" i="9"/>
  <c r="E58" i="9"/>
  <c r="K152" i="9"/>
  <c r="E7" i="9"/>
  <c r="E12" i="9"/>
  <c r="E18" i="9"/>
  <c r="E31" i="9"/>
  <c r="E25" i="9"/>
  <c r="E23" i="9"/>
  <c r="P153" i="9"/>
  <c r="P193" i="9" s="1"/>
  <c r="P151" i="9"/>
  <c r="P152" i="9" s="1"/>
  <c r="E16" i="9"/>
  <c r="E62" i="9"/>
  <c r="E11" i="9"/>
  <c r="E17" i="9"/>
  <c r="E20" i="9"/>
  <c r="E43" i="9"/>
  <c r="L152" i="9"/>
  <c r="E5" i="9"/>
  <c r="E30" i="9"/>
  <c r="E34" i="9"/>
  <c r="M152" i="9"/>
  <c r="E27" i="9"/>
  <c r="E39" i="9"/>
  <c r="E54" i="9"/>
  <c r="N152" i="9"/>
  <c r="E15" i="9"/>
  <c r="E6" i="9"/>
  <c r="E14" i="9"/>
  <c r="E32" i="9"/>
  <c r="E48" i="9"/>
  <c r="E56" i="9"/>
  <c r="E52" i="9"/>
  <c r="E36" i="9"/>
  <c r="E57" i="9"/>
  <c r="E40" i="9"/>
  <c r="E61" i="9"/>
  <c r="E53" i="9"/>
  <c r="E50" i="9"/>
  <c r="E47" i="9"/>
  <c r="E44" i="9"/>
  <c r="E38" i="9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G4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K65" i="9" l="1"/>
</calcChain>
</file>

<file path=xl/sharedStrings.xml><?xml version="1.0" encoding="utf-8"?>
<sst xmlns="http://schemas.openxmlformats.org/spreadsheetml/2006/main" count="207" uniqueCount="81">
  <si>
    <t>INSERT</t>
  </si>
  <si>
    <t>TIME SERIES</t>
  </si>
  <si>
    <t>DATE</t>
  </si>
  <si>
    <t>MONTH</t>
  </si>
  <si>
    <t>PRCOMP1</t>
  </si>
  <si>
    <t>DATA</t>
  </si>
  <si>
    <t>CORR-&gt;</t>
  </si>
  <si>
    <t>TIME</t>
  </si>
  <si>
    <t>PRC1 for MONTHS PREVIOUS</t>
  </si>
  <si>
    <t>Nushagak</t>
  </si>
  <si>
    <t>blue is before 1999, red is after 1999--major change in pattern</t>
  </si>
  <si>
    <t>ln run  vs PC1 all years</t>
  </si>
  <si>
    <t>correlation of -0.4 at T-30 might be useful</t>
  </si>
  <si>
    <t>The 2025 value of PC1(T-30) is</t>
  </si>
  <si>
    <t>which gives</t>
  </si>
  <si>
    <t>predicted run for 2025</t>
  </si>
  <si>
    <t>much lower than official 10.58m</t>
  </si>
  <si>
    <t>thePC1 prediction would have been even lower for 2024!</t>
  </si>
  <si>
    <t>ln 1.1s have a stong negative cor at T-25</t>
  </si>
  <si>
    <t>extreme upper right point was 2024! But 1.2s pooped out, so extra 1.1s helped a lot</t>
  </si>
  <si>
    <t xml:space="preserve">PC1(-25) for 2024 is </t>
  </si>
  <si>
    <t>fairly ordinary</t>
  </si>
  <si>
    <t xml:space="preserve">pred for 2025 is </t>
  </si>
  <si>
    <t>Case:</t>
  </si>
  <si>
    <t>observations</t>
  </si>
  <si>
    <t>Year</t>
  </si>
  <si>
    <t>Xt</t>
  </si>
  <si>
    <t>ln Rects</t>
  </si>
  <si>
    <t>deltaLnR</t>
  </si>
  <si>
    <t>Comments</t>
  </si>
  <si>
    <t>2015 and 2016 seems to show no special relationship, suggesting no substantial El Nino effect.</t>
  </si>
  <si>
    <t>Trend since 2006 (linearized logs) gives 2024 value of</t>
  </si>
  <si>
    <t>which antilogs to</t>
  </si>
  <si>
    <t>System</t>
  </si>
  <si>
    <t>River</t>
  </si>
  <si>
    <t>ReturnYear</t>
  </si>
  <si>
    <t>Total_Returns</t>
  </si>
  <si>
    <t>AC_1.1</t>
  </si>
  <si>
    <t>AC_1.2</t>
  </si>
  <si>
    <t>AC_1.3</t>
  </si>
  <si>
    <t>AC_1.4</t>
  </si>
  <si>
    <t>AC_2.1</t>
  </si>
  <si>
    <t>AC_2.2</t>
  </si>
  <si>
    <t>AC_2.3</t>
  </si>
  <si>
    <t>AC_2.4</t>
  </si>
  <si>
    <t>Bristol Bay</t>
  </si>
  <si>
    <t>ln 1.2s</t>
  </si>
  <si>
    <t>other</t>
  </si>
  <si>
    <t>from PC1</t>
  </si>
  <si>
    <t>total</t>
  </si>
  <si>
    <t>last year's offical pred was</t>
  </si>
  <si>
    <t>3.5m</t>
  </si>
  <si>
    <t>came in almost double, starting to form a possible 2-high, 2-low pattern</t>
  </si>
  <si>
    <t>actual was</t>
  </si>
  <si>
    <t>my prediction was not bad, but maybe lucky</t>
  </si>
  <si>
    <t>ln run</t>
  </si>
  <si>
    <t>sum other than 1.3s</t>
  </si>
  <si>
    <t>recent average</t>
  </si>
  <si>
    <t>sum other</t>
  </si>
  <si>
    <t>percentage</t>
  </si>
  <si>
    <t>geom mean</t>
  </si>
  <si>
    <t>discounts very high values</t>
  </si>
  <si>
    <t>almost entirely 1.2 and 1.3s</t>
  </si>
  <si>
    <t>2.2s and 2.3s are increasing, but still not much yet</t>
  </si>
  <si>
    <t>my prediction</t>
  </si>
  <si>
    <t>official</t>
  </si>
  <si>
    <t>2.23m</t>
  </si>
  <si>
    <t>mine is 1/10 this!</t>
  </si>
  <si>
    <t>from reg on 1.2s</t>
  </si>
  <si>
    <t>8.15m</t>
  </si>
  <si>
    <t>average other</t>
  </si>
  <si>
    <t>0.18m</t>
  </si>
  <si>
    <t>useful predicitive regression</t>
  </si>
  <si>
    <t>10.58m</t>
  </si>
  <si>
    <t xml:space="preserve">2025 pred is </t>
  </si>
  <si>
    <t>compares with official pred of 10.58m</t>
  </si>
  <si>
    <t>since 2015</t>
  </si>
  <si>
    <t>1.1s do not predict 1.2s</t>
  </si>
  <si>
    <t>add in "other" to get</t>
  </si>
  <si>
    <t>pred 2025 is</t>
  </si>
  <si>
    <t>almost the same as the official 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</si>
</sst>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1" fontId="0" fillId="0" borderId="0" xfId="0" applyNumberFormat="1"/>
    <xf numFmtId="0" fontId="0" fillId="0" borderId="2" xfId="0" applyBorder="1"/>
    <xf numFmtId="1" fontId="0" fillId="0" borderId="2" xfId="0" applyNumberFormat="1" applyBorder="1"/>
    <xf numFmtId="165" fontId="0" fillId="0" borderId="0" xfId="1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0" xfId="0" quotePrefix="1" applyNumberFormat="1"/>
    <xf numFmtId="1" fontId="0" fillId="0" borderId="2" xfId="0" quotePrefix="1" applyNumberFormat="1" applyBorder="1"/>
    <xf numFmtId="1" fontId="1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-0.1426386713229052</c:v>
                </c:pt>
                <c:pt idx="1">
                  <c:v>-4.7885932874499458E-2</c:v>
                </c:pt>
                <c:pt idx="2">
                  <c:v>-0.16560200614885698</c:v>
                </c:pt>
                <c:pt idx="3">
                  <c:v>-8.5753427807349208E-2</c:v>
                </c:pt>
                <c:pt idx="4">
                  <c:v>0.14355754849563843</c:v>
                </c:pt>
                <c:pt idx="5">
                  <c:v>-9.2267477157916208E-2</c:v>
                </c:pt>
                <c:pt idx="6">
                  <c:v>-5.9064527905523356E-2</c:v>
                </c:pt>
                <c:pt idx="7">
                  <c:v>0.12943949713068273</c:v>
                </c:pt>
                <c:pt idx="8">
                  <c:v>8.5800796931099294E-2</c:v>
                </c:pt>
                <c:pt idx="9">
                  <c:v>8.6964527485138526E-2</c:v>
                </c:pt>
                <c:pt idx="10">
                  <c:v>0.10385985766838872</c:v>
                </c:pt>
                <c:pt idx="11">
                  <c:v>2.7010345779196535E-2</c:v>
                </c:pt>
                <c:pt idx="12">
                  <c:v>0.18265566188650384</c:v>
                </c:pt>
                <c:pt idx="13">
                  <c:v>0.25390802548993702</c:v>
                </c:pt>
                <c:pt idx="14">
                  <c:v>0.10540307785107686</c:v>
                </c:pt>
                <c:pt idx="15">
                  <c:v>0.1269090463021294</c:v>
                </c:pt>
                <c:pt idx="16">
                  <c:v>-0.15542470539614542</c:v>
                </c:pt>
                <c:pt idx="17">
                  <c:v>0.29778104242712766</c:v>
                </c:pt>
                <c:pt idx="18">
                  <c:v>-6.8762279174610979E-3</c:v>
                </c:pt>
                <c:pt idx="19">
                  <c:v>5.0160793239906749E-2</c:v>
                </c:pt>
                <c:pt idx="20">
                  <c:v>0.15055595123765098</c:v>
                </c:pt>
                <c:pt idx="21">
                  <c:v>0.18453514895597276</c:v>
                </c:pt>
                <c:pt idx="22">
                  <c:v>0.37275890164119974</c:v>
                </c:pt>
                <c:pt idx="23">
                  <c:v>0.55315779348560046</c:v>
                </c:pt>
                <c:pt idx="24">
                  <c:v>0.36904247938451618</c:v>
                </c:pt>
                <c:pt idx="25">
                  <c:v>0.28393628021704426</c:v>
                </c:pt>
                <c:pt idx="26">
                  <c:v>0.18676436328287885</c:v>
                </c:pt>
                <c:pt idx="27">
                  <c:v>0.15191831250542831</c:v>
                </c:pt>
                <c:pt idx="28">
                  <c:v>0.14383834839089782</c:v>
                </c:pt>
                <c:pt idx="29">
                  <c:v>0.28718140022517585</c:v>
                </c:pt>
                <c:pt idx="30">
                  <c:v>0.11107192131889612</c:v>
                </c:pt>
                <c:pt idx="31">
                  <c:v>5.8093075627979142E-2</c:v>
                </c:pt>
                <c:pt idx="32">
                  <c:v>8.1489231873458259E-2</c:v>
                </c:pt>
                <c:pt idx="33">
                  <c:v>-8.8011692752814757E-2</c:v>
                </c:pt>
                <c:pt idx="34">
                  <c:v>6.0025480761180798E-2</c:v>
                </c:pt>
                <c:pt idx="35">
                  <c:v>0.17058495888929343</c:v>
                </c:pt>
                <c:pt idx="36">
                  <c:v>-0.12255420795739469</c:v>
                </c:pt>
                <c:pt idx="37">
                  <c:v>-7.8712438987595335E-2</c:v>
                </c:pt>
                <c:pt idx="38">
                  <c:v>-0.1661997553269797</c:v>
                </c:pt>
                <c:pt idx="39">
                  <c:v>7.3364727820403874E-2</c:v>
                </c:pt>
                <c:pt idx="40">
                  <c:v>0.13745300607992095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B-464D-8D48-6B9340721D4C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Cors!$G$4:$AU$4</c:f>
              <c:numCache>
                <c:formatCode>General</c:formatCode>
                <c:ptCount val="41"/>
                <c:pt idx="0">
                  <c:v>-0.15704651941813616</c:v>
                </c:pt>
                <c:pt idx="1">
                  <c:v>-0.1581839703463726</c:v>
                </c:pt>
                <c:pt idx="2">
                  <c:v>5.8469716692830263E-2</c:v>
                </c:pt>
                <c:pt idx="3">
                  <c:v>-1.0716399913283312E-2</c:v>
                </c:pt>
                <c:pt idx="4">
                  <c:v>-0.10956290883001597</c:v>
                </c:pt>
                <c:pt idx="5">
                  <c:v>-9.526765784074652E-2</c:v>
                </c:pt>
                <c:pt idx="6">
                  <c:v>-1.0482747011461487E-2</c:v>
                </c:pt>
                <c:pt idx="7">
                  <c:v>-8.8926415560615021E-2</c:v>
                </c:pt>
                <c:pt idx="8">
                  <c:v>-0.11199655318234866</c:v>
                </c:pt>
                <c:pt idx="9">
                  <c:v>-0.22174219175620871</c:v>
                </c:pt>
                <c:pt idx="10">
                  <c:v>-0.13503763127814009</c:v>
                </c:pt>
                <c:pt idx="11">
                  <c:v>-0.24444730986876942</c:v>
                </c:pt>
                <c:pt idx="12">
                  <c:v>-0.21368284526824063</c:v>
                </c:pt>
                <c:pt idx="13">
                  <c:v>-0.18007939695300768</c:v>
                </c:pt>
                <c:pt idx="14">
                  <c:v>0.17509146559144539</c:v>
                </c:pt>
                <c:pt idx="15">
                  <c:v>2.2992379571420123E-2</c:v>
                </c:pt>
                <c:pt idx="16">
                  <c:v>6.507307853159755E-2</c:v>
                </c:pt>
                <c:pt idx="17">
                  <c:v>-6.8561030988310845E-2</c:v>
                </c:pt>
                <c:pt idx="18">
                  <c:v>5.3213156454766279E-3</c:v>
                </c:pt>
                <c:pt idx="19">
                  <c:v>-7.6274053400301287E-2</c:v>
                </c:pt>
                <c:pt idx="20">
                  <c:v>-5.698854946634193E-2</c:v>
                </c:pt>
                <c:pt idx="21">
                  <c:v>-0.15456082231933704</c:v>
                </c:pt>
                <c:pt idx="22">
                  <c:v>-0.14530288080617973</c:v>
                </c:pt>
                <c:pt idx="23">
                  <c:v>-0.13259077588074969</c:v>
                </c:pt>
                <c:pt idx="24">
                  <c:v>-0.30242258121786775</c:v>
                </c:pt>
                <c:pt idx="25">
                  <c:v>-0.33956239370039865</c:v>
                </c:pt>
                <c:pt idx="26">
                  <c:v>-0.16666366957030945</c:v>
                </c:pt>
                <c:pt idx="27">
                  <c:v>-0.11781154140511754</c:v>
                </c:pt>
                <c:pt idx="28">
                  <c:v>-0.29082294327092884</c:v>
                </c:pt>
                <c:pt idx="29">
                  <c:v>-0.41014115970479664</c:v>
                </c:pt>
                <c:pt idx="30">
                  <c:v>-0.39818320191379503</c:v>
                </c:pt>
                <c:pt idx="31">
                  <c:v>-0.42537211045727463</c:v>
                </c:pt>
                <c:pt idx="32">
                  <c:v>-0.35405498069779562</c:v>
                </c:pt>
                <c:pt idx="33">
                  <c:v>-0.38067905270249108</c:v>
                </c:pt>
                <c:pt idx="34">
                  <c:v>-0.33818889878928826</c:v>
                </c:pt>
                <c:pt idx="35">
                  <c:v>-0.32400941189263627</c:v>
                </c:pt>
                <c:pt idx="36">
                  <c:v>-0.33752730069057502</c:v>
                </c:pt>
                <c:pt idx="37">
                  <c:v>-0.32001036325553656</c:v>
                </c:pt>
                <c:pt idx="38">
                  <c:v>-0.21617735121369941</c:v>
                </c:pt>
                <c:pt idx="39">
                  <c:v>-0.11533258914148881</c:v>
                </c:pt>
                <c:pt idx="40">
                  <c:v>-0.27486887072278182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E-4B16-9AA6-1221DB6C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 1.2 vs PC1(T-25) since 1999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525721784776903"/>
                  <c:y val="-0.44542322834645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Cors!$AF$27:$AF$52</c:f>
              <c:numCache>
                <c:formatCode>0.000</c:formatCode>
                <c:ptCount val="26"/>
                <c:pt idx="0">
                  <c:v>-9.7373376630768144E-2</c:v>
                </c:pt>
                <c:pt idx="1">
                  <c:v>-0.67479155132076152</c:v>
                </c:pt>
                <c:pt idx="2">
                  <c:v>4.2750099174692346</c:v>
                </c:pt>
                <c:pt idx="3">
                  <c:v>3.0903652242692421</c:v>
                </c:pt>
                <c:pt idx="4">
                  <c:v>3.2092950798692228</c:v>
                </c:pt>
                <c:pt idx="5">
                  <c:v>3.0384176178892228</c:v>
                </c:pt>
                <c:pt idx="6">
                  <c:v>1.3477316226692384</c:v>
                </c:pt>
                <c:pt idx="7">
                  <c:v>0.59094081723922087</c:v>
                </c:pt>
                <c:pt idx="8">
                  <c:v>0.29846351686923395</c:v>
                </c:pt>
                <c:pt idx="9">
                  <c:v>2.2926456901192314</c:v>
                </c:pt>
                <c:pt idx="10">
                  <c:v>0.91576861426923528</c:v>
                </c:pt>
                <c:pt idx="11">
                  <c:v>4.3037038856692229</c:v>
                </c:pt>
                <c:pt idx="12">
                  <c:v>3.3982535946892316</c:v>
                </c:pt>
                <c:pt idx="13">
                  <c:v>1.1052457697692384</c:v>
                </c:pt>
                <c:pt idx="14">
                  <c:v>3.7169376469992383</c:v>
                </c:pt>
                <c:pt idx="15">
                  <c:v>2.7316463550692207</c:v>
                </c:pt>
                <c:pt idx="16">
                  <c:v>2.4413346113592227</c:v>
                </c:pt>
                <c:pt idx="17">
                  <c:v>0.41214923718922075</c:v>
                </c:pt>
                <c:pt idx="18">
                  <c:v>0.45460829456923418</c:v>
                </c:pt>
                <c:pt idx="19">
                  <c:v>-1.9728460609507639</c:v>
                </c:pt>
                <c:pt idx="20">
                  <c:v>0.2263728185012383</c:v>
                </c:pt>
                <c:pt idx="21">
                  <c:v>2.057989922469234</c:v>
                </c:pt>
                <c:pt idx="22">
                  <c:v>-0.47616772613075503</c:v>
                </c:pt>
                <c:pt idx="23">
                  <c:v>1.418113753069234</c:v>
                </c:pt>
                <c:pt idx="24">
                  <c:v>3.4358862912692407</c:v>
                </c:pt>
                <c:pt idx="25">
                  <c:v>3.738704460969243</c:v>
                </c:pt>
              </c:numCache>
            </c:numRef>
          </c:xVal>
          <c:yVal>
            <c:numRef>
              <c:f>Cors!$D$27:$D$52</c:f>
              <c:numCache>
                <c:formatCode>General</c:formatCode>
                <c:ptCount val="26"/>
                <c:pt idx="0">
                  <c:v>13.021010478000681</c:v>
                </c:pt>
                <c:pt idx="1">
                  <c:v>14.111620736259018</c:v>
                </c:pt>
                <c:pt idx="2">
                  <c:v>14.554483946545496</c:v>
                </c:pt>
                <c:pt idx="3">
                  <c:v>13.447030557545556</c:v>
                </c:pt>
                <c:pt idx="4">
                  <c:v>14.694996121473876</c:v>
                </c:pt>
                <c:pt idx="5">
                  <c:v>14.539423153314031</c:v>
                </c:pt>
                <c:pt idx="6">
                  <c:v>15.116512872941898</c:v>
                </c:pt>
                <c:pt idx="7">
                  <c:v>14.820480907121938</c:v>
                </c:pt>
                <c:pt idx="8">
                  <c:v>14.719511318850405</c:v>
                </c:pt>
                <c:pt idx="9">
                  <c:v>14.462342826244829</c:v>
                </c:pt>
                <c:pt idx="10">
                  <c:v>14.546794098269173</c:v>
                </c:pt>
                <c:pt idx="11">
                  <c:v>14.003027478841815</c:v>
                </c:pt>
                <c:pt idx="12">
                  <c:v>13.970583790782056</c:v>
                </c:pt>
                <c:pt idx="13">
                  <c:v>13.853007708122393</c:v>
                </c:pt>
                <c:pt idx="14">
                  <c:v>14.513749117387755</c:v>
                </c:pt>
                <c:pt idx="15">
                  <c:v>14.228182101344947</c:v>
                </c:pt>
                <c:pt idx="16">
                  <c:v>14.722098448638842</c:v>
                </c:pt>
                <c:pt idx="17">
                  <c:v>14.761619206466506</c:v>
                </c:pt>
                <c:pt idx="18">
                  <c:v>15.919567682793399</c:v>
                </c:pt>
                <c:pt idx="19">
                  <c:v>16.077500602953549</c:v>
                </c:pt>
                <c:pt idx="20">
                  <c:v>15.275658374921177</c:v>
                </c:pt>
                <c:pt idx="21">
                  <c:v>15.103507429529712</c:v>
                </c:pt>
                <c:pt idx="22">
                  <c:v>16.528467941513568</c:v>
                </c:pt>
                <c:pt idx="23">
                  <c:v>16.608731541774308</c:v>
                </c:pt>
                <c:pt idx="24">
                  <c:v>15.510872942421829</c:v>
                </c:pt>
                <c:pt idx="25">
                  <c:v>15.543448537437959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2-496F-BDF9-6D3B504FB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0143"/>
        <c:axId val="48548223"/>
      </c:scatterChart>
      <c:valAx>
        <c:axId val="485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223"/>
        <c:crosses val="autoZero"/>
        <c:crossBetween val="midCat"/>
      </c:valAx>
      <c:valAx>
        <c:axId val="4854822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[4]Nushagak!$B$4:$B$65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[4]Nushagak!$C$4:$C$65</c:f>
              <c:numCache>
                <c:formatCode>General</c:formatCode>
                <c:ptCount val="62"/>
                <c:pt idx="0">
                  <c:v>452397.67238070199</c:v>
                </c:pt>
                <c:pt idx="1">
                  <c:v>266354.87932629301</c:v>
                </c:pt>
                <c:pt idx="2">
                  <c:v>582186.38175109995</c:v>
                </c:pt>
                <c:pt idx="3">
                  <c:v>411584.841952699</c:v>
                </c:pt>
                <c:pt idx="4">
                  <c:v>139628.992517509</c:v>
                </c:pt>
                <c:pt idx="5">
                  <c:v>218458.35349097199</c:v>
                </c:pt>
                <c:pt idx="6">
                  <c:v>184391.56511800201</c:v>
                </c:pt>
                <c:pt idx="7">
                  <c:v>865759.51452200301</c:v>
                </c:pt>
                <c:pt idx="8">
                  <c:v>674291.30569474096</c:v>
                </c:pt>
                <c:pt idx="9">
                  <c:v>87174.071279004405</c:v>
                </c:pt>
                <c:pt idx="10">
                  <c:v>417125.00630487199</c:v>
                </c:pt>
                <c:pt idx="11">
                  <c:v>252194.81313950001</c:v>
                </c:pt>
                <c:pt idx="12">
                  <c:v>1053797.80249506</c:v>
                </c:pt>
                <c:pt idx="13">
                  <c:v>1083587.2499889999</c:v>
                </c:pt>
                <c:pt idx="14">
                  <c:v>1096783.00508178</c:v>
                </c:pt>
                <c:pt idx="15">
                  <c:v>1431831.6691958101</c:v>
                </c:pt>
                <c:pt idx="16">
                  <c:v>1048799.625697</c:v>
                </c:pt>
                <c:pt idx="17">
                  <c:v>5389939.1686600102</c:v>
                </c:pt>
                <c:pt idx="18">
                  <c:v>3875793.5675440198</c:v>
                </c:pt>
                <c:pt idx="19">
                  <c:v>4067177.59369</c:v>
                </c:pt>
                <c:pt idx="20">
                  <c:v>2159923.6034260499</c:v>
                </c:pt>
                <c:pt idx="21">
                  <c:v>1340820.43460019</c:v>
                </c:pt>
                <c:pt idx="22">
                  <c:v>995643.31304500601</c:v>
                </c:pt>
                <c:pt idx="23">
                  <c:v>2379337.92782629</c:v>
                </c:pt>
                <c:pt idx="24">
                  <c:v>1380199.9306511499</c:v>
                </c:pt>
                <c:pt idx="25">
                  <c:v>1090076.2271219001</c:v>
                </c:pt>
                <c:pt idx="26">
                  <c:v>1190738.0608089999</c:v>
                </c:pt>
                <c:pt idx="27">
                  <c:v>1804526.2550560001</c:v>
                </c:pt>
                <c:pt idx="28">
                  <c:v>1628966.6272400001</c:v>
                </c:pt>
                <c:pt idx="29">
                  <c:v>1888874.1738100101</c:v>
                </c:pt>
                <c:pt idx="30">
                  <c:v>2580049.1320489999</c:v>
                </c:pt>
                <c:pt idx="31">
                  <c:v>1436463.3012576001</c:v>
                </c:pt>
                <c:pt idx="32">
                  <c:v>810994.88793319999</c:v>
                </c:pt>
                <c:pt idx="33">
                  <c:v>1623168.6566339999</c:v>
                </c:pt>
                <c:pt idx="34">
                  <c:v>817646.87294084299</c:v>
                </c:pt>
                <c:pt idx="35">
                  <c:v>991559.91843840899</c:v>
                </c:pt>
                <c:pt idx="36">
                  <c:v>451807.04586900101</c:v>
                </c:pt>
                <c:pt idx="37">
                  <c:v>1344618.296422</c:v>
                </c:pt>
                <c:pt idx="38">
                  <c:v>2093784.9072700101</c:v>
                </c:pt>
                <c:pt idx="39">
                  <c:v>691785.04487100104</c:v>
                </c:pt>
                <c:pt idx="40">
                  <c:v>2409659.7705950001</c:v>
                </c:pt>
                <c:pt idx="41">
                  <c:v>2062487.1220440101</c:v>
                </c:pt>
                <c:pt idx="42">
                  <c:v>3672976.3023950099</c:v>
                </c:pt>
                <c:pt idx="43">
                  <c:v>2731826.2706749998</c:v>
                </c:pt>
                <c:pt idx="44">
                  <c:v>2469463.1056679999</c:v>
                </c:pt>
                <c:pt idx="45">
                  <c:v>1909482.5102003</c:v>
                </c:pt>
                <c:pt idx="46">
                  <c:v>2077745.7673239999</c:v>
                </c:pt>
                <c:pt idx="47">
                  <c:v>1206250.660068</c:v>
                </c:pt>
                <c:pt idx="48">
                  <c:v>1167743.4751190001</c:v>
                </c:pt>
                <c:pt idx="49">
                  <c:v>1038209.03834601</c:v>
                </c:pt>
                <c:pt idx="50">
                  <c:v>2010208.723915</c:v>
                </c:pt>
                <c:pt idx="51">
                  <c:v>1510848.6961719999</c:v>
                </c:pt>
                <c:pt idx="52">
                  <c:v>2475860.1987170102</c:v>
                </c:pt>
                <c:pt idx="53">
                  <c:v>2575667.3059958802</c:v>
                </c:pt>
                <c:pt idx="54">
                  <c:v>8199368.3829100002</c:v>
                </c:pt>
                <c:pt idx="55">
                  <c:v>9602178.9337900206</c:v>
                </c:pt>
                <c:pt idx="56">
                  <c:v>4306596.0692238398</c:v>
                </c:pt>
                <c:pt idx="57">
                  <c:v>3625516.9011630001</c:v>
                </c:pt>
                <c:pt idx="58">
                  <c:v>15073788.6357836</c:v>
                </c:pt>
                <c:pt idx="59">
                  <c:v>16333545.2493775</c:v>
                </c:pt>
                <c:pt idx="60">
                  <c:v>5448620.1027331697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E-4213-B985-223215A2946F}"/>
            </c:ext>
          </c:extLst>
        </c:ser>
        <c:ser>
          <c:idx val="1"/>
          <c:order val="1"/>
          <c:xVal>
            <c:numRef>
              <c:f>[3]Nushagak!$B$65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[3]Nushagak!$C$65</c:f>
              <c:numCache>
                <c:formatCode>General</c:formatCode>
                <c:ptCount val="1"/>
                <c:pt idx="0">
                  <c:v>5629034.7478780597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1E-4213-B985-223215A2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57856"/>
        <c:axId val="233951616"/>
      </c:scatterChart>
      <c:valAx>
        <c:axId val="210057856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3951616"/>
        <c:crosses val="autoZero"/>
        <c:crossBetween val="midCat"/>
      </c:valAx>
      <c:valAx>
        <c:axId val="23395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057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[4]Nushagak!$B$4:$B$65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[4]Nushagak!$C$4:$C$65</c:f>
              <c:numCache>
                <c:formatCode>General</c:formatCode>
                <c:ptCount val="62"/>
                <c:pt idx="0">
                  <c:v>452397.67238070199</c:v>
                </c:pt>
                <c:pt idx="1">
                  <c:v>266354.87932629301</c:v>
                </c:pt>
                <c:pt idx="2">
                  <c:v>582186.38175109995</c:v>
                </c:pt>
                <c:pt idx="3">
                  <c:v>411584.841952699</c:v>
                </c:pt>
                <c:pt idx="4">
                  <c:v>139628.992517509</c:v>
                </c:pt>
                <c:pt idx="5">
                  <c:v>218458.35349097199</c:v>
                </c:pt>
                <c:pt idx="6">
                  <c:v>184391.56511800201</c:v>
                </c:pt>
                <c:pt idx="7">
                  <c:v>865759.51452200301</c:v>
                </c:pt>
                <c:pt idx="8">
                  <c:v>674291.30569474096</c:v>
                </c:pt>
                <c:pt idx="9">
                  <c:v>87174.071279004405</c:v>
                </c:pt>
                <c:pt idx="10">
                  <c:v>417125.00630487199</c:v>
                </c:pt>
                <c:pt idx="11">
                  <c:v>252194.81313950001</c:v>
                </c:pt>
                <c:pt idx="12">
                  <c:v>1053797.80249506</c:v>
                </c:pt>
                <c:pt idx="13">
                  <c:v>1083587.2499889999</c:v>
                </c:pt>
                <c:pt idx="14">
                  <c:v>1096783.00508178</c:v>
                </c:pt>
                <c:pt idx="15">
                  <c:v>1431831.6691958101</c:v>
                </c:pt>
                <c:pt idx="16">
                  <c:v>1048799.625697</c:v>
                </c:pt>
                <c:pt idx="17">
                  <c:v>5389939.1686600102</c:v>
                </c:pt>
                <c:pt idx="18">
                  <c:v>3875793.5675440198</c:v>
                </c:pt>
                <c:pt idx="19">
                  <c:v>4067177.59369</c:v>
                </c:pt>
                <c:pt idx="20">
                  <c:v>2159923.6034260499</c:v>
                </c:pt>
                <c:pt idx="21">
                  <c:v>1340820.43460019</c:v>
                </c:pt>
                <c:pt idx="22">
                  <c:v>995643.31304500601</c:v>
                </c:pt>
                <c:pt idx="23">
                  <c:v>2379337.92782629</c:v>
                </c:pt>
                <c:pt idx="24">
                  <c:v>1380199.9306511499</c:v>
                </c:pt>
                <c:pt idx="25">
                  <c:v>1090076.2271219001</c:v>
                </c:pt>
                <c:pt idx="26">
                  <c:v>1190738.0608089999</c:v>
                </c:pt>
                <c:pt idx="27">
                  <c:v>1804526.2550560001</c:v>
                </c:pt>
                <c:pt idx="28">
                  <c:v>1628966.6272400001</c:v>
                </c:pt>
                <c:pt idx="29">
                  <c:v>1888874.1738100101</c:v>
                </c:pt>
                <c:pt idx="30">
                  <c:v>2580049.1320489999</c:v>
                </c:pt>
                <c:pt idx="31">
                  <c:v>1436463.3012576001</c:v>
                </c:pt>
                <c:pt idx="32">
                  <c:v>810994.88793319999</c:v>
                </c:pt>
                <c:pt idx="33">
                  <c:v>1623168.6566339999</c:v>
                </c:pt>
                <c:pt idx="34">
                  <c:v>817646.87294084299</c:v>
                </c:pt>
                <c:pt idx="35">
                  <c:v>991559.91843840899</c:v>
                </c:pt>
                <c:pt idx="36">
                  <c:v>451807.04586900101</c:v>
                </c:pt>
                <c:pt idx="37">
                  <c:v>1344618.296422</c:v>
                </c:pt>
                <c:pt idx="38">
                  <c:v>2093784.9072700101</c:v>
                </c:pt>
                <c:pt idx="39">
                  <c:v>691785.04487100104</c:v>
                </c:pt>
                <c:pt idx="40">
                  <c:v>2409659.7705950001</c:v>
                </c:pt>
                <c:pt idx="41">
                  <c:v>2062487.1220440101</c:v>
                </c:pt>
                <c:pt idx="42">
                  <c:v>3672976.3023950099</c:v>
                </c:pt>
                <c:pt idx="43">
                  <c:v>2731826.2706749998</c:v>
                </c:pt>
                <c:pt idx="44">
                  <c:v>2469463.1056679999</c:v>
                </c:pt>
                <c:pt idx="45">
                  <c:v>1909482.5102003</c:v>
                </c:pt>
                <c:pt idx="46">
                  <c:v>2077745.7673239999</c:v>
                </c:pt>
                <c:pt idx="47">
                  <c:v>1206250.660068</c:v>
                </c:pt>
                <c:pt idx="48">
                  <c:v>1167743.4751190001</c:v>
                </c:pt>
                <c:pt idx="49">
                  <c:v>1038209.03834601</c:v>
                </c:pt>
                <c:pt idx="50">
                  <c:v>2010208.723915</c:v>
                </c:pt>
                <c:pt idx="51">
                  <c:v>1510848.6961719999</c:v>
                </c:pt>
                <c:pt idx="52">
                  <c:v>2475860.1987170102</c:v>
                </c:pt>
                <c:pt idx="53">
                  <c:v>2575667.3059958802</c:v>
                </c:pt>
                <c:pt idx="54">
                  <c:v>8199368.3829100002</c:v>
                </c:pt>
                <c:pt idx="55">
                  <c:v>9602178.9337900206</c:v>
                </c:pt>
                <c:pt idx="56">
                  <c:v>4306596.0692238398</c:v>
                </c:pt>
                <c:pt idx="57">
                  <c:v>3625516.9011630001</c:v>
                </c:pt>
                <c:pt idx="58">
                  <c:v>15073788.6357836</c:v>
                </c:pt>
                <c:pt idx="59">
                  <c:v>16333545.2493775</c:v>
                </c:pt>
                <c:pt idx="60">
                  <c:v>5448620.1027331697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6-483F-83FA-8CF4FD1113FF}"/>
            </c:ext>
          </c:extLst>
        </c:ser>
        <c:ser>
          <c:idx val="1"/>
          <c:order val="1"/>
          <c:xVal>
            <c:numRef>
              <c:f>[3]Nushagak!$B$65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[3]Nushagak!$C$65</c:f>
              <c:numCache>
                <c:formatCode>General</c:formatCode>
                <c:ptCount val="1"/>
                <c:pt idx="0">
                  <c:v>5629034.7478780597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6-483F-83FA-8CF4FD111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808640"/>
        <c:axId val="233810176"/>
      </c:scatterChart>
      <c:valAx>
        <c:axId val="233808640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3810176"/>
        <c:crosses val="autoZero"/>
        <c:crossBetween val="midCat"/>
      </c:valAx>
      <c:valAx>
        <c:axId val="233810176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808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Nushagak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3.3440092496476524E-2"/>
                  <c:y val="0.42569626713327502"/>
                </c:manualLayout>
              </c:layout>
              <c:numFmt formatCode="General" sourceLinked="0"/>
            </c:trendlineLbl>
          </c:trendline>
          <c:xVal>
            <c:numRef>
              <c:f>[4]Nushagak!$B$40:$B$64</c:f>
              <c:numCache>
                <c:formatCode>General</c:formatCode>
                <c:ptCount val="25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</c:numCache>
            </c:numRef>
          </c:xVal>
          <c:yVal>
            <c:numRef>
              <c:f>[4]Nushagak!$D$40:$D$65</c:f>
              <c:numCache>
                <c:formatCode>General</c:formatCode>
                <c:ptCount val="26"/>
                <c:pt idx="0">
                  <c:v>13.021010478000681</c:v>
                </c:pt>
                <c:pt idx="1">
                  <c:v>14.111620736259018</c:v>
                </c:pt>
                <c:pt idx="2">
                  <c:v>14.554483946545496</c:v>
                </c:pt>
                <c:pt idx="3">
                  <c:v>13.447030557545556</c:v>
                </c:pt>
                <c:pt idx="4">
                  <c:v>14.694996121473876</c:v>
                </c:pt>
                <c:pt idx="5">
                  <c:v>14.539423153314031</c:v>
                </c:pt>
                <c:pt idx="6">
                  <c:v>15.116512872941898</c:v>
                </c:pt>
                <c:pt idx="7">
                  <c:v>14.820480907121938</c:v>
                </c:pt>
                <c:pt idx="8">
                  <c:v>14.719511318850405</c:v>
                </c:pt>
                <c:pt idx="9">
                  <c:v>14.462342826244829</c:v>
                </c:pt>
                <c:pt idx="10">
                  <c:v>14.546794098269173</c:v>
                </c:pt>
                <c:pt idx="11">
                  <c:v>14.003027478841815</c:v>
                </c:pt>
                <c:pt idx="12">
                  <c:v>13.970583790782056</c:v>
                </c:pt>
                <c:pt idx="13">
                  <c:v>13.853007708122393</c:v>
                </c:pt>
                <c:pt idx="14">
                  <c:v>14.513749117387755</c:v>
                </c:pt>
                <c:pt idx="15">
                  <c:v>14.228182101344947</c:v>
                </c:pt>
                <c:pt idx="16">
                  <c:v>14.722098448638842</c:v>
                </c:pt>
                <c:pt idx="17">
                  <c:v>14.761619206466506</c:v>
                </c:pt>
                <c:pt idx="18">
                  <c:v>15.919567682793399</c:v>
                </c:pt>
                <c:pt idx="19">
                  <c:v>16.077500602953549</c:v>
                </c:pt>
                <c:pt idx="20">
                  <c:v>15.275658374921177</c:v>
                </c:pt>
                <c:pt idx="21">
                  <c:v>15.103507429529712</c:v>
                </c:pt>
                <c:pt idx="22">
                  <c:v>16.528467941513568</c:v>
                </c:pt>
                <c:pt idx="23">
                  <c:v>16.608731541774308</c:v>
                </c:pt>
                <c:pt idx="24">
                  <c:v>15.510872942421829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81-403E-92B9-C4D4D5A4A126}"/>
            </c:ext>
          </c:extLst>
        </c:ser>
        <c:ser>
          <c:idx val="1"/>
          <c:order val="1"/>
          <c:xVal>
            <c:numRef>
              <c:f>[3]Nushagak!$B$65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[3]Nushagak!$D$65</c:f>
              <c:numCache>
                <c:formatCode>General</c:formatCode>
                <c:ptCount val="1"/>
                <c:pt idx="0">
                  <c:v>15.543448537437959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81-403E-92B9-C4D4D5A4A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49280"/>
        <c:axId val="253650816"/>
      </c:scatterChart>
      <c:valAx>
        <c:axId val="253649280"/>
        <c:scaling>
          <c:orientation val="minMax"/>
          <c:min val="1995"/>
        </c:scaling>
        <c:delete val="0"/>
        <c:axPos val="b"/>
        <c:numFmt formatCode="General" sourceLinked="1"/>
        <c:majorTickMark val="out"/>
        <c:minorTickMark val="none"/>
        <c:tickLblPos val="nextTo"/>
        <c:crossAx val="253650816"/>
        <c:crosses val="autoZero"/>
        <c:crossBetween val="midCat"/>
      </c:valAx>
      <c:valAx>
        <c:axId val="253650816"/>
        <c:scaling>
          <c:orientation val="minMax"/>
          <c:min val="1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3649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1.3s from 1.2s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[3]Nushagak!$H$139:$H$148</c:f>
              <c:numCache>
                <c:formatCode>0</c:formatCode>
                <c:ptCount val="10"/>
                <c:pt idx="0">
                  <c:v>203130.29587496299</c:v>
                </c:pt>
                <c:pt idx="1">
                  <c:v>206783.84127602601</c:v>
                </c:pt>
                <c:pt idx="2">
                  <c:v>486257.72017826099</c:v>
                </c:pt>
                <c:pt idx="3">
                  <c:v>3586570.8502291199</c:v>
                </c:pt>
                <c:pt idx="4">
                  <c:v>1124540.61726678</c:v>
                </c:pt>
                <c:pt idx="5">
                  <c:v>504879.84823239897</c:v>
                </c:pt>
                <c:pt idx="6">
                  <c:v>1701541.7486520701</c:v>
                </c:pt>
                <c:pt idx="7">
                  <c:v>8584678.5385688208</c:v>
                </c:pt>
                <c:pt idx="8">
                  <c:v>1676444.6817325901</c:v>
                </c:pt>
                <c:pt idx="9">
                  <c:v>297019.88997896999</c:v>
                </c:pt>
              </c:numCache>
            </c:numRef>
          </c:xVal>
          <c:yVal>
            <c:numRef>
              <c:f>[3]Nushagak!$I$140:$I$149</c:f>
              <c:numCache>
                <c:formatCode>0</c:formatCode>
                <c:ptCount val="10"/>
                <c:pt idx="0">
                  <c:v>2223040.27062009</c:v>
                </c:pt>
                <c:pt idx="1">
                  <c:v>2060681.7457447301</c:v>
                </c:pt>
                <c:pt idx="2">
                  <c:v>4407859.5175308399</c:v>
                </c:pt>
                <c:pt idx="3">
                  <c:v>8286002.1409901502</c:v>
                </c:pt>
                <c:pt idx="4">
                  <c:v>3630434.3776666699</c:v>
                </c:pt>
                <c:pt idx="5">
                  <c:v>1871659.8818636399</c:v>
                </c:pt>
                <c:pt idx="6">
                  <c:v>6222453.5193613004</c:v>
                </c:pt>
                <c:pt idx="7">
                  <c:v>14079471.9263673</c:v>
                </c:pt>
                <c:pt idx="8">
                  <c:v>4660214.2768947398</c:v>
                </c:pt>
                <c:pt idx="9">
                  <c:v>1031403.9831281099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0-4452-97C0-63F8771A8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244736"/>
        <c:axId val="254249536"/>
      </c:scatterChart>
      <c:valAx>
        <c:axId val="25424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9536"/>
        <c:crosses val="autoZero"/>
        <c:crossBetween val="midCat"/>
      </c:valAx>
      <c:valAx>
        <c:axId val="2542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1.3s from 1.2s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0956933508311462"/>
                  <c:y val="-0.1056904345290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[3]Nushagak!$H$141:$H$148</c:f>
              <c:numCache>
                <c:formatCode>0</c:formatCode>
                <c:ptCount val="8"/>
                <c:pt idx="0">
                  <c:v>486257.72017826099</c:v>
                </c:pt>
                <c:pt idx="1">
                  <c:v>3586570.8502291199</c:v>
                </c:pt>
                <c:pt idx="2">
                  <c:v>1124540.61726678</c:v>
                </c:pt>
                <c:pt idx="3">
                  <c:v>504879.84823239897</c:v>
                </c:pt>
                <c:pt idx="4">
                  <c:v>1701541.7486520701</c:v>
                </c:pt>
                <c:pt idx="5">
                  <c:v>8584678.5385688208</c:v>
                </c:pt>
                <c:pt idx="6">
                  <c:v>1676444.6817325901</c:v>
                </c:pt>
                <c:pt idx="7">
                  <c:v>297019.88997896999</c:v>
                </c:pt>
              </c:numCache>
            </c:numRef>
          </c:xVal>
          <c:yVal>
            <c:numRef>
              <c:f>[3]Nushagak!$I$142:$I$149</c:f>
              <c:numCache>
                <c:formatCode>0</c:formatCode>
                <c:ptCount val="8"/>
                <c:pt idx="0">
                  <c:v>4407859.5175308399</c:v>
                </c:pt>
                <c:pt idx="1">
                  <c:v>8286002.1409901502</c:v>
                </c:pt>
                <c:pt idx="2">
                  <c:v>3630434.3776666699</c:v>
                </c:pt>
                <c:pt idx="3">
                  <c:v>1871659.8818636399</c:v>
                </c:pt>
                <c:pt idx="4">
                  <c:v>6222453.5193613004</c:v>
                </c:pt>
                <c:pt idx="5">
                  <c:v>14079471.9263673</c:v>
                </c:pt>
                <c:pt idx="6">
                  <c:v>4660214.2768947398</c:v>
                </c:pt>
                <c:pt idx="7">
                  <c:v>1031403.9831281099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3B-4337-9E41-E7665D45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244736"/>
        <c:axId val="254249536"/>
      </c:scatterChart>
      <c:valAx>
        <c:axId val="254244736"/>
        <c:scaling>
          <c:logBase val="10"/>
          <c:orientation val="minMax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9536"/>
        <c:crosses val="autoZero"/>
        <c:crossBetween val="midCat"/>
      </c:valAx>
      <c:valAx>
        <c:axId val="254249536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1.2s from 1.1s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[3]Nushagak!$G$141:$G$148</c:f>
              <c:numCache>
                <c:formatCode>0</c:formatCode>
                <c:ptCount val="8"/>
                <c:pt idx="0">
                  <c:v>5632.1054659479596</c:v>
                </c:pt>
                <c:pt idx="1">
                  <c:v>12587.6821715444</c:v>
                </c:pt>
                <c:pt idx="2">
                  <c:v>10214.1695964636</c:v>
                </c:pt>
                <c:pt idx="3">
                  <c:v>7129.2280872129604</c:v>
                </c:pt>
                <c:pt idx="4">
                  <c:v>6001.9891053477604</c:v>
                </c:pt>
                <c:pt idx="5">
                  <c:v>4749.0864001873497</c:v>
                </c:pt>
                <c:pt idx="6">
                  <c:v>2781.5773455440899</c:v>
                </c:pt>
                <c:pt idx="7">
                  <c:v>14671.2110044814</c:v>
                </c:pt>
              </c:numCache>
            </c:numRef>
          </c:xVal>
          <c:yVal>
            <c:numRef>
              <c:f>[3]Nushagak!$H$142:$H$149</c:f>
              <c:numCache>
                <c:formatCode>0</c:formatCode>
                <c:ptCount val="8"/>
                <c:pt idx="0">
                  <c:v>3586570.8502291199</c:v>
                </c:pt>
                <c:pt idx="1">
                  <c:v>1124540.61726678</c:v>
                </c:pt>
                <c:pt idx="2">
                  <c:v>504879.84823239897</c:v>
                </c:pt>
                <c:pt idx="3">
                  <c:v>1701541.7486520701</c:v>
                </c:pt>
                <c:pt idx="4">
                  <c:v>8584678.5385688208</c:v>
                </c:pt>
                <c:pt idx="5">
                  <c:v>1676444.6817325901</c:v>
                </c:pt>
                <c:pt idx="6">
                  <c:v>297019.88997896999</c:v>
                </c:pt>
                <c:pt idx="7">
                  <c:v>4400723.2324607596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0-4B1F-ADCF-8AD9D18A4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244736"/>
        <c:axId val="254249536"/>
      </c:scatterChart>
      <c:valAx>
        <c:axId val="254244736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9536"/>
        <c:crosses val="autoZero"/>
        <c:crossBetween val="midCat"/>
      </c:valAx>
      <c:valAx>
        <c:axId val="254249536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1.2s from 1.1s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[3]Nushagak!$G$141:$G$148</c:f>
              <c:numCache>
                <c:formatCode>0</c:formatCode>
                <c:ptCount val="8"/>
                <c:pt idx="0">
                  <c:v>5632.1054659479596</c:v>
                </c:pt>
                <c:pt idx="1">
                  <c:v>12587.6821715444</c:v>
                </c:pt>
                <c:pt idx="2">
                  <c:v>10214.1695964636</c:v>
                </c:pt>
                <c:pt idx="3">
                  <c:v>7129.2280872129604</c:v>
                </c:pt>
                <c:pt idx="4">
                  <c:v>6001.9891053477604</c:v>
                </c:pt>
                <c:pt idx="5">
                  <c:v>4749.0864001873497</c:v>
                </c:pt>
                <c:pt idx="6">
                  <c:v>2781.5773455440899</c:v>
                </c:pt>
                <c:pt idx="7">
                  <c:v>14671.2110044814</c:v>
                </c:pt>
              </c:numCache>
            </c:numRef>
          </c:xVal>
          <c:yVal>
            <c:numRef>
              <c:f>[3]Nushagak!$H$142:$H$149</c:f>
              <c:numCache>
                <c:formatCode>0</c:formatCode>
                <c:ptCount val="8"/>
                <c:pt idx="0">
                  <c:v>3586570.8502291199</c:v>
                </c:pt>
                <c:pt idx="1">
                  <c:v>1124540.61726678</c:v>
                </c:pt>
                <c:pt idx="2">
                  <c:v>504879.84823239897</c:v>
                </c:pt>
                <c:pt idx="3">
                  <c:v>1701541.7486520701</c:v>
                </c:pt>
                <c:pt idx="4">
                  <c:v>8584678.5385688208</c:v>
                </c:pt>
                <c:pt idx="5">
                  <c:v>1676444.6817325901</c:v>
                </c:pt>
                <c:pt idx="6">
                  <c:v>297019.88997896999</c:v>
                </c:pt>
                <c:pt idx="7">
                  <c:v>4400723.2324607596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1-412B-B434-A54926749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244736"/>
        <c:axId val="254249536"/>
      </c:scatterChart>
      <c:valAx>
        <c:axId val="25424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9536"/>
        <c:crosses val="autoZero"/>
        <c:crossBetween val="midCat"/>
      </c:valAx>
      <c:valAx>
        <c:axId val="2542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4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</xdr:colOff>
      <xdr:row>26</xdr:row>
      <xdr:rowOff>4762</xdr:rowOff>
    </xdr:from>
    <xdr:to>
      <xdr:col>18</xdr:col>
      <xdr:colOff>323850</xdr:colOff>
      <xdr:row>40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C3F149-5045-ED9A-30C1-5265FFA24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311293</xdr:colOff>
      <xdr:row>16</xdr:row>
      <xdr:rowOff>88631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E56B56-5660-0161-810D-F3334A645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26</xdr:col>
      <xdr:colOff>311293</xdr:colOff>
      <xdr:row>16</xdr:row>
      <xdr:rowOff>88631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4E6446-D29E-D727-793A-A89DD6DF1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38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311293</xdr:colOff>
      <xdr:row>36</xdr:row>
      <xdr:rowOff>88631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EAB7B0-B1D0-0FE5-8F6C-FEACC97D9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19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17</xdr:col>
      <xdr:colOff>311293</xdr:colOff>
      <xdr:row>36</xdr:row>
      <xdr:rowOff>88631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614BE1-F0F8-F1B8-F742-A15F358CF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19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311293</xdr:colOff>
      <xdr:row>16</xdr:row>
      <xdr:rowOff>88631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878A80-67A1-A39F-1DA3-02BB950E0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381000"/>
          <a:ext cx="4578493" cy="2755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66</xdr:row>
      <xdr:rowOff>118110</xdr:rowOff>
    </xdr:from>
    <xdr:to>
      <xdr:col>8</xdr:col>
      <xdr:colOff>327660</xdr:colOff>
      <xdr:row>81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588BC-CFAB-4971-AD1A-D02F6D2C0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16</xdr:col>
      <xdr:colOff>304800</xdr:colOff>
      <xdr:row>81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D5307F-7016-4697-9A6E-9B8D9B7EB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39B90AE1-5964-4985-B656-76F6914B61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980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976BE9AC-8936-446E-BD7A-E046B21EB4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980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0</xdr:rowOff>
    </xdr:from>
    <xdr:to>
      <xdr:col>24</xdr:col>
      <xdr:colOff>472440</xdr:colOff>
      <xdr:row>81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5C95FA-79C0-4CF4-BEC3-C526D633E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600075</xdr:colOff>
      <xdr:row>155</xdr:row>
      <xdr:rowOff>4762</xdr:rowOff>
    </xdr:from>
    <xdr:to>
      <xdr:col>9</xdr:col>
      <xdr:colOff>238125</xdr:colOff>
      <xdr:row>169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93E4BF-0EBD-46EF-978E-399ACA74C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155</xdr:row>
      <xdr:rowOff>0</xdr:rowOff>
    </xdr:from>
    <xdr:to>
      <xdr:col>16</xdr:col>
      <xdr:colOff>504825</xdr:colOff>
      <xdr:row>169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3B9DDC-DA47-4121-9A57-436AE1A29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175</xdr:row>
      <xdr:rowOff>0</xdr:rowOff>
    </xdr:from>
    <xdr:to>
      <xdr:col>16</xdr:col>
      <xdr:colOff>504825</xdr:colOff>
      <xdr:row>189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010DC4-F42D-46FD-9E2F-FFD53D3A6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175</xdr:row>
      <xdr:rowOff>0</xdr:rowOff>
    </xdr:from>
    <xdr:to>
      <xdr:col>9</xdr:col>
      <xdr:colOff>247650</xdr:colOff>
      <xdr:row>189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EEAC0A-4A12-4B2E-8AE0-E878D1624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Naknek.xlsx" TargetMode="External"/><Relationship Id="rId1" Type="http://schemas.openxmlformats.org/officeDocument/2006/relationships/externalLinkPath" Target="/Alec&amp;BarbsFiles/Alec/AlecScience/SalmonPrize/2024RevisedData/ORGFinalSpreadsheets/Nakne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Nushagak.xlsx" TargetMode="External"/><Relationship Id="rId1" Type="http://schemas.openxmlformats.org/officeDocument/2006/relationships/externalLinkPath" Target="/Alec&amp;BarbsFiles/Alec/AlecScience/SalmonPrize/2024RevisedData/ORGFinalSpreadsheets/Nushag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knek"/>
    </sheetNames>
    <sheetDataSet>
      <sheetData sheetId="0">
        <row r="4">
          <cell r="B4">
            <v>1963</v>
          </cell>
          <cell r="C4">
            <v>1796531.0083455001</v>
          </cell>
        </row>
        <row r="5">
          <cell r="B5">
            <v>1964</v>
          </cell>
          <cell r="C5">
            <v>1943395.1764118101</v>
          </cell>
        </row>
        <row r="6">
          <cell r="B6">
            <v>1965</v>
          </cell>
          <cell r="C6">
            <v>1222067.36441122</v>
          </cell>
        </row>
        <row r="7">
          <cell r="B7">
            <v>1966</v>
          </cell>
          <cell r="C7">
            <v>2884786.4943990102</v>
          </cell>
        </row>
        <row r="8">
          <cell r="B8">
            <v>1967</v>
          </cell>
          <cell r="C8">
            <v>1555050.91378771</v>
          </cell>
        </row>
        <row r="9">
          <cell r="B9">
            <v>1968</v>
          </cell>
          <cell r="C9">
            <v>1822083.2542699999</v>
          </cell>
        </row>
        <row r="10">
          <cell r="B10">
            <v>1969</v>
          </cell>
          <cell r="C10">
            <v>2641101.3201660099</v>
          </cell>
        </row>
        <row r="11">
          <cell r="B11">
            <v>1970</v>
          </cell>
          <cell r="C11">
            <v>2689519.0939190099</v>
          </cell>
        </row>
        <row r="12">
          <cell r="B12">
            <v>1971</v>
          </cell>
          <cell r="C12">
            <v>3658033.5732610598</v>
          </cell>
        </row>
        <row r="13">
          <cell r="B13">
            <v>1972</v>
          </cell>
          <cell r="C13">
            <v>1468384.3368623799</v>
          </cell>
        </row>
        <row r="14">
          <cell r="B14">
            <v>1973</v>
          </cell>
          <cell r="C14">
            <v>684258.61732342502</v>
          </cell>
        </row>
        <row r="15">
          <cell r="B15">
            <v>1974</v>
          </cell>
          <cell r="C15">
            <v>1474643.4770442001</v>
          </cell>
        </row>
        <row r="16">
          <cell r="B16">
            <v>1975</v>
          </cell>
          <cell r="C16">
            <v>3211149.7630650098</v>
          </cell>
        </row>
        <row r="17">
          <cell r="B17">
            <v>1976</v>
          </cell>
          <cell r="C17">
            <v>3200600.0848300098</v>
          </cell>
        </row>
        <row r="18">
          <cell r="B18">
            <v>1977</v>
          </cell>
          <cell r="C18">
            <v>2912820.4222806999</v>
          </cell>
        </row>
        <row r="19">
          <cell r="B19">
            <v>1978</v>
          </cell>
          <cell r="C19">
            <v>2256809.7992380098</v>
          </cell>
        </row>
        <row r="20">
          <cell r="B20">
            <v>1979</v>
          </cell>
          <cell r="C20">
            <v>2826605.6335040098</v>
          </cell>
        </row>
        <row r="21">
          <cell r="B21">
            <v>1980</v>
          </cell>
          <cell r="C21">
            <v>5080050.2974157203</v>
          </cell>
        </row>
        <row r="22">
          <cell r="B22">
            <v>1981</v>
          </cell>
          <cell r="C22">
            <v>8756831.2381839994</v>
          </cell>
        </row>
        <row r="23">
          <cell r="B23">
            <v>1982</v>
          </cell>
          <cell r="C23">
            <v>4660805.7869950002</v>
          </cell>
        </row>
        <row r="24">
          <cell r="B24">
            <v>1983</v>
          </cell>
          <cell r="C24">
            <v>3308264.2483293102</v>
          </cell>
        </row>
        <row r="25">
          <cell r="B25">
            <v>1984</v>
          </cell>
          <cell r="C25">
            <v>3876353.2648734101</v>
          </cell>
        </row>
        <row r="26">
          <cell r="B26">
            <v>1985</v>
          </cell>
          <cell r="C26">
            <v>4237309.7451430103</v>
          </cell>
        </row>
        <row r="27">
          <cell r="B27">
            <v>1986</v>
          </cell>
          <cell r="C27">
            <v>3991315.6486640102</v>
          </cell>
        </row>
        <row r="28">
          <cell r="B28">
            <v>1987</v>
          </cell>
          <cell r="C28">
            <v>2319010.07678321</v>
          </cell>
        </row>
        <row r="29">
          <cell r="B29">
            <v>1988</v>
          </cell>
          <cell r="C29">
            <v>1962972.6338520099</v>
          </cell>
        </row>
        <row r="30">
          <cell r="B30">
            <v>1989</v>
          </cell>
          <cell r="C30">
            <v>3669831.29577502</v>
          </cell>
        </row>
        <row r="31">
          <cell r="B31">
            <v>1990</v>
          </cell>
          <cell r="C31">
            <v>8300331.6001780201</v>
          </cell>
        </row>
        <row r="32">
          <cell r="B32">
            <v>1991</v>
          </cell>
          <cell r="C32">
            <v>9754424.6321010198</v>
          </cell>
        </row>
        <row r="33">
          <cell r="B33">
            <v>1992</v>
          </cell>
          <cell r="C33">
            <v>5222906.7848190097</v>
          </cell>
        </row>
        <row r="34">
          <cell r="B34">
            <v>1993</v>
          </cell>
          <cell r="C34">
            <v>5577184.7625029199</v>
          </cell>
        </row>
        <row r="35">
          <cell r="B35">
            <v>1994</v>
          </cell>
          <cell r="C35">
            <v>3700808.24124602</v>
          </cell>
        </row>
        <row r="36">
          <cell r="B36">
            <v>1995</v>
          </cell>
          <cell r="C36">
            <v>3440141.6438730299</v>
          </cell>
        </row>
        <row r="37">
          <cell r="B37">
            <v>1996</v>
          </cell>
          <cell r="C37">
            <v>4662460.9266880099</v>
          </cell>
        </row>
        <row r="38">
          <cell r="B38">
            <v>1997</v>
          </cell>
          <cell r="C38">
            <v>1910810.1956946701</v>
          </cell>
        </row>
        <row r="39">
          <cell r="B39">
            <v>1998</v>
          </cell>
          <cell r="C39">
            <v>2365116.317756</v>
          </cell>
        </row>
        <row r="40">
          <cell r="B40">
            <v>1999</v>
          </cell>
          <cell r="C40">
            <v>4701483.5908614099</v>
          </cell>
          <cell r="D40">
            <v>15.363388674500985</v>
          </cell>
        </row>
        <row r="41">
          <cell r="B41">
            <v>2000</v>
          </cell>
          <cell r="C41">
            <v>3967486.1081528999</v>
          </cell>
          <cell r="D41">
            <v>15.193643229965835</v>
          </cell>
        </row>
        <row r="42">
          <cell r="B42">
            <v>2001</v>
          </cell>
          <cell r="C42">
            <v>5991184.9410420097</v>
          </cell>
          <cell r="D42">
            <v>15.605799770401319</v>
          </cell>
        </row>
        <row r="43">
          <cell r="B43">
            <v>2002</v>
          </cell>
          <cell r="C43">
            <v>2813597.6574756</v>
          </cell>
          <cell r="D43">
            <v>14.849974527569627</v>
          </cell>
        </row>
        <row r="44">
          <cell r="B44">
            <v>2003</v>
          </cell>
          <cell r="C44">
            <v>4861853.1156590004</v>
          </cell>
          <cell r="D44">
            <v>15.396930222718801</v>
          </cell>
        </row>
        <row r="45">
          <cell r="B45">
            <v>2004</v>
          </cell>
          <cell r="C45">
            <v>4066709.70364501</v>
          </cell>
          <cell r="D45">
            <v>15.218344803842903</v>
          </cell>
        </row>
        <row r="46">
          <cell r="B46">
            <v>2005</v>
          </cell>
          <cell r="C46">
            <v>8765371.0064671095</v>
          </cell>
          <cell r="D46">
            <v>15.98631940361817</v>
          </cell>
        </row>
        <row r="47">
          <cell r="B47">
            <v>2006</v>
          </cell>
          <cell r="C47">
            <v>5342241.0852720002</v>
          </cell>
          <cell r="D47">
            <v>15.491155801785711</v>
          </cell>
        </row>
        <row r="48">
          <cell r="B48">
            <v>2007</v>
          </cell>
          <cell r="C48">
            <v>8438491.6736100093</v>
          </cell>
          <cell r="D48">
            <v>15.948314138943728</v>
          </cell>
        </row>
        <row r="49">
          <cell r="B49">
            <v>2008</v>
          </cell>
          <cell r="C49">
            <v>9129940.8834930193</v>
          </cell>
          <cell r="D49">
            <v>16.027069777576806</v>
          </cell>
        </row>
        <row r="50">
          <cell r="B50">
            <v>2009</v>
          </cell>
          <cell r="C50">
            <v>4912919.8609469999</v>
          </cell>
          <cell r="D50">
            <v>15.407378999384735</v>
          </cell>
        </row>
        <row r="51">
          <cell r="B51">
            <v>2010</v>
          </cell>
          <cell r="C51">
            <v>5436897.9001610102</v>
          </cell>
          <cell r="D51">
            <v>15.508719217243074</v>
          </cell>
        </row>
        <row r="52">
          <cell r="B52">
            <v>2011</v>
          </cell>
          <cell r="C52">
            <v>5520113.2301130099</v>
          </cell>
          <cell r="D52">
            <v>15.523908930744527</v>
          </cell>
        </row>
        <row r="53">
          <cell r="B53">
            <v>2012</v>
          </cell>
          <cell r="C53">
            <v>3322918.2408336001</v>
          </cell>
          <cell r="D53">
            <v>15.016353943011659</v>
          </cell>
        </row>
        <row r="54">
          <cell r="B54">
            <v>2013</v>
          </cell>
          <cell r="C54">
            <v>3074881.6220356901</v>
          </cell>
          <cell r="D54">
            <v>14.938776961582768</v>
          </cell>
        </row>
        <row r="55">
          <cell r="B55">
            <v>2014</v>
          </cell>
          <cell r="C55">
            <v>5323139.5860894704</v>
          </cell>
          <cell r="D55">
            <v>15.487573835010297</v>
          </cell>
        </row>
        <row r="56">
          <cell r="B56">
            <v>2015</v>
          </cell>
          <cell r="C56">
            <v>6090439.2314824397</v>
          </cell>
          <cell r="D56">
            <v>15.622230760481443</v>
          </cell>
        </row>
        <row r="57">
          <cell r="B57">
            <v>2016</v>
          </cell>
          <cell r="C57">
            <v>5037024.1275040098</v>
          </cell>
          <cell r="D57">
            <v>15.432326014770714</v>
          </cell>
        </row>
        <row r="58">
          <cell r="B58">
            <v>2017</v>
          </cell>
          <cell r="C58">
            <v>5975665.3717357498</v>
          </cell>
          <cell r="D58">
            <v>15.603206008868181</v>
          </cell>
        </row>
        <row r="59">
          <cell r="B59">
            <v>2018</v>
          </cell>
          <cell r="C59">
            <v>6926059.9819393205</v>
          </cell>
          <cell r="D59">
            <v>15.750801664308291</v>
          </cell>
        </row>
        <row r="60">
          <cell r="B60">
            <v>2019</v>
          </cell>
          <cell r="C60">
            <v>8824530.4354587495</v>
          </cell>
          <cell r="D60">
            <v>15.993045950921415</v>
          </cell>
        </row>
        <row r="61">
          <cell r="B61">
            <v>2020</v>
          </cell>
          <cell r="C61">
            <v>10102211.95616</v>
          </cell>
          <cell r="D61">
            <v>16.128264963393669</v>
          </cell>
        </row>
        <row r="62">
          <cell r="B62">
            <v>2021</v>
          </cell>
          <cell r="C62">
            <v>7180305.8734784704</v>
          </cell>
          <cell r="D62">
            <v>15.786852540880039</v>
          </cell>
        </row>
        <row r="63">
          <cell r="B63">
            <v>2022</v>
          </cell>
          <cell r="C63">
            <v>6455406.8033160903</v>
          </cell>
          <cell r="D63">
            <v>15.680428601704858</v>
          </cell>
        </row>
        <row r="64">
          <cell r="B64">
            <v>2023</v>
          </cell>
          <cell r="C64">
            <v>6895356.0309782596</v>
          </cell>
          <cell r="D64">
            <v>15.746358703986413</v>
          </cell>
        </row>
        <row r="65">
          <cell r="B65">
            <v>2024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/>
      <sheetData sheetId="2"/>
      <sheetData sheetId="3"/>
      <sheetData sheetId="4"/>
      <sheetData sheetId="5">
        <row r="65">
          <cell r="B65">
            <v>2024</v>
          </cell>
          <cell r="C65">
            <v>3160468.8105251598</v>
          </cell>
          <cell r="D65">
            <v>14.966230932320297</v>
          </cell>
        </row>
        <row r="122">
          <cell r="G122">
            <v>504530.82753853098</v>
          </cell>
          <cell r="K122">
            <v>430638.54402284703</v>
          </cell>
        </row>
        <row r="123">
          <cell r="G123">
            <v>2425255.4996235399</v>
          </cell>
          <cell r="H123">
            <v>758141.95257232699</v>
          </cell>
          <cell r="K123">
            <v>730718.838285128</v>
          </cell>
          <cell r="L123">
            <v>761444.59298550501</v>
          </cell>
        </row>
        <row r="124">
          <cell r="G124">
            <v>340634.56610331603</v>
          </cell>
          <cell r="H124">
            <v>3130745.3281190102</v>
          </cell>
          <cell r="K124">
            <v>117753.99951469</v>
          </cell>
          <cell r="L124">
            <v>376373.315808193</v>
          </cell>
        </row>
        <row r="125">
          <cell r="G125">
            <v>97471.497438125807</v>
          </cell>
          <cell r="H125">
            <v>5591154.3375817696</v>
          </cell>
          <cell r="K125">
            <v>49654.191527873198</v>
          </cell>
          <cell r="L125">
            <v>172127.94577070899</v>
          </cell>
        </row>
        <row r="126">
          <cell r="G126">
            <v>595642.30028703599</v>
          </cell>
          <cell r="H126">
            <v>899635.54032314406</v>
          </cell>
          <cell r="K126">
            <v>825499.87610383204</v>
          </cell>
          <cell r="L126">
            <v>379239.65467022202</v>
          </cell>
        </row>
        <row r="127">
          <cell r="G127">
            <v>713059.888060236</v>
          </cell>
          <cell r="H127">
            <v>1957153.56816868</v>
          </cell>
          <cell r="K127">
            <v>553804.86029673705</v>
          </cell>
          <cell r="L127">
            <v>1604686.5529708001</v>
          </cell>
        </row>
        <row r="128">
          <cell r="G128">
            <v>1207028.8647542601</v>
          </cell>
          <cell r="H128">
            <v>1388588.2159808499</v>
          </cell>
          <cell r="K128">
            <v>707967.12169368705</v>
          </cell>
          <cell r="L128">
            <v>742520.17293670203</v>
          </cell>
        </row>
        <row r="129">
          <cell r="G129">
            <v>484233.35531632201</v>
          </cell>
          <cell r="H129">
            <v>6824908.7778572896</v>
          </cell>
          <cell r="K129">
            <v>453896.90167534899</v>
          </cell>
          <cell r="L129">
            <v>927938.72717468196</v>
          </cell>
        </row>
        <row r="130">
          <cell r="G130">
            <v>1471105.54402306</v>
          </cell>
          <cell r="H130">
            <v>2926493.29707033</v>
          </cell>
          <cell r="K130">
            <v>396239.388226401</v>
          </cell>
          <cell r="L130">
            <v>454432.11769895302</v>
          </cell>
        </row>
        <row r="131">
          <cell r="G131">
            <v>3692037.1925430899</v>
          </cell>
          <cell r="H131">
            <v>3683675.6780987601</v>
          </cell>
          <cell r="K131">
            <v>250688.43993716099</v>
          </cell>
          <cell r="L131">
            <v>761311.63062437705</v>
          </cell>
        </row>
        <row r="132">
          <cell r="G132">
            <v>986911.33689931803</v>
          </cell>
          <cell r="H132">
            <v>7549811.97513243</v>
          </cell>
          <cell r="K132">
            <v>247183.18728972401</v>
          </cell>
          <cell r="L132">
            <v>209237.616578944</v>
          </cell>
        </row>
        <row r="133">
          <cell r="G133">
            <v>1302924.7710825</v>
          </cell>
          <cell r="H133">
            <v>1652172.7924814799</v>
          </cell>
          <cell r="K133">
            <v>979063.191611649</v>
          </cell>
          <cell r="L133">
            <v>615269.01427387202</v>
          </cell>
        </row>
        <row r="134">
          <cell r="G134">
            <v>1657238.2775297801</v>
          </cell>
          <cell r="H134">
            <v>2255794.84990553</v>
          </cell>
          <cell r="K134">
            <v>801427.18788593705</v>
          </cell>
          <cell r="L134">
            <v>665454.38078784896</v>
          </cell>
        </row>
        <row r="135">
          <cell r="G135">
            <v>1861894.7592203</v>
          </cell>
          <cell r="H135">
            <v>1928248.1182961001</v>
          </cell>
          <cell r="K135">
            <v>717671.06621628196</v>
          </cell>
          <cell r="L135">
            <v>947784.83686040703</v>
          </cell>
        </row>
        <row r="136">
          <cell r="G136">
            <v>580269.33944772405</v>
          </cell>
          <cell r="H136">
            <v>1539525.3050987299</v>
          </cell>
          <cell r="K136">
            <v>645374.19922285003</v>
          </cell>
          <cell r="L136">
            <v>499064.36153670901</v>
          </cell>
        </row>
        <row r="137">
          <cell r="G137">
            <v>457482.25027506601</v>
          </cell>
          <cell r="H137">
            <v>1595287.0977614301</v>
          </cell>
          <cell r="K137">
            <v>360751.12804429099</v>
          </cell>
          <cell r="L137">
            <v>524183.91149545502</v>
          </cell>
        </row>
        <row r="138">
          <cell r="G138">
            <v>3220884.8110226402</v>
          </cell>
          <cell r="H138">
            <v>889893.76093709795</v>
          </cell>
          <cell r="K138">
            <v>396535.76060724503</v>
          </cell>
          <cell r="L138">
            <v>688888.40569972002</v>
          </cell>
        </row>
        <row r="139">
          <cell r="G139">
            <v>2215738.1961411</v>
          </cell>
          <cell r="H139">
            <v>2291356.3215908301</v>
          </cell>
          <cell r="K139">
            <v>1371746.6356786201</v>
          </cell>
          <cell r="L139">
            <v>157949.86210266201</v>
          </cell>
        </row>
        <row r="140">
          <cell r="G140">
            <v>2391536.6975765098</v>
          </cell>
          <cell r="H140">
            <v>1311129.43620946</v>
          </cell>
          <cell r="K140">
            <v>864071.633804588</v>
          </cell>
          <cell r="L140">
            <v>399926.54296178301</v>
          </cell>
        </row>
        <row r="141">
          <cell r="G141">
            <v>2742095.4073183602</v>
          </cell>
          <cell r="H141">
            <v>2012814.04076256</v>
          </cell>
          <cell r="K141">
            <v>616529.70987002598</v>
          </cell>
          <cell r="L141">
            <v>571249.20154918695</v>
          </cell>
        </row>
        <row r="142">
          <cell r="G142">
            <v>2955137.9957106798</v>
          </cell>
          <cell r="H142">
            <v>3315114.7347389301</v>
          </cell>
          <cell r="K142">
            <v>228371.81633720201</v>
          </cell>
          <cell r="L142">
            <v>369747.82455905201</v>
          </cell>
        </row>
        <row r="143">
          <cell r="G143">
            <v>5261676.3512405502</v>
          </cell>
          <cell r="H143">
            <v>3159370.4546624399</v>
          </cell>
          <cell r="K143">
            <v>240535.02321217</v>
          </cell>
          <cell r="L143">
            <v>157853.499999327</v>
          </cell>
        </row>
        <row r="144">
          <cell r="G144">
            <v>2594704.9917419599</v>
          </cell>
          <cell r="H144">
            <v>7055600.9866127102</v>
          </cell>
          <cell r="K144">
            <v>282087.10126034601</v>
          </cell>
          <cell r="L144">
            <v>112679.166248016</v>
          </cell>
        </row>
        <row r="145">
          <cell r="G145">
            <v>4186127.6453765398</v>
          </cell>
          <cell r="H145">
            <v>2014709.36927467</v>
          </cell>
          <cell r="K145">
            <v>423070.26948909601</v>
          </cell>
          <cell r="L145">
            <v>437104.72217669</v>
          </cell>
        </row>
        <row r="146">
          <cell r="G146">
            <v>2699792.5828704401</v>
          </cell>
          <cell r="H146">
            <v>2634429.6361697102</v>
          </cell>
          <cell r="K146">
            <v>783505.21879218402</v>
          </cell>
          <cell r="L146">
            <v>325060.98370174097</v>
          </cell>
        </row>
        <row r="147">
          <cell r="G147">
            <v>1164266.39693437</v>
          </cell>
          <cell r="H147">
            <v>4610666.9596486399</v>
          </cell>
          <cell r="K147">
            <v>242830.21972983101</v>
          </cell>
          <cell r="L147">
            <v>754343.91038111597</v>
          </cell>
        </row>
        <row r="148">
          <cell r="H148">
            <v>926915.42404317297</v>
          </cell>
          <cell r="L148">
            <v>236366.55531382101</v>
          </cell>
        </row>
      </sheetData>
      <sheetData sheetId="6">
        <row r="65">
          <cell r="B65">
            <v>2024</v>
          </cell>
          <cell r="C65">
            <v>5629034.7478780597</v>
          </cell>
          <cell r="D65">
            <v>15.543448537437959</v>
          </cell>
        </row>
        <row r="139">
          <cell r="H139">
            <v>203130.29587496299</v>
          </cell>
        </row>
        <row r="140">
          <cell r="H140">
            <v>206783.84127602601</v>
          </cell>
          <cell r="I140">
            <v>2223040.27062009</v>
          </cell>
        </row>
        <row r="141">
          <cell r="G141">
            <v>5632.1054659479596</v>
          </cell>
          <cell r="H141">
            <v>486257.72017826099</v>
          </cell>
          <cell r="I141">
            <v>2060681.7457447301</v>
          </cell>
        </row>
        <row r="142">
          <cell r="G142">
            <v>12587.6821715444</v>
          </cell>
          <cell r="H142">
            <v>3586570.8502291199</v>
          </cell>
          <cell r="I142">
            <v>4407859.5175308399</v>
          </cell>
        </row>
        <row r="143">
          <cell r="G143">
            <v>10214.1695964636</v>
          </cell>
          <cell r="H143">
            <v>1124540.61726678</v>
          </cell>
          <cell r="I143">
            <v>8286002.1409901502</v>
          </cell>
        </row>
        <row r="144">
          <cell r="G144">
            <v>7129.2280872129604</v>
          </cell>
          <cell r="H144">
            <v>504879.84823239897</v>
          </cell>
          <cell r="I144">
            <v>3630434.3776666699</v>
          </cell>
        </row>
        <row r="145">
          <cell r="G145">
            <v>6001.9891053477604</v>
          </cell>
          <cell r="H145">
            <v>1701541.7486520701</v>
          </cell>
          <cell r="I145">
            <v>1871659.8818636399</v>
          </cell>
        </row>
        <row r="146">
          <cell r="G146">
            <v>4749.0864001873497</v>
          </cell>
          <cell r="H146">
            <v>8584678.5385688208</v>
          </cell>
          <cell r="I146">
            <v>6222453.5193613004</v>
          </cell>
        </row>
        <row r="147">
          <cell r="G147">
            <v>2781.5773455440899</v>
          </cell>
          <cell r="H147">
            <v>1676444.6817325901</v>
          </cell>
          <cell r="I147">
            <v>14079471.9263673</v>
          </cell>
        </row>
        <row r="148">
          <cell r="G148">
            <v>14671.2110044814</v>
          </cell>
          <cell r="H148">
            <v>297019.88997896999</v>
          </cell>
          <cell r="I148">
            <v>4660214.2768947398</v>
          </cell>
        </row>
        <row r="149">
          <cell r="H149">
            <v>4400723.2324607596</v>
          </cell>
          <cell r="I149">
            <v>1031403.9831281099</v>
          </cell>
        </row>
      </sheetData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ushagak"/>
    </sheetNames>
    <sheetDataSet>
      <sheetData sheetId="0">
        <row r="4">
          <cell r="B4">
            <v>1963</v>
          </cell>
          <cell r="C4">
            <v>452397.67238070199</v>
          </cell>
        </row>
        <row r="5">
          <cell r="B5">
            <v>1964</v>
          </cell>
          <cell r="C5">
            <v>266354.87932629301</v>
          </cell>
        </row>
        <row r="6">
          <cell r="B6">
            <v>1965</v>
          </cell>
          <cell r="C6">
            <v>582186.38175109995</v>
          </cell>
        </row>
        <row r="7">
          <cell r="B7">
            <v>1966</v>
          </cell>
          <cell r="C7">
            <v>411584.841952699</v>
          </cell>
        </row>
        <row r="8">
          <cell r="B8">
            <v>1967</v>
          </cell>
          <cell r="C8">
            <v>139628.992517509</v>
          </cell>
        </row>
        <row r="9">
          <cell r="B9">
            <v>1968</v>
          </cell>
          <cell r="C9">
            <v>218458.35349097199</v>
          </cell>
        </row>
        <row r="10">
          <cell r="B10">
            <v>1969</v>
          </cell>
          <cell r="C10">
            <v>184391.56511800201</v>
          </cell>
        </row>
        <row r="11">
          <cell r="B11">
            <v>1970</v>
          </cell>
          <cell r="C11">
            <v>865759.51452200301</v>
          </cell>
        </row>
        <row r="12">
          <cell r="B12">
            <v>1971</v>
          </cell>
          <cell r="C12">
            <v>674291.30569474096</v>
          </cell>
        </row>
        <row r="13">
          <cell r="B13">
            <v>1972</v>
          </cell>
          <cell r="C13">
            <v>87174.071279004405</v>
          </cell>
        </row>
        <row r="14">
          <cell r="B14">
            <v>1973</v>
          </cell>
          <cell r="C14">
            <v>417125.00630487199</v>
          </cell>
        </row>
        <row r="15">
          <cell r="B15">
            <v>1974</v>
          </cell>
          <cell r="C15">
            <v>252194.81313950001</v>
          </cell>
        </row>
        <row r="16">
          <cell r="B16">
            <v>1975</v>
          </cell>
          <cell r="C16">
            <v>1053797.80249506</v>
          </cell>
        </row>
        <row r="17">
          <cell r="B17">
            <v>1976</v>
          </cell>
          <cell r="C17">
            <v>1083587.2499889999</v>
          </cell>
        </row>
        <row r="18">
          <cell r="B18">
            <v>1977</v>
          </cell>
          <cell r="C18">
            <v>1096783.00508178</v>
          </cell>
        </row>
        <row r="19">
          <cell r="B19">
            <v>1978</v>
          </cell>
          <cell r="C19">
            <v>1431831.6691958101</v>
          </cell>
        </row>
        <row r="20">
          <cell r="B20">
            <v>1979</v>
          </cell>
          <cell r="C20">
            <v>1048799.625697</v>
          </cell>
        </row>
        <row r="21">
          <cell r="B21">
            <v>1980</v>
          </cell>
          <cell r="C21">
            <v>5389939.1686600102</v>
          </cell>
        </row>
        <row r="22">
          <cell r="B22">
            <v>1981</v>
          </cell>
          <cell r="C22">
            <v>3875793.5675440198</v>
          </cell>
        </row>
        <row r="23">
          <cell r="B23">
            <v>1982</v>
          </cell>
          <cell r="C23">
            <v>4067177.59369</v>
          </cell>
        </row>
        <row r="24">
          <cell r="B24">
            <v>1983</v>
          </cell>
          <cell r="C24">
            <v>2159923.6034260499</v>
          </cell>
        </row>
        <row r="25">
          <cell r="B25">
            <v>1984</v>
          </cell>
          <cell r="C25">
            <v>1340820.43460019</v>
          </cell>
        </row>
        <row r="26">
          <cell r="B26">
            <v>1985</v>
          </cell>
          <cell r="C26">
            <v>995643.31304500601</v>
          </cell>
        </row>
        <row r="27">
          <cell r="B27">
            <v>1986</v>
          </cell>
          <cell r="C27">
            <v>2379337.92782629</v>
          </cell>
        </row>
        <row r="28">
          <cell r="B28">
            <v>1987</v>
          </cell>
          <cell r="C28">
            <v>1380199.9306511499</v>
          </cell>
        </row>
        <row r="29">
          <cell r="B29">
            <v>1988</v>
          </cell>
          <cell r="C29">
            <v>1090076.2271219001</v>
          </cell>
        </row>
        <row r="30">
          <cell r="B30">
            <v>1989</v>
          </cell>
          <cell r="C30">
            <v>1190738.0608089999</v>
          </cell>
        </row>
        <row r="31">
          <cell r="B31">
            <v>1990</v>
          </cell>
          <cell r="C31">
            <v>1804526.2550560001</v>
          </cell>
        </row>
        <row r="32">
          <cell r="B32">
            <v>1991</v>
          </cell>
          <cell r="C32">
            <v>1628966.6272400001</v>
          </cell>
        </row>
        <row r="33">
          <cell r="B33">
            <v>1992</v>
          </cell>
          <cell r="C33">
            <v>1888874.1738100101</v>
          </cell>
        </row>
        <row r="34">
          <cell r="B34">
            <v>1993</v>
          </cell>
          <cell r="C34">
            <v>2580049.1320489999</v>
          </cell>
        </row>
        <row r="35">
          <cell r="B35">
            <v>1994</v>
          </cell>
          <cell r="C35">
            <v>1436463.3012576001</v>
          </cell>
        </row>
        <row r="36">
          <cell r="B36">
            <v>1995</v>
          </cell>
          <cell r="C36">
            <v>810994.88793319999</v>
          </cell>
        </row>
        <row r="37">
          <cell r="B37">
            <v>1996</v>
          </cell>
          <cell r="C37">
            <v>1623168.6566339999</v>
          </cell>
        </row>
        <row r="38">
          <cell r="B38">
            <v>1997</v>
          </cell>
          <cell r="C38">
            <v>817646.87294084299</v>
          </cell>
        </row>
        <row r="39">
          <cell r="B39">
            <v>1998</v>
          </cell>
          <cell r="C39">
            <v>991559.91843840899</v>
          </cell>
        </row>
        <row r="40">
          <cell r="B40">
            <v>1999</v>
          </cell>
          <cell r="C40">
            <v>451807.04586900101</v>
          </cell>
          <cell r="D40">
            <v>13.021010478000681</v>
          </cell>
        </row>
        <row r="41">
          <cell r="B41">
            <v>2000</v>
          </cell>
          <cell r="C41">
            <v>1344618.296422</v>
          </cell>
          <cell r="D41">
            <v>14.111620736259018</v>
          </cell>
        </row>
        <row r="42">
          <cell r="B42">
            <v>2001</v>
          </cell>
          <cell r="C42">
            <v>2093784.9072700101</v>
          </cell>
          <cell r="D42">
            <v>14.554483946545496</v>
          </cell>
        </row>
        <row r="43">
          <cell r="B43">
            <v>2002</v>
          </cell>
          <cell r="C43">
            <v>691785.04487100104</v>
          </cell>
          <cell r="D43">
            <v>13.447030557545556</v>
          </cell>
        </row>
        <row r="44">
          <cell r="B44">
            <v>2003</v>
          </cell>
          <cell r="C44">
            <v>2409659.7705950001</v>
          </cell>
          <cell r="D44">
            <v>14.694996121473876</v>
          </cell>
        </row>
        <row r="45">
          <cell r="B45">
            <v>2004</v>
          </cell>
          <cell r="C45">
            <v>2062487.1220440101</v>
          </cell>
          <cell r="D45">
            <v>14.539423153314031</v>
          </cell>
        </row>
        <row r="46">
          <cell r="B46">
            <v>2005</v>
          </cell>
          <cell r="C46">
            <v>3672976.3023950099</v>
          </cell>
          <cell r="D46">
            <v>15.116512872941898</v>
          </cell>
        </row>
        <row r="47">
          <cell r="B47">
            <v>2006</v>
          </cell>
          <cell r="C47">
            <v>2731826.2706749998</v>
          </cell>
          <cell r="D47">
            <v>14.820480907121938</v>
          </cell>
        </row>
        <row r="48">
          <cell r="B48">
            <v>2007</v>
          </cell>
          <cell r="C48">
            <v>2469463.1056679999</v>
          </cell>
          <cell r="D48">
            <v>14.719511318850405</v>
          </cell>
        </row>
        <row r="49">
          <cell r="B49">
            <v>2008</v>
          </cell>
          <cell r="C49">
            <v>1909482.5102003</v>
          </cell>
          <cell r="D49">
            <v>14.462342826244829</v>
          </cell>
        </row>
        <row r="50">
          <cell r="B50">
            <v>2009</v>
          </cell>
          <cell r="C50">
            <v>2077745.7673239999</v>
          </cell>
          <cell r="D50">
            <v>14.546794098269173</v>
          </cell>
        </row>
        <row r="51">
          <cell r="B51">
            <v>2010</v>
          </cell>
          <cell r="C51">
            <v>1206250.660068</v>
          </cell>
          <cell r="D51">
            <v>14.003027478841815</v>
          </cell>
        </row>
        <row r="52">
          <cell r="B52">
            <v>2011</v>
          </cell>
          <cell r="C52">
            <v>1167743.4751190001</v>
          </cell>
          <cell r="D52">
            <v>13.970583790782056</v>
          </cell>
        </row>
        <row r="53">
          <cell r="B53">
            <v>2012</v>
          </cell>
          <cell r="C53">
            <v>1038209.03834601</v>
          </cell>
          <cell r="D53">
            <v>13.853007708122393</v>
          </cell>
        </row>
        <row r="54">
          <cell r="B54">
            <v>2013</v>
          </cell>
          <cell r="C54">
            <v>2010208.723915</v>
          </cell>
          <cell r="D54">
            <v>14.513749117387755</v>
          </cell>
        </row>
        <row r="55">
          <cell r="B55">
            <v>2014</v>
          </cell>
          <cell r="C55">
            <v>1510848.6961719999</v>
          </cell>
          <cell r="D55">
            <v>14.228182101344947</v>
          </cell>
        </row>
        <row r="56">
          <cell r="B56">
            <v>2015</v>
          </cell>
          <cell r="C56">
            <v>2475860.1987170102</v>
          </cell>
          <cell r="D56">
            <v>14.722098448638842</v>
          </cell>
        </row>
        <row r="57">
          <cell r="B57">
            <v>2016</v>
          </cell>
          <cell r="C57">
            <v>2575667.3059958802</v>
          </cell>
          <cell r="D57">
            <v>14.761619206466506</v>
          </cell>
        </row>
        <row r="58">
          <cell r="B58">
            <v>2017</v>
          </cell>
          <cell r="C58">
            <v>8199368.3829100002</v>
          </cell>
          <cell r="D58">
            <v>15.919567682793399</v>
          </cell>
        </row>
        <row r="59">
          <cell r="B59">
            <v>2018</v>
          </cell>
          <cell r="C59">
            <v>9602178.9337900206</v>
          </cell>
          <cell r="D59">
            <v>16.077500602953549</v>
          </cell>
        </row>
        <row r="60">
          <cell r="B60">
            <v>2019</v>
          </cell>
          <cell r="C60">
            <v>4306596.0692238398</v>
          </cell>
          <cell r="D60">
            <v>15.275658374921177</v>
          </cell>
        </row>
        <row r="61">
          <cell r="B61">
            <v>2020</v>
          </cell>
          <cell r="C61">
            <v>3625516.9011630001</v>
          </cell>
          <cell r="D61">
            <v>15.103507429529712</v>
          </cell>
        </row>
        <row r="62">
          <cell r="B62">
            <v>2021</v>
          </cell>
          <cell r="C62">
            <v>15073788.6357836</v>
          </cell>
          <cell r="D62">
            <v>16.528467941513568</v>
          </cell>
        </row>
        <row r="63">
          <cell r="B63">
            <v>2022</v>
          </cell>
          <cell r="C63">
            <v>16333545.2493775</v>
          </cell>
          <cell r="D63">
            <v>16.608731541774308</v>
          </cell>
        </row>
        <row r="64">
          <cell r="B64">
            <v>2023</v>
          </cell>
          <cell r="C64">
            <v>5448620.1027331697</v>
          </cell>
          <cell r="D64">
            <v>15.510872942421829</v>
          </cell>
        </row>
        <row r="65">
          <cell r="B65">
            <v>2024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3"/>
  <sheetViews>
    <sheetView workbookViewId="0">
      <selection activeCell="D10" sqref="D10:D52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9</v>
      </c>
    </row>
    <row r="2" spans="1:47" x14ac:dyDescent="0.25">
      <c r="A2" s="3"/>
      <c r="B2" s="3"/>
      <c r="C2" s="3"/>
      <c r="D2" s="3"/>
      <c r="E2" s="3"/>
    </row>
    <row r="3" spans="1:47" x14ac:dyDescent="0.25">
      <c r="A3" s="3"/>
      <c r="B3" s="3"/>
      <c r="C3" s="3"/>
      <c r="D3" s="4"/>
      <c r="E3" s="4"/>
    </row>
    <row r="4" spans="1:47" x14ac:dyDescent="0.25">
      <c r="A4" s="3"/>
      <c r="B4" s="3"/>
      <c r="C4" s="3"/>
      <c r="D4" s="3"/>
      <c r="E4" s="3"/>
      <c r="G4">
        <f>CORREL($D$27:$D$51,G27:G51)</f>
        <v>-0.15704651941813616</v>
      </c>
      <c r="H4">
        <f t="shared" ref="H4:AU4" si="0">CORREL($D$27:$D$51,H27:H51)</f>
        <v>-0.1581839703463726</v>
      </c>
      <c r="I4">
        <f t="shared" si="0"/>
        <v>5.8469716692830263E-2</v>
      </c>
      <c r="J4">
        <f t="shared" si="0"/>
        <v>-1.0716399913283312E-2</v>
      </c>
      <c r="K4">
        <f t="shared" si="0"/>
        <v>-0.10956290883001597</v>
      </c>
      <c r="L4">
        <f t="shared" si="0"/>
        <v>-9.526765784074652E-2</v>
      </c>
      <c r="M4">
        <f t="shared" si="0"/>
        <v>-1.0482747011461487E-2</v>
      </c>
      <c r="N4">
        <f t="shared" si="0"/>
        <v>-8.8926415560615021E-2</v>
      </c>
      <c r="O4">
        <f t="shared" si="0"/>
        <v>-0.11199655318234866</v>
      </c>
      <c r="P4">
        <f t="shared" si="0"/>
        <v>-0.22174219175620871</v>
      </c>
      <c r="Q4">
        <f t="shared" si="0"/>
        <v>-0.13503763127814009</v>
      </c>
      <c r="R4">
        <f t="shared" si="0"/>
        <v>-0.24444730986876942</v>
      </c>
      <c r="S4">
        <f t="shared" si="0"/>
        <v>-0.21368284526824063</v>
      </c>
      <c r="T4">
        <f t="shared" si="0"/>
        <v>-0.18007939695300768</v>
      </c>
      <c r="U4">
        <f t="shared" si="0"/>
        <v>0.17509146559144539</v>
      </c>
      <c r="V4">
        <f t="shared" si="0"/>
        <v>2.2992379571420123E-2</v>
      </c>
      <c r="W4">
        <f t="shared" si="0"/>
        <v>6.507307853159755E-2</v>
      </c>
      <c r="X4">
        <f t="shared" si="0"/>
        <v>-6.8561030988310845E-2</v>
      </c>
      <c r="Y4">
        <f t="shared" si="0"/>
        <v>5.3213156454766279E-3</v>
      </c>
      <c r="Z4">
        <f t="shared" si="0"/>
        <v>-7.6274053400301287E-2</v>
      </c>
      <c r="AA4">
        <f t="shared" si="0"/>
        <v>-5.698854946634193E-2</v>
      </c>
      <c r="AB4">
        <f t="shared" si="0"/>
        <v>-0.15456082231933704</v>
      </c>
      <c r="AC4">
        <f t="shared" si="0"/>
        <v>-0.14530288080617973</v>
      </c>
      <c r="AD4">
        <f t="shared" si="0"/>
        <v>-0.13259077588074969</v>
      </c>
      <c r="AE4">
        <f t="shared" si="0"/>
        <v>-0.30242258121786775</v>
      </c>
      <c r="AF4">
        <f t="shared" si="0"/>
        <v>-0.33956239370039865</v>
      </c>
      <c r="AG4">
        <f t="shared" si="0"/>
        <v>-0.16666366957030945</v>
      </c>
      <c r="AH4">
        <f t="shared" si="0"/>
        <v>-0.11781154140511754</v>
      </c>
      <c r="AI4">
        <f t="shared" si="0"/>
        <v>-0.29082294327092884</v>
      </c>
      <c r="AJ4">
        <f t="shared" si="0"/>
        <v>-0.41014115970479664</v>
      </c>
      <c r="AK4">
        <f t="shared" si="0"/>
        <v>-0.39818320191379503</v>
      </c>
      <c r="AL4">
        <f t="shared" si="0"/>
        <v>-0.42537211045727463</v>
      </c>
      <c r="AM4">
        <f t="shared" si="0"/>
        <v>-0.35405498069779562</v>
      </c>
      <c r="AN4">
        <f t="shared" si="0"/>
        <v>-0.38067905270249108</v>
      </c>
      <c r="AO4">
        <f t="shared" si="0"/>
        <v>-0.33818889878928826</v>
      </c>
      <c r="AP4">
        <f t="shared" si="0"/>
        <v>-0.32400941189263627</v>
      </c>
      <c r="AQ4">
        <f t="shared" si="0"/>
        <v>-0.33752730069057502</v>
      </c>
      <c r="AR4">
        <f t="shared" si="0"/>
        <v>-0.32001036325553656</v>
      </c>
      <c r="AS4">
        <f t="shared" si="0"/>
        <v>-0.21617735121369941</v>
      </c>
      <c r="AT4">
        <f t="shared" si="0"/>
        <v>-0.11533258914148881</v>
      </c>
      <c r="AU4">
        <f t="shared" si="0"/>
        <v>-0.27486887072278182</v>
      </c>
    </row>
    <row r="5" spans="1:47" x14ac:dyDescent="0.25">
      <c r="A5" s="3"/>
      <c r="B5" s="3"/>
      <c r="C5" s="3"/>
      <c r="D5" s="3"/>
      <c r="E5" s="3"/>
      <c r="F5" t="s">
        <v>6</v>
      </c>
      <c r="G5">
        <f>CORREL($D$10:$D$26,G10:G26)</f>
        <v>-0.1426386713229052</v>
      </c>
      <c r="H5">
        <f t="shared" ref="H5:AU5" si="1">CORREL($D$10:$D$26,H10:H26)</f>
        <v>-4.7885932874499458E-2</v>
      </c>
      <c r="I5">
        <f t="shared" si="1"/>
        <v>-0.16560200614885698</v>
      </c>
      <c r="J5">
        <f t="shared" si="1"/>
        <v>-8.5753427807349208E-2</v>
      </c>
      <c r="K5">
        <f t="shared" si="1"/>
        <v>0.14355754849563843</v>
      </c>
      <c r="L5">
        <f t="shared" si="1"/>
        <v>-9.2267477157916208E-2</v>
      </c>
      <c r="M5">
        <f t="shared" si="1"/>
        <v>-5.9064527905523356E-2</v>
      </c>
      <c r="N5">
        <f t="shared" si="1"/>
        <v>0.12943949713068273</v>
      </c>
      <c r="O5">
        <f t="shared" si="1"/>
        <v>8.5800796931099294E-2</v>
      </c>
      <c r="P5">
        <f t="shared" si="1"/>
        <v>8.6964527485138526E-2</v>
      </c>
      <c r="Q5">
        <f t="shared" si="1"/>
        <v>0.10385985766838872</v>
      </c>
      <c r="R5">
        <f t="shared" si="1"/>
        <v>2.7010345779196535E-2</v>
      </c>
      <c r="S5">
        <f t="shared" si="1"/>
        <v>0.18265566188650384</v>
      </c>
      <c r="T5">
        <f t="shared" si="1"/>
        <v>0.25390802548993702</v>
      </c>
      <c r="U5">
        <f t="shared" si="1"/>
        <v>0.10540307785107686</v>
      </c>
      <c r="V5">
        <f t="shared" si="1"/>
        <v>0.1269090463021294</v>
      </c>
      <c r="W5">
        <f t="shared" si="1"/>
        <v>-0.15542470539614542</v>
      </c>
      <c r="X5">
        <f t="shared" si="1"/>
        <v>0.29778104242712766</v>
      </c>
      <c r="Y5">
        <f t="shared" si="1"/>
        <v>-6.8762279174610979E-3</v>
      </c>
      <c r="Z5">
        <f t="shared" si="1"/>
        <v>5.0160793239906749E-2</v>
      </c>
      <c r="AA5">
        <f t="shared" si="1"/>
        <v>0.15055595123765098</v>
      </c>
      <c r="AB5">
        <f t="shared" si="1"/>
        <v>0.18453514895597276</v>
      </c>
      <c r="AC5">
        <f t="shared" si="1"/>
        <v>0.37275890164119974</v>
      </c>
      <c r="AD5">
        <f t="shared" si="1"/>
        <v>0.55315779348560046</v>
      </c>
      <c r="AE5">
        <f t="shared" si="1"/>
        <v>0.36904247938451618</v>
      </c>
      <c r="AF5">
        <f t="shared" si="1"/>
        <v>0.28393628021704426</v>
      </c>
      <c r="AG5">
        <f t="shared" si="1"/>
        <v>0.18676436328287885</v>
      </c>
      <c r="AH5">
        <f t="shared" si="1"/>
        <v>0.15191831250542831</v>
      </c>
      <c r="AI5">
        <f t="shared" si="1"/>
        <v>0.14383834839089782</v>
      </c>
      <c r="AJ5">
        <f t="shared" si="1"/>
        <v>0.28718140022517585</v>
      </c>
      <c r="AK5">
        <f t="shared" si="1"/>
        <v>0.11107192131889612</v>
      </c>
      <c r="AL5">
        <f t="shared" si="1"/>
        <v>5.8093075627979142E-2</v>
      </c>
      <c r="AM5">
        <f t="shared" si="1"/>
        <v>8.1489231873458259E-2</v>
      </c>
      <c r="AN5">
        <f t="shared" si="1"/>
        <v>-8.8011692752814757E-2</v>
      </c>
      <c r="AO5">
        <f t="shared" si="1"/>
        <v>6.0025480761180798E-2</v>
      </c>
      <c r="AP5">
        <f t="shared" si="1"/>
        <v>0.17058495888929343</v>
      </c>
      <c r="AQ5">
        <f t="shared" si="1"/>
        <v>-0.12255420795739469</v>
      </c>
      <c r="AR5">
        <f t="shared" si="1"/>
        <v>-7.8712438987595335E-2</v>
      </c>
      <c r="AS5">
        <f t="shared" si="1"/>
        <v>-0.1661997553269797</v>
      </c>
      <c r="AT5">
        <f t="shared" si="1"/>
        <v>7.3364727820403874E-2</v>
      </c>
      <c r="AU5">
        <f t="shared" si="1"/>
        <v>0.13745300607992095</v>
      </c>
    </row>
    <row r="6" spans="1:47" x14ac:dyDescent="0.25">
      <c r="A6" s="3"/>
      <c r="B6" s="3"/>
      <c r="C6" s="3"/>
      <c r="D6" s="3"/>
      <c r="E6" s="3"/>
      <c r="F6" t="s">
        <v>3</v>
      </c>
      <c r="G6">
        <f>5+G7</f>
        <v>5</v>
      </c>
      <c r="H6">
        <f t="shared" ref="H6:K6" si="2">5+H7</f>
        <v>4</v>
      </c>
      <c r="I6">
        <f t="shared" si="2"/>
        <v>3</v>
      </c>
      <c r="J6">
        <f t="shared" si="2"/>
        <v>2</v>
      </c>
      <c r="K6">
        <f t="shared" si="2"/>
        <v>1</v>
      </c>
      <c r="L6">
        <f>17+L7</f>
        <v>12</v>
      </c>
      <c r="M6">
        <f t="shared" ref="M6:W6" si="3">17+M7</f>
        <v>11</v>
      </c>
      <c r="N6">
        <f t="shared" si="3"/>
        <v>10</v>
      </c>
      <c r="O6">
        <f t="shared" si="3"/>
        <v>9</v>
      </c>
      <c r="P6">
        <f t="shared" si="3"/>
        <v>8</v>
      </c>
      <c r="Q6">
        <f t="shared" si="3"/>
        <v>7</v>
      </c>
      <c r="R6">
        <f t="shared" si="3"/>
        <v>6</v>
      </c>
      <c r="S6">
        <f t="shared" si="3"/>
        <v>5</v>
      </c>
      <c r="T6">
        <f t="shared" si="3"/>
        <v>4</v>
      </c>
      <c r="U6">
        <f t="shared" si="3"/>
        <v>3</v>
      </c>
      <c r="V6">
        <f t="shared" si="3"/>
        <v>2</v>
      </c>
      <c r="W6">
        <f t="shared" si="3"/>
        <v>1</v>
      </c>
      <c r="X6">
        <f>29+X7</f>
        <v>12</v>
      </c>
      <c r="Y6">
        <f t="shared" ref="Y6:AI6" si="4">29+Y7</f>
        <v>11</v>
      </c>
      <c r="Z6">
        <f t="shared" si="4"/>
        <v>10</v>
      </c>
      <c r="AA6">
        <f t="shared" si="4"/>
        <v>9</v>
      </c>
      <c r="AB6">
        <f t="shared" si="4"/>
        <v>8</v>
      </c>
      <c r="AC6">
        <f t="shared" si="4"/>
        <v>7</v>
      </c>
      <c r="AD6">
        <f t="shared" si="4"/>
        <v>6</v>
      </c>
      <c r="AE6">
        <f t="shared" si="4"/>
        <v>5</v>
      </c>
      <c r="AF6">
        <f t="shared" si="4"/>
        <v>4</v>
      </c>
      <c r="AG6">
        <f t="shared" si="4"/>
        <v>3</v>
      </c>
      <c r="AH6">
        <f t="shared" si="4"/>
        <v>2</v>
      </c>
      <c r="AI6">
        <f t="shared" si="4"/>
        <v>1</v>
      </c>
      <c r="AJ6">
        <f>41+AJ7</f>
        <v>12</v>
      </c>
      <c r="AK6">
        <f t="shared" ref="AK6:AU6" si="5">41+AK7</f>
        <v>11</v>
      </c>
      <c r="AL6">
        <f t="shared" si="5"/>
        <v>10</v>
      </c>
      <c r="AM6">
        <f t="shared" si="5"/>
        <v>9</v>
      </c>
      <c r="AN6">
        <f t="shared" si="5"/>
        <v>8</v>
      </c>
      <c r="AO6">
        <f t="shared" si="5"/>
        <v>7</v>
      </c>
      <c r="AP6">
        <f t="shared" si="5"/>
        <v>6</v>
      </c>
      <c r="AQ6">
        <f t="shared" si="5"/>
        <v>5</v>
      </c>
      <c r="AR6">
        <f t="shared" si="5"/>
        <v>4</v>
      </c>
      <c r="AS6">
        <f t="shared" si="5"/>
        <v>3</v>
      </c>
      <c r="AT6">
        <f t="shared" si="5"/>
        <v>2</v>
      </c>
      <c r="AU6">
        <f t="shared" si="5"/>
        <v>1</v>
      </c>
    </row>
    <row r="7" spans="1:47" x14ac:dyDescent="0.25">
      <c r="A7" s="3"/>
      <c r="B7" s="3"/>
      <c r="C7" s="3"/>
      <c r="D7" s="3" t="s">
        <v>0</v>
      </c>
      <c r="E7" s="3"/>
      <c r="F7" t="s">
        <v>7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8</v>
      </c>
    </row>
    <row r="10" spans="1:47" x14ac:dyDescent="0.25">
      <c r="A10">
        <v>1982.375</v>
      </c>
      <c r="B10">
        <v>5</v>
      </c>
      <c r="C10" s="3">
        <v>1.6829712080392252</v>
      </c>
      <c r="D10">
        <v>15.218459850936231</v>
      </c>
      <c r="G10" s="3">
        <v>1.6829712080392252</v>
      </c>
      <c r="H10" s="3">
        <v>2.2472897998692272</v>
      </c>
      <c r="I10" s="3">
        <v>1.5381377024192207</v>
      </c>
      <c r="J10" s="3">
        <v>0.95009040011922963</v>
      </c>
      <c r="K10" s="3">
        <v>0.16778843210923924</v>
      </c>
      <c r="L10" s="3">
        <v>-0.32820109656075358</v>
      </c>
      <c r="M10" s="3">
        <v>0.10288279560923042</v>
      </c>
      <c r="N10" s="3">
        <v>1.1606928748392318</v>
      </c>
      <c r="O10" s="3">
        <v>1.0248394490071275</v>
      </c>
      <c r="P10" s="3">
        <v>1.606789201499234</v>
      </c>
      <c r="Q10" s="3">
        <v>2.394840518709227</v>
      </c>
      <c r="R10" s="3">
        <v>1.0093508307130274</v>
      </c>
      <c r="S10" s="3">
        <v>0.70257197929922732</v>
      </c>
      <c r="T10" s="3">
        <v>0.71152544480922963</v>
      </c>
      <c r="U10" s="3">
        <v>-1.2758133939807617</v>
      </c>
      <c r="V10" s="3">
        <v>-1.1840317151307596</v>
      </c>
      <c r="W10" s="3">
        <v>-2.9731450761907507</v>
      </c>
      <c r="X10" s="3">
        <v>-0.826312025460755</v>
      </c>
      <c r="Y10" s="3">
        <v>-0.82430027525075733</v>
      </c>
      <c r="Z10" s="3">
        <v>-0.21680460930476167</v>
      </c>
      <c r="AA10" s="3">
        <v>1.2002363824092406</v>
      </c>
      <c r="AB10" s="3">
        <v>1.7415489131692448</v>
      </c>
      <c r="AC10" s="3">
        <v>1.1845717860692297</v>
      </c>
      <c r="AD10" s="3">
        <v>1.8719868955192429</v>
      </c>
      <c r="AE10" s="3">
        <v>0.19282233268922738</v>
      </c>
      <c r="AF10" s="3">
        <v>-0.41644266558675735</v>
      </c>
      <c r="AG10" s="3">
        <v>-0.7920709280307725</v>
      </c>
      <c r="AH10" s="3">
        <v>-3.1117011955307636</v>
      </c>
      <c r="AI10" s="3">
        <v>-1.754437314630755</v>
      </c>
      <c r="AJ10" s="3">
        <v>-0.6783287293607636</v>
      </c>
      <c r="AK10" s="3">
        <v>-0.13216066909075941</v>
      </c>
      <c r="AL10" s="3">
        <v>-1.2187106281307756</v>
      </c>
      <c r="AM10" s="3">
        <v>-0.23967928586077691</v>
      </c>
      <c r="AN10" s="3">
        <v>0.41425456986923609</v>
      </c>
      <c r="AO10" s="3">
        <v>1.4262948740692274</v>
      </c>
      <c r="AP10" s="3">
        <v>2.0884129651392276</v>
      </c>
      <c r="AQ10" s="3">
        <v>0.230319378419234</v>
      </c>
      <c r="AR10" s="3">
        <v>0.87058350376922755</v>
      </c>
      <c r="AS10" s="3">
        <v>-0.18409000339077064</v>
      </c>
      <c r="AT10" s="3">
        <v>1.3994548985492341</v>
      </c>
      <c r="AU10" s="3">
        <v>-1.1214605250507683</v>
      </c>
    </row>
    <row r="11" spans="1:47" x14ac:dyDescent="0.25">
      <c r="A11">
        <v>1983.375</v>
      </c>
      <c r="B11">
        <v>5</v>
      </c>
      <c r="C11" s="3">
        <v>-1.5365287291607705</v>
      </c>
      <c r="D11">
        <v>14.585583410250621</v>
      </c>
      <c r="G11" s="3">
        <v>-1.5365287291607705</v>
      </c>
      <c r="H11" s="3">
        <v>-1.6037714177007616</v>
      </c>
      <c r="I11" s="3">
        <v>-4.4186573967507705</v>
      </c>
      <c r="J11" s="3">
        <v>-5.7546631341007721</v>
      </c>
      <c r="K11" s="3">
        <v>-4.2828241200607735</v>
      </c>
      <c r="L11" s="3">
        <v>-3.318813113430755</v>
      </c>
      <c r="M11" s="3">
        <v>-2.2869922902807649</v>
      </c>
      <c r="N11" s="3">
        <v>-1.1141125145307573</v>
      </c>
      <c r="O11" s="3">
        <v>-0.85833921068075947</v>
      </c>
      <c r="P11" s="3">
        <v>0.19842168935924309</v>
      </c>
      <c r="Q11" s="3">
        <v>9.0747949279244927E-2</v>
      </c>
      <c r="R11" s="3">
        <v>0.28020932696923401</v>
      </c>
      <c r="S11" s="3">
        <v>1.6829712080392252</v>
      </c>
      <c r="T11" s="3">
        <v>2.2472897998692272</v>
      </c>
      <c r="U11" s="3">
        <v>1.5381377024192207</v>
      </c>
      <c r="V11" s="3">
        <v>0.95009040011922963</v>
      </c>
      <c r="W11" s="3">
        <v>0.16778843210923924</v>
      </c>
      <c r="X11" s="3">
        <v>-0.32820109656075358</v>
      </c>
      <c r="Y11" s="3">
        <v>0.10288279560923042</v>
      </c>
      <c r="Z11" s="3">
        <v>1.1606928748392318</v>
      </c>
      <c r="AA11" s="3">
        <v>1.0248394490071275</v>
      </c>
      <c r="AB11" s="3">
        <v>1.606789201499234</v>
      </c>
      <c r="AC11" s="3">
        <v>2.394840518709227</v>
      </c>
      <c r="AD11" s="3">
        <v>1.0093508307130274</v>
      </c>
      <c r="AE11" s="3">
        <v>0.70257197929922732</v>
      </c>
      <c r="AF11" s="3">
        <v>0.71152544480922963</v>
      </c>
      <c r="AG11" s="3">
        <v>-1.2758133939807617</v>
      </c>
      <c r="AH11" s="3">
        <v>-1.1840317151307596</v>
      </c>
      <c r="AI11" s="3">
        <v>-2.9731450761907507</v>
      </c>
      <c r="AJ11" s="3">
        <v>-0.826312025460755</v>
      </c>
      <c r="AK11" s="3">
        <v>-0.82430027525075733</v>
      </c>
      <c r="AL11" s="3">
        <v>-0.21680460930476167</v>
      </c>
      <c r="AM11" s="3">
        <v>1.2002363824092406</v>
      </c>
      <c r="AN11" s="3">
        <v>1.7415489131692448</v>
      </c>
      <c r="AO11" s="3">
        <v>1.1845717860692297</v>
      </c>
      <c r="AP11" s="3">
        <v>1.8719868955192429</v>
      </c>
      <c r="AQ11" s="3">
        <v>0.19282233268922738</v>
      </c>
      <c r="AR11" s="3">
        <v>-0.41644266558675735</v>
      </c>
      <c r="AS11" s="3">
        <v>-0.7920709280307725</v>
      </c>
      <c r="AT11" s="3">
        <v>-3.1117011955307636</v>
      </c>
      <c r="AU11" s="3">
        <v>-1.754437314630755</v>
      </c>
    </row>
    <row r="12" spans="1:47" x14ac:dyDescent="0.25">
      <c r="A12">
        <v>1984.375</v>
      </c>
      <c r="B12">
        <v>5</v>
      </c>
      <c r="C12" s="3">
        <v>1.880515014489234</v>
      </c>
      <c r="D12">
        <v>14.108792249196586</v>
      </c>
      <c r="G12" s="3">
        <v>1.880515014489234</v>
      </c>
      <c r="H12" s="3">
        <v>1.4169093568692384</v>
      </c>
      <c r="I12" s="3">
        <v>-1.459145150890766</v>
      </c>
      <c r="J12" s="3">
        <v>-0.25170846241076383</v>
      </c>
      <c r="K12" s="3">
        <v>-0.36195759964077051</v>
      </c>
      <c r="L12" s="3">
        <v>-0.47425017163075722</v>
      </c>
      <c r="M12" s="3">
        <v>-0.51962604492076825</v>
      </c>
      <c r="N12" s="3">
        <v>1.7054727707192336</v>
      </c>
      <c r="O12" s="3">
        <v>1.999494930519234</v>
      </c>
      <c r="P12" s="3">
        <v>1.7188996157552427</v>
      </c>
      <c r="Q12" s="3">
        <v>0.12128620823924474</v>
      </c>
      <c r="R12" s="3">
        <v>-1.4051694421937548</v>
      </c>
      <c r="S12" s="3">
        <v>-1.5365287291607705</v>
      </c>
      <c r="T12" s="3">
        <v>-1.6037714177007616</v>
      </c>
      <c r="U12" s="3">
        <v>-4.4186573967507705</v>
      </c>
      <c r="V12" s="3">
        <v>-5.7546631341007721</v>
      </c>
      <c r="W12" s="3">
        <v>-4.2828241200607735</v>
      </c>
      <c r="X12" s="3">
        <v>-3.318813113430755</v>
      </c>
      <c r="Y12" s="3">
        <v>-2.2869922902807649</v>
      </c>
      <c r="Z12" s="3">
        <v>-1.1141125145307573</v>
      </c>
      <c r="AA12" s="3">
        <v>-0.85833921068075947</v>
      </c>
      <c r="AB12" s="3">
        <v>0.19842168935924309</v>
      </c>
      <c r="AC12" s="3">
        <v>9.0747949279244927E-2</v>
      </c>
      <c r="AD12" s="3">
        <v>0.28020932696923401</v>
      </c>
      <c r="AE12" s="3">
        <v>1.6829712080392252</v>
      </c>
      <c r="AF12" s="3">
        <v>2.2472897998692272</v>
      </c>
      <c r="AG12" s="3">
        <v>1.5381377024192207</v>
      </c>
      <c r="AH12" s="3">
        <v>0.95009040011922963</v>
      </c>
      <c r="AI12" s="3">
        <v>0.16778843210923924</v>
      </c>
      <c r="AJ12" s="3">
        <v>-0.32820109656075358</v>
      </c>
      <c r="AK12" s="3">
        <v>0.10288279560923042</v>
      </c>
      <c r="AL12" s="3">
        <v>1.1606928748392318</v>
      </c>
      <c r="AM12" s="3">
        <v>1.0248394490071275</v>
      </c>
      <c r="AN12" s="3">
        <v>1.606789201499234</v>
      </c>
      <c r="AO12" s="3">
        <v>2.394840518709227</v>
      </c>
      <c r="AP12" s="3">
        <v>1.0093508307130274</v>
      </c>
      <c r="AQ12" s="3">
        <v>0.70257197929922732</v>
      </c>
      <c r="AR12" s="3">
        <v>0.71152544480922963</v>
      </c>
      <c r="AS12" s="3">
        <v>-1.2758133939807617</v>
      </c>
      <c r="AT12" s="3">
        <v>-1.1840317151307596</v>
      </c>
      <c r="AU12" s="3">
        <v>-2.9731450761907507</v>
      </c>
    </row>
    <row r="13" spans="1:47" x14ac:dyDescent="0.25">
      <c r="A13">
        <v>1985.375</v>
      </c>
      <c r="B13">
        <v>5</v>
      </c>
      <c r="C13" s="3">
        <v>3.018522973209234</v>
      </c>
      <c r="D13">
        <v>13.811144352993933</v>
      </c>
      <c r="G13" s="3">
        <v>3.018522973209234</v>
      </c>
      <c r="H13" s="3">
        <v>3.2037219389892342</v>
      </c>
      <c r="I13" s="3">
        <v>2.8503516876992365</v>
      </c>
      <c r="J13" s="3">
        <v>1.5492982089822276</v>
      </c>
      <c r="K13" s="3">
        <v>-1.9206002569707727</v>
      </c>
      <c r="L13" s="3">
        <v>1.132073258699223</v>
      </c>
      <c r="M13" s="3">
        <v>0.48051006084922643</v>
      </c>
      <c r="N13" s="3">
        <v>1.0633639918392426</v>
      </c>
      <c r="O13" s="3">
        <v>0.96519801415922746</v>
      </c>
      <c r="P13" s="3">
        <v>1.8375980735592425</v>
      </c>
      <c r="Q13" s="3">
        <v>2.7315166602692278</v>
      </c>
      <c r="R13" s="3">
        <v>2.1734786425192314</v>
      </c>
      <c r="S13" s="3">
        <v>1.880515014489234</v>
      </c>
      <c r="T13" s="3">
        <v>1.4169093568692384</v>
      </c>
      <c r="U13" s="3">
        <v>-1.459145150890766</v>
      </c>
      <c r="V13" s="3">
        <v>-0.25170846241076383</v>
      </c>
      <c r="W13" s="3">
        <v>-0.36195759964077051</v>
      </c>
      <c r="X13" s="3">
        <v>-0.47425017163075722</v>
      </c>
      <c r="Y13" s="3">
        <v>-0.51962604492076825</v>
      </c>
      <c r="Z13" s="3">
        <v>1.7054727707192336</v>
      </c>
      <c r="AA13" s="3">
        <v>1.999494930519234</v>
      </c>
      <c r="AB13" s="3">
        <v>1.7188996157552427</v>
      </c>
      <c r="AC13" s="3">
        <v>0.12128620823924474</v>
      </c>
      <c r="AD13" s="3">
        <v>-1.4051694421937548</v>
      </c>
      <c r="AE13" s="3">
        <v>-1.5365287291607705</v>
      </c>
      <c r="AF13" s="3">
        <v>-1.6037714177007616</v>
      </c>
      <c r="AG13" s="3">
        <v>-4.4186573967507705</v>
      </c>
      <c r="AH13" s="3">
        <v>-5.7546631341007721</v>
      </c>
      <c r="AI13" s="3">
        <v>-4.2828241200607735</v>
      </c>
      <c r="AJ13" s="3">
        <v>-3.318813113430755</v>
      </c>
      <c r="AK13" s="3">
        <v>-2.2869922902807649</v>
      </c>
      <c r="AL13" s="3">
        <v>-1.1141125145307573</v>
      </c>
      <c r="AM13" s="3">
        <v>-0.85833921068075947</v>
      </c>
      <c r="AN13" s="3">
        <v>0.19842168935924309</v>
      </c>
      <c r="AO13" s="3">
        <v>9.0747949279244927E-2</v>
      </c>
      <c r="AP13" s="3">
        <v>0.28020932696923401</v>
      </c>
      <c r="AQ13" s="3">
        <v>1.6829712080392252</v>
      </c>
      <c r="AR13" s="3">
        <v>2.2472897998692272</v>
      </c>
      <c r="AS13" s="3">
        <v>1.5381377024192207</v>
      </c>
      <c r="AT13" s="3">
        <v>0.95009040011922963</v>
      </c>
      <c r="AU13" s="3">
        <v>0.16778843210923924</v>
      </c>
    </row>
    <row r="14" spans="1:47" x14ac:dyDescent="0.25">
      <c r="A14">
        <v>1986.375</v>
      </c>
      <c r="B14">
        <v>5</v>
      </c>
      <c r="C14" s="3">
        <v>1.1785690316392319</v>
      </c>
      <c r="D14">
        <v>14.682332825362391</v>
      </c>
      <c r="G14" s="3">
        <v>1.1785690316392319</v>
      </c>
      <c r="H14" s="3">
        <v>1.7114235345992364</v>
      </c>
      <c r="I14" s="3">
        <v>-0.43541689654075511</v>
      </c>
      <c r="J14" s="3">
        <v>-2.7417317744307681</v>
      </c>
      <c r="K14" s="3">
        <v>-1.8271438100307529</v>
      </c>
      <c r="L14" s="3">
        <v>-1.8732676199307727</v>
      </c>
      <c r="M14" s="3">
        <v>0.73595420476922957</v>
      </c>
      <c r="N14" s="3">
        <v>1.5659244664692271</v>
      </c>
      <c r="O14" s="3">
        <v>1.8524098023792341</v>
      </c>
      <c r="P14" s="3">
        <v>2.4420961504492311</v>
      </c>
      <c r="Q14" s="3">
        <v>1.9535774414092228</v>
      </c>
      <c r="R14" s="3">
        <v>2.1399495708212228</v>
      </c>
      <c r="S14" s="3">
        <v>3.018522973209234</v>
      </c>
      <c r="T14" s="3">
        <v>3.2037219389892342</v>
      </c>
      <c r="U14" s="3">
        <v>2.8503516876992365</v>
      </c>
      <c r="V14" s="3">
        <v>1.5492982089822276</v>
      </c>
      <c r="W14" s="3">
        <v>-1.9206002569707727</v>
      </c>
      <c r="X14" s="3">
        <v>1.132073258699223</v>
      </c>
      <c r="Y14" s="3">
        <v>0.48051006084922643</v>
      </c>
      <c r="Z14" s="3">
        <v>1.0633639918392426</v>
      </c>
      <c r="AA14" s="3">
        <v>0.96519801415922746</v>
      </c>
      <c r="AB14" s="3">
        <v>1.8375980735592425</v>
      </c>
      <c r="AC14" s="3">
        <v>2.7315166602692278</v>
      </c>
      <c r="AD14" s="3">
        <v>2.1734786425192314</v>
      </c>
      <c r="AE14" s="3">
        <v>1.880515014489234</v>
      </c>
      <c r="AF14" s="3">
        <v>1.4169093568692384</v>
      </c>
      <c r="AG14" s="3">
        <v>-1.459145150890766</v>
      </c>
      <c r="AH14" s="3">
        <v>-0.25170846241076383</v>
      </c>
      <c r="AI14" s="3">
        <v>-0.36195759964077051</v>
      </c>
      <c r="AJ14" s="3">
        <v>-0.47425017163075722</v>
      </c>
      <c r="AK14" s="3">
        <v>-0.51962604492076825</v>
      </c>
      <c r="AL14" s="3">
        <v>1.7054727707192336</v>
      </c>
      <c r="AM14" s="3">
        <v>1.999494930519234</v>
      </c>
      <c r="AN14" s="3">
        <v>1.7188996157552427</v>
      </c>
      <c r="AO14" s="3">
        <v>0.12128620823924474</v>
      </c>
      <c r="AP14" s="3">
        <v>-1.4051694421937548</v>
      </c>
      <c r="AQ14" s="3">
        <v>-1.5365287291607705</v>
      </c>
      <c r="AR14" s="3">
        <v>-1.6037714177007616</v>
      </c>
      <c r="AS14" s="3">
        <v>-4.4186573967507705</v>
      </c>
      <c r="AT14" s="3">
        <v>-5.7546631341007721</v>
      </c>
      <c r="AU14" s="3">
        <v>-4.2828241200607735</v>
      </c>
    </row>
    <row r="15" spans="1:47" x14ac:dyDescent="0.25">
      <c r="A15">
        <v>1987.375</v>
      </c>
      <c r="B15">
        <v>5</v>
      </c>
      <c r="C15" s="3">
        <v>-0.33535354034076137</v>
      </c>
      <c r="D15">
        <v>14.137738923923129</v>
      </c>
      <c r="G15" s="3">
        <v>-0.33535354034076137</v>
      </c>
      <c r="H15" s="3">
        <v>-1.3114206938707769</v>
      </c>
      <c r="I15" s="3">
        <v>-2.4788721167707712</v>
      </c>
      <c r="J15" s="3">
        <v>-2.8403952011307547</v>
      </c>
      <c r="K15" s="3">
        <v>-3.2496489045707593</v>
      </c>
      <c r="L15" s="3">
        <v>-3.9234169669407635</v>
      </c>
      <c r="M15" s="3">
        <v>-1.1159987036507704</v>
      </c>
      <c r="N15" s="3">
        <v>-0.73488822433075951</v>
      </c>
      <c r="O15" s="3">
        <v>2.1393244769225279E-2</v>
      </c>
      <c r="P15" s="3">
        <v>0.346637390069234</v>
      </c>
      <c r="Q15" s="3">
        <v>0.912020787759243</v>
      </c>
      <c r="R15" s="3">
        <v>0.75677649209923836</v>
      </c>
      <c r="S15" s="3">
        <v>1.1785690316392319</v>
      </c>
      <c r="T15" s="3">
        <v>1.7114235345992364</v>
      </c>
      <c r="U15" s="3">
        <v>-0.43541689654075511</v>
      </c>
      <c r="V15" s="3">
        <v>-2.7417317744307681</v>
      </c>
      <c r="W15" s="3">
        <v>-1.8271438100307529</v>
      </c>
      <c r="X15" s="3">
        <v>-1.8732676199307727</v>
      </c>
      <c r="Y15" s="3">
        <v>0.73595420476922957</v>
      </c>
      <c r="Z15" s="3">
        <v>1.5659244664692271</v>
      </c>
      <c r="AA15" s="3">
        <v>1.8524098023792341</v>
      </c>
      <c r="AB15" s="3">
        <v>2.4420961504492311</v>
      </c>
      <c r="AC15" s="3">
        <v>1.9535774414092228</v>
      </c>
      <c r="AD15" s="3">
        <v>2.1399495708212228</v>
      </c>
      <c r="AE15" s="3">
        <v>3.018522973209234</v>
      </c>
      <c r="AF15" s="3">
        <v>3.2037219389892342</v>
      </c>
      <c r="AG15" s="3">
        <v>2.8503516876992365</v>
      </c>
      <c r="AH15" s="3">
        <v>1.5492982089822276</v>
      </c>
      <c r="AI15" s="3">
        <v>-1.9206002569707727</v>
      </c>
      <c r="AJ15" s="3">
        <v>1.132073258699223</v>
      </c>
      <c r="AK15" s="3">
        <v>0.48051006084922643</v>
      </c>
      <c r="AL15" s="3">
        <v>1.0633639918392426</v>
      </c>
      <c r="AM15" s="3">
        <v>0.96519801415922746</v>
      </c>
      <c r="AN15" s="3">
        <v>1.8375980735592425</v>
      </c>
      <c r="AO15" s="3">
        <v>2.7315166602692278</v>
      </c>
      <c r="AP15" s="3">
        <v>2.1734786425192314</v>
      </c>
      <c r="AQ15" s="3">
        <v>1.880515014489234</v>
      </c>
      <c r="AR15" s="3">
        <v>1.4169093568692384</v>
      </c>
      <c r="AS15" s="3">
        <v>-1.459145150890766</v>
      </c>
      <c r="AT15" s="3">
        <v>-0.25170846241076383</v>
      </c>
      <c r="AU15" s="3">
        <v>-0.36195759964077051</v>
      </c>
    </row>
    <row r="16" spans="1:47" x14ac:dyDescent="0.25">
      <c r="A16">
        <v>1988.375</v>
      </c>
      <c r="B16">
        <v>5</v>
      </c>
      <c r="C16" s="3">
        <v>1.8152388873692404</v>
      </c>
      <c r="D16">
        <v>13.901758184899476</v>
      </c>
      <c r="G16" s="3">
        <v>1.8152388873692404</v>
      </c>
      <c r="H16" s="3">
        <v>1.3004161718692424</v>
      </c>
      <c r="I16" s="3">
        <v>0.42120302822923172</v>
      </c>
      <c r="J16" s="3">
        <v>-1.738144879260775</v>
      </c>
      <c r="K16" s="3">
        <v>-1.4435084742307702</v>
      </c>
      <c r="L16" s="3">
        <v>-1.3359299806807639</v>
      </c>
      <c r="M16" s="3">
        <v>-1.46228869434076</v>
      </c>
      <c r="N16" s="3">
        <v>-1.0676690314607571</v>
      </c>
      <c r="O16" s="3">
        <v>-0.84388256081077684</v>
      </c>
      <c r="P16" s="3">
        <v>-0.98430620713077255</v>
      </c>
      <c r="Q16" s="3">
        <v>-1.0628494561707658</v>
      </c>
      <c r="R16" s="3">
        <v>-0.85776481624076351</v>
      </c>
      <c r="S16" s="3">
        <v>-0.33535354034076137</v>
      </c>
      <c r="T16" s="3">
        <v>-1.3114206938707769</v>
      </c>
      <c r="U16" s="3">
        <v>-2.4788721167707712</v>
      </c>
      <c r="V16" s="3">
        <v>-2.8403952011307547</v>
      </c>
      <c r="W16" s="3">
        <v>-3.2496489045707593</v>
      </c>
      <c r="X16" s="3">
        <v>-3.9234169669407635</v>
      </c>
      <c r="Y16" s="3">
        <v>-1.1159987036507704</v>
      </c>
      <c r="Z16" s="3">
        <v>-0.73488822433075951</v>
      </c>
      <c r="AA16" s="3">
        <v>2.1393244769225279E-2</v>
      </c>
      <c r="AB16" s="3">
        <v>0.346637390069234</v>
      </c>
      <c r="AC16" s="3">
        <v>0.912020787759243</v>
      </c>
      <c r="AD16" s="3">
        <v>0.75677649209923836</v>
      </c>
      <c r="AE16" s="3">
        <v>1.1785690316392319</v>
      </c>
      <c r="AF16" s="3">
        <v>1.7114235345992364</v>
      </c>
      <c r="AG16" s="3">
        <v>-0.43541689654075511</v>
      </c>
      <c r="AH16" s="3">
        <v>-2.7417317744307681</v>
      </c>
      <c r="AI16" s="3">
        <v>-1.8271438100307529</v>
      </c>
      <c r="AJ16" s="3">
        <v>-1.8732676199307727</v>
      </c>
      <c r="AK16" s="3">
        <v>0.73595420476922957</v>
      </c>
      <c r="AL16" s="3">
        <v>1.5659244664692271</v>
      </c>
      <c r="AM16" s="3">
        <v>1.8524098023792341</v>
      </c>
      <c r="AN16" s="3">
        <v>2.4420961504492311</v>
      </c>
      <c r="AO16" s="3">
        <v>1.9535774414092228</v>
      </c>
      <c r="AP16" s="3">
        <v>2.1399495708212228</v>
      </c>
      <c r="AQ16" s="3">
        <v>3.018522973209234</v>
      </c>
      <c r="AR16" s="3">
        <v>3.2037219389892342</v>
      </c>
      <c r="AS16" s="3">
        <v>2.8503516876992365</v>
      </c>
      <c r="AT16" s="3">
        <v>1.5492982089822276</v>
      </c>
      <c r="AU16" s="3">
        <v>-1.9206002569707727</v>
      </c>
    </row>
    <row r="17" spans="1:47" x14ac:dyDescent="0.25">
      <c r="A17">
        <v>1989.375</v>
      </c>
      <c r="B17">
        <v>5</v>
      </c>
      <c r="C17" s="3">
        <v>3.101098920829223</v>
      </c>
      <c r="D17">
        <v>13.990083891998522</v>
      </c>
      <c r="G17" s="3">
        <v>3.101098920829223</v>
      </c>
      <c r="H17" s="3">
        <v>2.9412418136592424</v>
      </c>
      <c r="I17" s="3">
        <v>3.3389959835592316</v>
      </c>
      <c r="J17" s="3">
        <v>4.0775932636092254</v>
      </c>
      <c r="K17" s="3">
        <v>3.5894435184692313</v>
      </c>
      <c r="L17" s="3">
        <v>2.3186386828592394</v>
      </c>
      <c r="M17" s="3">
        <v>2.519808289969224</v>
      </c>
      <c r="N17" s="3">
        <v>2.8509511295692231</v>
      </c>
      <c r="O17" s="3">
        <v>4.210773910769225</v>
      </c>
      <c r="P17" s="3">
        <v>3.9125285119692315</v>
      </c>
      <c r="Q17" s="3">
        <v>4.1239791073692293</v>
      </c>
      <c r="R17" s="3">
        <v>2.838481122869227</v>
      </c>
      <c r="S17" s="3">
        <v>1.8152388873692404</v>
      </c>
      <c r="T17" s="3">
        <v>1.3004161718692424</v>
      </c>
      <c r="U17" s="3">
        <v>0.42120302822923172</v>
      </c>
      <c r="V17" s="3">
        <v>-1.738144879260775</v>
      </c>
      <c r="W17" s="3">
        <v>-1.4435084742307702</v>
      </c>
      <c r="X17" s="3">
        <v>-1.3359299806807639</v>
      </c>
      <c r="Y17" s="3">
        <v>-1.46228869434076</v>
      </c>
      <c r="Z17" s="3">
        <v>-1.0676690314607571</v>
      </c>
      <c r="AA17" s="3">
        <v>-0.84388256081077684</v>
      </c>
      <c r="AB17" s="3">
        <v>-0.98430620713077255</v>
      </c>
      <c r="AC17" s="3">
        <v>-1.0628494561707658</v>
      </c>
      <c r="AD17" s="3">
        <v>-0.85776481624076351</v>
      </c>
      <c r="AE17" s="3">
        <v>-0.33535354034076137</v>
      </c>
      <c r="AF17" s="3">
        <v>-1.3114206938707769</v>
      </c>
      <c r="AG17" s="3">
        <v>-2.4788721167707712</v>
      </c>
      <c r="AH17" s="3">
        <v>-2.8403952011307547</v>
      </c>
      <c r="AI17" s="3">
        <v>-3.2496489045707593</v>
      </c>
      <c r="AJ17" s="3">
        <v>-3.9234169669407635</v>
      </c>
      <c r="AK17" s="3">
        <v>-1.1159987036507704</v>
      </c>
      <c r="AL17" s="3">
        <v>-0.73488822433075951</v>
      </c>
      <c r="AM17" s="3">
        <v>2.1393244769225279E-2</v>
      </c>
      <c r="AN17" s="3">
        <v>0.346637390069234</v>
      </c>
      <c r="AO17" s="3">
        <v>0.912020787759243</v>
      </c>
      <c r="AP17" s="3">
        <v>0.75677649209923836</v>
      </c>
      <c r="AQ17" s="3">
        <v>1.1785690316392319</v>
      </c>
      <c r="AR17" s="3">
        <v>1.7114235345992364</v>
      </c>
      <c r="AS17" s="3">
        <v>-0.43541689654075511</v>
      </c>
      <c r="AT17" s="3">
        <v>-2.7417317744307681</v>
      </c>
      <c r="AU17" s="3">
        <v>-1.8271438100307529</v>
      </c>
    </row>
    <row r="18" spans="1:47" x14ac:dyDescent="0.25">
      <c r="A18">
        <v>1990.375</v>
      </c>
      <c r="B18">
        <v>5</v>
      </c>
      <c r="C18" s="3">
        <v>1.2389727557242383</v>
      </c>
      <c r="D18">
        <v>14.405808652726936</v>
      </c>
      <c r="G18" s="3">
        <v>1.2389727557242383</v>
      </c>
      <c r="H18" s="3">
        <v>1.6186363016892316</v>
      </c>
      <c r="I18" s="3">
        <v>0.87342533512922516</v>
      </c>
      <c r="J18" s="3">
        <v>2.4928988691492382</v>
      </c>
      <c r="K18" s="3">
        <v>-6.0649675430752892E-2</v>
      </c>
      <c r="L18" s="3">
        <v>-0.80318400744077045</v>
      </c>
      <c r="M18" s="3">
        <v>1.7226007102992229</v>
      </c>
      <c r="N18" s="3">
        <v>2.123144150119245</v>
      </c>
      <c r="O18" s="3">
        <v>1.9350583343592276</v>
      </c>
      <c r="P18" s="3">
        <v>2.4970583207292276</v>
      </c>
      <c r="Q18" s="3">
        <v>3.1293092386692387</v>
      </c>
      <c r="R18" s="3">
        <v>2.5792642141692426</v>
      </c>
      <c r="S18" s="3">
        <v>3.101098920829223</v>
      </c>
      <c r="T18" s="3">
        <v>2.9412418136592424</v>
      </c>
      <c r="U18" s="3">
        <v>3.3389959835592316</v>
      </c>
      <c r="V18" s="3">
        <v>4.0775932636092254</v>
      </c>
      <c r="W18" s="3">
        <v>3.5894435184692313</v>
      </c>
      <c r="X18" s="3">
        <v>2.3186386828592394</v>
      </c>
      <c r="Y18" s="3">
        <v>2.519808289969224</v>
      </c>
      <c r="Z18" s="3">
        <v>2.8509511295692231</v>
      </c>
      <c r="AA18" s="3">
        <v>4.210773910769225</v>
      </c>
      <c r="AB18" s="3">
        <v>3.9125285119692315</v>
      </c>
      <c r="AC18" s="3">
        <v>4.1239791073692293</v>
      </c>
      <c r="AD18" s="3">
        <v>2.838481122869227</v>
      </c>
      <c r="AE18" s="3">
        <v>1.8152388873692404</v>
      </c>
      <c r="AF18" s="3">
        <v>1.3004161718692424</v>
      </c>
      <c r="AG18" s="3">
        <v>0.42120302822923172</v>
      </c>
      <c r="AH18" s="3">
        <v>-1.738144879260775</v>
      </c>
      <c r="AI18" s="3">
        <v>-1.4435084742307702</v>
      </c>
      <c r="AJ18" s="3">
        <v>-1.3359299806807639</v>
      </c>
      <c r="AK18" s="3">
        <v>-1.46228869434076</v>
      </c>
      <c r="AL18" s="3">
        <v>-1.0676690314607571</v>
      </c>
      <c r="AM18" s="3">
        <v>-0.84388256081077684</v>
      </c>
      <c r="AN18" s="3">
        <v>-0.98430620713077255</v>
      </c>
      <c r="AO18" s="3">
        <v>-1.0628494561707658</v>
      </c>
      <c r="AP18" s="3">
        <v>-0.85776481624076351</v>
      </c>
      <c r="AQ18" s="3">
        <v>-0.33535354034076137</v>
      </c>
      <c r="AR18" s="3">
        <v>-1.3114206938707769</v>
      </c>
      <c r="AS18" s="3">
        <v>-2.4788721167707712</v>
      </c>
      <c r="AT18" s="3">
        <v>-2.8403952011307547</v>
      </c>
      <c r="AU18" s="3">
        <v>-3.2496489045707593</v>
      </c>
    </row>
    <row r="19" spans="1:47" x14ac:dyDescent="0.25">
      <c r="A19">
        <v>1991.375</v>
      </c>
      <c r="B19">
        <v>5</v>
      </c>
      <c r="C19" s="3">
        <v>1.5588966751912405</v>
      </c>
      <c r="D19">
        <v>14.303456400719938</v>
      </c>
      <c r="G19" s="3">
        <v>1.5588966751912405</v>
      </c>
      <c r="H19" s="3">
        <v>1.6316906620592251</v>
      </c>
      <c r="I19" s="3">
        <v>1.2957303481892386</v>
      </c>
      <c r="J19" s="3">
        <v>-1.2335507462607638</v>
      </c>
      <c r="K19" s="3">
        <v>0.16320301782923852</v>
      </c>
      <c r="L19" s="3">
        <v>1.1043187677692341</v>
      </c>
      <c r="M19" s="3">
        <v>2.7184411626292273</v>
      </c>
      <c r="N19" s="3">
        <v>1.6554374506492406</v>
      </c>
      <c r="O19" s="3">
        <v>0.73988715803922955</v>
      </c>
      <c r="P19" s="3">
        <v>1.2394592322392297</v>
      </c>
      <c r="Q19" s="3">
        <v>1.5319094081492275</v>
      </c>
      <c r="R19" s="3">
        <v>1.4473524387232231</v>
      </c>
      <c r="S19" s="3">
        <v>1.2389727557242383</v>
      </c>
      <c r="T19" s="3">
        <v>1.6186363016892316</v>
      </c>
      <c r="U19" s="3">
        <v>0.87342533512922516</v>
      </c>
      <c r="V19" s="3">
        <v>2.4928988691492382</v>
      </c>
      <c r="W19" s="3">
        <v>-6.0649675430752892E-2</v>
      </c>
      <c r="X19" s="3">
        <v>-0.80318400744077045</v>
      </c>
      <c r="Y19" s="3">
        <v>1.7226007102992229</v>
      </c>
      <c r="Z19" s="3">
        <v>2.123144150119245</v>
      </c>
      <c r="AA19" s="3">
        <v>1.9350583343592276</v>
      </c>
      <c r="AB19" s="3">
        <v>2.4970583207292276</v>
      </c>
      <c r="AC19" s="3">
        <v>3.1293092386692387</v>
      </c>
      <c r="AD19" s="3">
        <v>2.5792642141692426</v>
      </c>
      <c r="AE19" s="3">
        <v>3.101098920829223</v>
      </c>
      <c r="AF19" s="3">
        <v>2.9412418136592424</v>
      </c>
      <c r="AG19" s="3">
        <v>3.3389959835592316</v>
      </c>
      <c r="AH19" s="3">
        <v>4.0775932636092254</v>
      </c>
      <c r="AI19" s="3">
        <v>3.5894435184692313</v>
      </c>
      <c r="AJ19" s="3">
        <v>2.3186386828592394</v>
      </c>
      <c r="AK19" s="3">
        <v>2.519808289969224</v>
      </c>
      <c r="AL19" s="3">
        <v>2.8509511295692231</v>
      </c>
      <c r="AM19" s="3">
        <v>4.210773910769225</v>
      </c>
      <c r="AN19" s="3">
        <v>3.9125285119692315</v>
      </c>
      <c r="AO19" s="3">
        <v>4.1239791073692293</v>
      </c>
      <c r="AP19" s="3">
        <v>2.838481122869227</v>
      </c>
      <c r="AQ19" s="3">
        <v>1.8152388873692404</v>
      </c>
      <c r="AR19" s="3">
        <v>1.3004161718692424</v>
      </c>
      <c r="AS19" s="3">
        <v>0.42120302822923172</v>
      </c>
      <c r="AT19" s="3">
        <v>-1.738144879260775</v>
      </c>
      <c r="AU19" s="3">
        <v>-1.4435084742307702</v>
      </c>
    </row>
    <row r="20" spans="1:47" x14ac:dyDescent="0.25">
      <c r="A20">
        <v>1992.375</v>
      </c>
      <c r="B20">
        <v>5</v>
      </c>
      <c r="C20" s="3">
        <v>-0.84115852963076165</v>
      </c>
      <c r="D20">
        <v>14.451491534318048</v>
      </c>
      <c r="G20" s="3">
        <v>-0.84115852963076165</v>
      </c>
      <c r="H20" s="3">
        <v>-1.4262157430307572</v>
      </c>
      <c r="I20" s="3">
        <v>-1.6423887356207789</v>
      </c>
      <c r="J20" s="3">
        <v>-2.3034867752407635</v>
      </c>
      <c r="K20" s="3">
        <v>-4.0346397557107512</v>
      </c>
      <c r="L20" s="3">
        <v>-1.5787000165107659</v>
      </c>
      <c r="M20" s="3">
        <v>-1.6823914399807602</v>
      </c>
      <c r="N20" s="3">
        <v>-0.45250741993075744</v>
      </c>
      <c r="O20" s="3">
        <v>-0.43909391222076166</v>
      </c>
      <c r="P20" s="3">
        <v>0.99610122664924261</v>
      </c>
      <c r="Q20" s="3">
        <v>1.3196503246692344</v>
      </c>
      <c r="R20" s="3">
        <v>1.5908299070092362</v>
      </c>
      <c r="S20" s="3">
        <v>1.5588966751912405</v>
      </c>
      <c r="T20" s="3">
        <v>1.6316906620592251</v>
      </c>
      <c r="U20" s="3">
        <v>1.2957303481892386</v>
      </c>
      <c r="V20" s="3">
        <v>-1.2335507462607638</v>
      </c>
      <c r="W20" s="3">
        <v>0.16320301782923852</v>
      </c>
      <c r="X20" s="3">
        <v>1.1043187677692341</v>
      </c>
      <c r="Y20" s="3">
        <v>2.7184411626292273</v>
      </c>
      <c r="Z20" s="3">
        <v>1.6554374506492406</v>
      </c>
      <c r="AA20" s="3">
        <v>0.73988715803922955</v>
      </c>
      <c r="AB20" s="3">
        <v>1.2394592322392297</v>
      </c>
      <c r="AC20" s="3">
        <v>1.5319094081492275</v>
      </c>
      <c r="AD20" s="3">
        <v>1.4473524387232231</v>
      </c>
      <c r="AE20" s="3">
        <v>1.2389727557242383</v>
      </c>
      <c r="AF20" s="3">
        <v>1.6186363016892316</v>
      </c>
      <c r="AG20" s="3">
        <v>0.87342533512922516</v>
      </c>
      <c r="AH20" s="3">
        <v>2.4928988691492382</v>
      </c>
      <c r="AI20" s="3">
        <v>-6.0649675430752892E-2</v>
      </c>
      <c r="AJ20" s="3">
        <v>-0.80318400744077045</v>
      </c>
      <c r="AK20" s="3">
        <v>1.7226007102992229</v>
      </c>
      <c r="AL20" s="3">
        <v>2.123144150119245</v>
      </c>
      <c r="AM20" s="3">
        <v>1.9350583343592276</v>
      </c>
      <c r="AN20" s="3">
        <v>2.4970583207292276</v>
      </c>
      <c r="AO20" s="3">
        <v>3.1293092386692387</v>
      </c>
      <c r="AP20" s="3">
        <v>2.5792642141692426</v>
      </c>
      <c r="AQ20" s="3">
        <v>3.101098920829223</v>
      </c>
      <c r="AR20" s="3">
        <v>2.9412418136592424</v>
      </c>
      <c r="AS20" s="3">
        <v>3.3389959835592316</v>
      </c>
      <c r="AT20" s="3">
        <v>4.0775932636092254</v>
      </c>
      <c r="AU20" s="3">
        <v>3.5894435184692313</v>
      </c>
    </row>
    <row r="21" spans="1:47" x14ac:dyDescent="0.25">
      <c r="A21">
        <v>1993.375</v>
      </c>
      <c r="B21">
        <v>5</v>
      </c>
      <c r="C21" s="3">
        <v>-1.7499852617307701</v>
      </c>
      <c r="D21">
        <v>14.763319000146321</v>
      </c>
      <c r="G21" s="3">
        <v>-1.7499852617307701</v>
      </c>
      <c r="H21" s="3">
        <v>-1.4652308750507557</v>
      </c>
      <c r="I21" s="3">
        <v>-1.400128325530777</v>
      </c>
      <c r="J21" s="3">
        <v>-2.5427820538307531</v>
      </c>
      <c r="K21" s="3">
        <v>-6.6647353730779207E-2</v>
      </c>
      <c r="L21" s="3">
        <v>0.2562015870692339</v>
      </c>
      <c r="M21" s="3">
        <v>-0.76324945283075885</v>
      </c>
      <c r="N21" s="3">
        <v>-0.47740350051075731</v>
      </c>
      <c r="O21" s="3">
        <v>0.67246091184924062</v>
      </c>
      <c r="P21" s="3">
        <v>0.91106123696924057</v>
      </c>
      <c r="Q21" s="3">
        <v>0.30045070326922318</v>
      </c>
      <c r="R21" s="3">
        <v>-1.121383650430777</v>
      </c>
      <c r="S21" s="3">
        <v>-0.84115852963076165</v>
      </c>
      <c r="T21" s="3">
        <v>-1.4262157430307572</v>
      </c>
      <c r="U21" s="3">
        <v>-1.6423887356207789</v>
      </c>
      <c r="V21" s="3">
        <v>-2.3034867752407635</v>
      </c>
      <c r="W21" s="3">
        <v>-4.0346397557107512</v>
      </c>
      <c r="X21" s="3">
        <v>-1.5787000165107659</v>
      </c>
      <c r="Y21" s="3">
        <v>-1.6823914399807602</v>
      </c>
      <c r="Z21" s="3">
        <v>-0.45250741993075744</v>
      </c>
      <c r="AA21" s="3">
        <v>-0.43909391222076166</v>
      </c>
      <c r="AB21" s="3">
        <v>0.99610122664924261</v>
      </c>
      <c r="AC21" s="3">
        <v>1.3196503246692344</v>
      </c>
      <c r="AD21" s="3">
        <v>1.5908299070092362</v>
      </c>
      <c r="AE21" s="3">
        <v>1.5588966751912405</v>
      </c>
      <c r="AF21" s="3">
        <v>1.6316906620592251</v>
      </c>
      <c r="AG21" s="3">
        <v>1.2957303481892386</v>
      </c>
      <c r="AH21" s="3">
        <v>-1.2335507462607638</v>
      </c>
      <c r="AI21" s="3">
        <v>0.16320301782923852</v>
      </c>
      <c r="AJ21" s="3">
        <v>1.1043187677692341</v>
      </c>
      <c r="AK21" s="3">
        <v>2.7184411626292273</v>
      </c>
      <c r="AL21" s="3">
        <v>1.6554374506492406</v>
      </c>
      <c r="AM21" s="3">
        <v>0.73988715803922955</v>
      </c>
      <c r="AN21" s="3">
        <v>1.2394592322392297</v>
      </c>
      <c r="AO21" s="3">
        <v>1.5319094081492275</v>
      </c>
      <c r="AP21" s="3">
        <v>1.4473524387232231</v>
      </c>
      <c r="AQ21" s="3">
        <v>1.2389727557242383</v>
      </c>
      <c r="AR21" s="3">
        <v>1.6186363016892316</v>
      </c>
      <c r="AS21" s="3">
        <v>0.87342533512922516</v>
      </c>
      <c r="AT21" s="3">
        <v>2.4928988691492382</v>
      </c>
      <c r="AU21" s="3">
        <v>-6.0649675430752892E-2</v>
      </c>
    </row>
    <row r="22" spans="1:47" x14ac:dyDescent="0.25">
      <c r="A22">
        <v>1994.375</v>
      </c>
      <c r="B22">
        <v>5</v>
      </c>
      <c r="C22" s="3">
        <v>0.48058693018923609</v>
      </c>
      <c r="D22">
        <v>14.177694609743154</v>
      </c>
      <c r="G22" s="3">
        <v>0.48058693018923609</v>
      </c>
      <c r="H22" s="3">
        <v>0.43658393346923852</v>
      </c>
      <c r="I22" s="3">
        <v>0.55829599056923407</v>
      </c>
      <c r="J22" s="3">
        <v>-0.26735246563077253</v>
      </c>
      <c r="K22" s="3">
        <v>-0.96840572933077751</v>
      </c>
      <c r="L22" s="3">
        <v>-1.3840851574307529</v>
      </c>
      <c r="M22" s="3">
        <v>-0.34274929363076823</v>
      </c>
      <c r="N22" s="3">
        <v>-1.003711165430766</v>
      </c>
      <c r="O22" s="3">
        <v>3.3413247869227392E-2</v>
      </c>
      <c r="P22" s="3">
        <v>-0.23892460953076178</v>
      </c>
      <c r="Q22" s="3">
        <v>-5.7858695630772616E-2</v>
      </c>
      <c r="R22" s="3">
        <v>-1.2440622765307658</v>
      </c>
      <c r="S22" s="3">
        <v>-1.7499852617307701</v>
      </c>
      <c r="T22" s="3">
        <v>-1.4652308750507557</v>
      </c>
      <c r="U22" s="3">
        <v>-1.400128325530777</v>
      </c>
      <c r="V22" s="3">
        <v>-2.5427820538307531</v>
      </c>
      <c r="W22" s="3">
        <v>-6.6647353730779207E-2</v>
      </c>
      <c r="X22" s="3">
        <v>0.2562015870692339</v>
      </c>
      <c r="Y22" s="3">
        <v>-0.76324945283075885</v>
      </c>
      <c r="Z22" s="3">
        <v>-0.47740350051075731</v>
      </c>
      <c r="AA22" s="3">
        <v>0.67246091184924062</v>
      </c>
      <c r="AB22" s="3">
        <v>0.91106123696924057</v>
      </c>
      <c r="AC22" s="3">
        <v>0.30045070326922318</v>
      </c>
      <c r="AD22" s="3">
        <v>-1.121383650430777</v>
      </c>
      <c r="AE22" s="3">
        <v>-0.84115852963076165</v>
      </c>
      <c r="AF22" s="3">
        <v>-1.4262157430307572</v>
      </c>
      <c r="AG22" s="3">
        <v>-1.6423887356207789</v>
      </c>
      <c r="AH22" s="3">
        <v>-2.3034867752407635</v>
      </c>
      <c r="AI22" s="3">
        <v>-4.0346397557107512</v>
      </c>
      <c r="AJ22" s="3">
        <v>-1.5787000165107659</v>
      </c>
      <c r="AK22" s="3">
        <v>-1.6823914399807602</v>
      </c>
      <c r="AL22" s="3">
        <v>-0.45250741993075744</v>
      </c>
      <c r="AM22" s="3">
        <v>-0.43909391222076166</v>
      </c>
      <c r="AN22" s="3">
        <v>0.99610122664924261</v>
      </c>
      <c r="AO22" s="3">
        <v>1.3196503246692344</v>
      </c>
      <c r="AP22" s="3">
        <v>1.5908299070092362</v>
      </c>
      <c r="AQ22" s="3">
        <v>1.5588966751912405</v>
      </c>
      <c r="AR22" s="3">
        <v>1.6316906620592251</v>
      </c>
      <c r="AS22" s="3">
        <v>1.2957303481892386</v>
      </c>
      <c r="AT22" s="3">
        <v>-1.2335507462607638</v>
      </c>
      <c r="AU22" s="3">
        <v>0.16320301782923852</v>
      </c>
    </row>
    <row r="23" spans="1:47" x14ac:dyDescent="0.25">
      <c r="A23">
        <v>1995.375</v>
      </c>
      <c r="B23">
        <v>5</v>
      </c>
      <c r="C23" s="3">
        <v>7.6683764169240554E-2</v>
      </c>
      <c r="D23">
        <v>13.606017029666093</v>
      </c>
      <c r="G23" s="3">
        <v>7.6683764169240554E-2</v>
      </c>
      <c r="H23" s="3">
        <v>0.10972375916922747</v>
      </c>
      <c r="I23" s="3">
        <v>-0.31761633993075511</v>
      </c>
      <c r="J23" s="3">
        <v>-1.3699783146307574</v>
      </c>
      <c r="K23" s="3">
        <v>-2.2407406892407531</v>
      </c>
      <c r="L23" s="3">
        <v>-1.0063510335307699</v>
      </c>
      <c r="M23" s="3">
        <v>1.3061153370692451</v>
      </c>
      <c r="N23" s="3">
        <v>-0.22854296843077238</v>
      </c>
      <c r="O23" s="3">
        <v>0.54970240346922294</v>
      </c>
      <c r="P23" s="3">
        <v>1.4629862816792296</v>
      </c>
      <c r="Q23" s="3">
        <v>1.3126903932192404</v>
      </c>
      <c r="R23" s="3">
        <v>1.4165573207592337</v>
      </c>
      <c r="S23" s="3">
        <v>0.48058693018923609</v>
      </c>
      <c r="T23" s="3">
        <v>0.43658393346923852</v>
      </c>
      <c r="U23" s="3">
        <v>0.55829599056923407</v>
      </c>
      <c r="V23" s="3">
        <v>-0.26735246563077253</v>
      </c>
      <c r="W23" s="3">
        <v>-0.96840572933077751</v>
      </c>
      <c r="X23" s="3">
        <v>-1.3840851574307529</v>
      </c>
      <c r="Y23" s="3">
        <v>-0.34274929363076823</v>
      </c>
      <c r="Z23" s="3">
        <v>-1.003711165430766</v>
      </c>
      <c r="AA23" s="3">
        <v>3.3413247869227392E-2</v>
      </c>
      <c r="AB23" s="3">
        <v>-0.23892460953076178</v>
      </c>
      <c r="AC23" s="3">
        <v>-5.7858695630772616E-2</v>
      </c>
      <c r="AD23" s="3">
        <v>-1.2440622765307658</v>
      </c>
      <c r="AE23" s="3">
        <v>-1.7499852617307701</v>
      </c>
      <c r="AF23" s="3">
        <v>-1.4652308750507557</v>
      </c>
      <c r="AG23" s="3">
        <v>-1.400128325530777</v>
      </c>
      <c r="AH23" s="3">
        <v>-2.5427820538307531</v>
      </c>
      <c r="AI23" s="3">
        <v>-6.6647353730779207E-2</v>
      </c>
      <c r="AJ23" s="3">
        <v>0.2562015870692339</v>
      </c>
      <c r="AK23" s="3">
        <v>-0.76324945283075885</v>
      </c>
      <c r="AL23" s="3">
        <v>-0.47740350051075731</v>
      </c>
      <c r="AM23" s="3">
        <v>0.67246091184924062</v>
      </c>
      <c r="AN23" s="3">
        <v>0.91106123696924057</v>
      </c>
      <c r="AO23" s="3">
        <v>0.30045070326922318</v>
      </c>
      <c r="AP23" s="3">
        <v>-1.121383650430777</v>
      </c>
      <c r="AQ23" s="3">
        <v>-0.84115852963076165</v>
      </c>
      <c r="AR23" s="3">
        <v>-1.4262157430307572</v>
      </c>
      <c r="AS23" s="3">
        <v>-1.6423887356207789</v>
      </c>
      <c r="AT23" s="3">
        <v>-2.3034867752407635</v>
      </c>
      <c r="AU23" s="3">
        <v>-4.0346397557107512</v>
      </c>
    </row>
    <row r="24" spans="1:47" x14ac:dyDescent="0.25">
      <c r="A24">
        <v>1996.375</v>
      </c>
      <c r="B24">
        <v>5</v>
      </c>
      <c r="C24" s="3">
        <v>0.93481068946924495</v>
      </c>
      <c r="D24">
        <v>14.299890757692967</v>
      </c>
      <c r="G24" s="3">
        <v>0.93481068946924495</v>
      </c>
      <c r="H24" s="3">
        <v>-9.6817897150762722E-2</v>
      </c>
      <c r="I24" s="3">
        <v>0.34425614486924488</v>
      </c>
      <c r="J24" s="3">
        <v>5.2294937169236277E-2</v>
      </c>
      <c r="K24" s="3">
        <v>0.12928496692922442</v>
      </c>
      <c r="L24" s="3">
        <v>-1.3773610517907746</v>
      </c>
      <c r="M24" s="3">
        <v>1.5170529866692426</v>
      </c>
      <c r="N24" s="3">
        <v>1.4887714762392252</v>
      </c>
      <c r="O24" s="3">
        <v>0.48882257341924473</v>
      </c>
      <c r="P24" s="3">
        <v>2.4735421464692338</v>
      </c>
      <c r="Q24" s="3">
        <v>1.2489220058692447</v>
      </c>
      <c r="R24" s="3">
        <v>0.55404742496924286</v>
      </c>
      <c r="S24" s="3">
        <v>7.6683764169240554E-2</v>
      </c>
      <c r="T24" s="3">
        <v>0.10972375916922747</v>
      </c>
      <c r="U24" s="3">
        <v>-0.31761633993075511</v>
      </c>
      <c r="V24" s="3">
        <v>-1.3699783146307574</v>
      </c>
      <c r="W24" s="3">
        <v>-2.2407406892407531</v>
      </c>
      <c r="X24" s="3">
        <v>-1.0063510335307699</v>
      </c>
      <c r="Y24" s="3">
        <v>1.3061153370692451</v>
      </c>
      <c r="Z24" s="3">
        <v>-0.22854296843077238</v>
      </c>
      <c r="AA24" s="3">
        <v>0.54970240346922294</v>
      </c>
      <c r="AB24" s="3">
        <v>1.4629862816792296</v>
      </c>
      <c r="AC24" s="3">
        <v>1.3126903932192404</v>
      </c>
      <c r="AD24" s="3">
        <v>1.4165573207592337</v>
      </c>
      <c r="AE24" s="3">
        <v>0.48058693018923609</v>
      </c>
      <c r="AF24" s="3">
        <v>0.43658393346923852</v>
      </c>
      <c r="AG24" s="3">
        <v>0.55829599056923407</v>
      </c>
      <c r="AH24" s="3">
        <v>-0.26735246563077253</v>
      </c>
      <c r="AI24" s="3">
        <v>-0.96840572933077751</v>
      </c>
      <c r="AJ24" s="3">
        <v>-1.3840851574307529</v>
      </c>
      <c r="AK24" s="3">
        <v>-0.34274929363076823</v>
      </c>
      <c r="AL24" s="3">
        <v>-1.003711165430766</v>
      </c>
      <c r="AM24" s="3">
        <v>3.3413247869227392E-2</v>
      </c>
      <c r="AN24" s="3">
        <v>-0.23892460953076178</v>
      </c>
      <c r="AO24" s="3">
        <v>-5.7858695630772616E-2</v>
      </c>
      <c r="AP24" s="3">
        <v>-1.2440622765307658</v>
      </c>
      <c r="AQ24" s="3">
        <v>-1.7499852617307701</v>
      </c>
      <c r="AR24" s="3">
        <v>-1.4652308750507557</v>
      </c>
      <c r="AS24" s="3">
        <v>-1.400128325530777</v>
      </c>
      <c r="AT24" s="3">
        <v>-2.5427820538307531</v>
      </c>
      <c r="AU24" s="3">
        <v>-6.6647353730779207E-2</v>
      </c>
    </row>
    <row r="25" spans="1:47" x14ac:dyDescent="0.25">
      <c r="A25">
        <v>1997.375</v>
      </c>
      <c r="B25">
        <v>5</v>
      </c>
      <c r="C25" s="3">
        <v>-1.0207669603507683</v>
      </c>
      <c r="D25">
        <v>13.614185826706141</v>
      </c>
      <c r="G25" s="3">
        <v>-1.0207669603507683</v>
      </c>
      <c r="H25" s="3">
        <v>-9.7373376630768144E-2</v>
      </c>
      <c r="I25" s="3">
        <v>1.4184623768092359</v>
      </c>
      <c r="J25" s="3">
        <v>-0.48558845493075964</v>
      </c>
      <c r="K25" s="3">
        <v>-1.4328003235307725</v>
      </c>
      <c r="L25" s="3">
        <v>0.25270418406924511</v>
      </c>
      <c r="M25" s="3">
        <v>0.81910462036922738</v>
      </c>
      <c r="N25" s="3">
        <v>1.2670931882692424</v>
      </c>
      <c r="O25" s="3">
        <v>1.252030043689234</v>
      </c>
      <c r="P25" s="3">
        <v>2.7404304538592403</v>
      </c>
      <c r="Q25" s="3">
        <v>2.3489521429392384</v>
      </c>
      <c r="R25" s="3">
        <v>1.766043151369225</v>
      </c>
      <c r="S25" s="3">
        <v>0.93481068946924495</v>
      </c>
      <c r="T25" s="3">
        <v>-9.6817897150762722E-2</v>
      </c>
      <c r="U25" s="3">
        <v>0.34425614486924488</v>
      </c>
      <c r="V25" s="3">
        <v>5.2294937169236277E-2</v>
      </c>
      <c r="W25" s="3">
        <v>0.12928496692922442</v>
      </c>
      <c r="X25" s="3">
        <v>-1.3773610517907746</v>
      </c>
      <c r="Y25" s="3">
        <v>1.5170529866692426</v>
      </c>
      <c r="Z25" s="3">
        <v>1.4887714762392252</v>
      </c>
      <c r="AA25" s="3">
        <v>0.48882257341924473</v>
      </c>
      <c r="AB25" s="3">
        <v>2.4735421464692338</v>
      </c>
      <c r="AC25" s="3">
        <v>1.2489220058692447</v>
      </c>
      <c r="AD25" s="3">
        <v>0.55404742496924286</v>
      </c>
      <c r="AE25" s="3">
        <v>7.6683764169240554E-2</v>
      </c>
      <c r="AF25" s="3">
        <v>0.10972375916922747</v>
      </c>
      <c r="AG25" s="3">
        <v>-0.31761633993075511</v>
      </c>
      <c r="AH25" s="3">
        <v>-1.3699783146307574</v>
      </c>
      <c r="AI25" s="3">
        <v>-2.2407406892407531</v>
      </c>
      <c r="AJ25" s="3">
        <v>-1.0063510335307699</v>
      </c>
      <c r="AK25" s="3">
        <v>1.3061153370692451</v>
      </c>
      <c r="AL25" s="3">
        <v>-0.22854296843077238</v>
      </c>
      <c r="AM25" s="3">
        <v>0.54970240346922294</v>
      </c>
      <c r="AN25" s="3">
        <v>1.4629862816792296</v>
      </c>
      <c r="AO25" s="3">
        <v>1.3126903932192404</v>
      </c>
      <c r="AP25" s="3">
        <v>1.4165573207592337</v>
      </c>
      <c r="AQ25" s="3">
        <v>0.48058693018923609</v>
      </c>
      <c r="AR25" s="3">
        <v>0.43658393346923852</v>
      </c>
      <c r="AS25" s="3">
        <v>0.55829599056923407</v>
      </c>
      <c r="AT25" s="3">
        <v>-0.26735246563077253</v>
      </c>
      <c r="AU25" s="3">
        <v>-0.96840572933077751</v>
      </c>
    </row>
    <row r="26" spans="1:47" x14ac:dyDescent="0.25">
      <c r="A26">
        <v>1998.375</v>
      </c>
      <c r="B26">
        <v>5</v>
      </c>
      <c r="C26" s="3">
        <v>0.36530161782924503</v>
      </c>
      <c r="D26">
        <v>13.807034657227396</v>
      </c>
      <c r="G26" s="3">
        <v>0.36530161782924503</v>
      </c>
      <c r="H26" s="3">
        <v>-0.67479155132076152</v>
      </c>
      <c r="I26" s="3">
        <v>-2.787153976350762</v>
      </c>
      <c r="J26" s="3">
        <v>-4.7932476183307555</v>
      </c>
      <c r="K26" s="3">
        <v>-5.1007095236207638</v>
      </c>
      <c r="L26" s="3">
        <v>-3.1512866676807603</v>
      </c>
      <c r="M26" s="3">
        <v>-3.1398037807207642</v>
      </c>
      <c r="N26" s="3">
        <v>-2.6304183801607746</v>
      </c>
      <c r="O26" s="3">
        <v>-2.6443173447007617</v>
      </c>
      <c r="P26" s="3">
        <v>-2.0635819996307614</v>
      </c>
      <c r="Q26" s="3">
        <v>-1.616506618360757</v>
      </c>
      <c r="R26" s="3">
        <v>-2.2607291906107592</v>
      </c>
      <c r="S26" s="3">
        <v>-1.0207669603507683</v>
      </c>
      <c r="T26" s="3">
        <v>-9.7373376630768144E-2</v>
      </c>
      <c r="U26" s="3">
        <v>1.4184623768092359</v>
      </c>
      <c r="V26" s="3">
        <v>-0.48558845493075964</v>
      </c>
      <c r="W26" s="3">
        <v>-1.4328003235307725</v>
      </c>
      <c r="X26" s="3">
        <v>0.25270418406924511</v>
      </c>
      <c r="Y26" s="3">
        <v>0.81910462036922738</v>
      </c>
      <c r="Z26" s="3">
        <v>1.2670931882692424</v>
      </c>
      <c r="AA26" s="3">
        <v>1.252030043689234</v>
      </c>
      <c r="AB26" s="3">
        <v>2.7404304538592403</v>
      </c>
      <c r="AC26" s="3">
        <v>2.3489521429392384</v>
      </c>
      <c r="AD26" s="3">
        <v>1.766043151369225</v>
      </c>
      <c r="AE26" s="3">
        <v>0.93481068946924495</v>
      </c>
      <c r="AF26" s="3">
        <v>-9.6817897150762722E-2</v>
      </c>
      <c r="AG26" s="3">
        <v>0.34425614486924488</v>
      </c>
      <c r="AH26" s="3">
        <v>5.2294937169236277E-2</v>
      </c>
      <c r="AI26" s="3">
        <v>0.12928496692922442</v>
      </c>
      <c r="AJ26" s="3">
        <v>-1.3773610517907746</v>
      </c>
      <c r="AK26" s="3">
        <v>1.5170529866692426</v>
      </c>
      <c r="AL26" s="3">
        <v>1.4887714762392252</v>
      </c>
      <c r="AM26" s="3">
        <v>0.48882257341924473</v>
      </c>
      <c r="AN26" s="3">
        <v>2.4735421464692338</v>
      </c>
      <c r="AO26" s="3">
        <v>1.2489220058692447</v>
      </c>
      <c r="AP26" s="3">
        <v>0.55404742496924286</v>
      </c>
      <c r="AQ26" s="3">
        <v>7.6683764169240554E-2</v>
      </c>
      <c r="AR26" s="3">
        <v>0.10972375916922747</v>
      </c>
      <c r="AS26" s="3">
        <v>-0.31761633993075511</v>
      </c>
      <c r="AT26" s="3">
        <v>-1.3699783146307574</v>
      </c>
      <c r="AU26" s="3">
        <v>-2.2407406892407531</v>
      </c>
    </row>
    <row r="27" spans="1:47" x14ac:dyDescent="0.25">
      <c r="A27">
        <v>1999.375</v>
      </c>
      <c r="B27">
        <v>5</v>
      </c>
      <c r="C27" s="3">
        <v>4.2896200438692365</v>
      </c>
      <c r="D27">
        <v>13.021010478000681</v>
      </c>
      <c r="G27" s="3">
        <v>4.2896200438692365</v>
      </c>
      <c r="H27" s="3">
        <v>4.2750099174692346</v>
      </c>
      <c r="I27" s="3">
        <v>2.720610813269225</v>
      </c>
      <c r="J27" s="3">
        <v>2.0505162265692274</v>
      </c>
      <c r="K27" s="3">
        <v>2.0362881506692445</v>
      </c>
      <c r="L27" s="3">
        <v>3.053984121499234</v>
      </c>
      <c r="M27" s="3">
        <v>2.044175869139242</v>
      </c>
      <c r="N27" s="3">
        <v>3.7128887155072277</v>
      </c>
      <c r="O27" s="3">
        <v>3.4363206710852405</v>
      </c>
      <c r="P27" s="3">
        <v>4.4289432049292321</v>
      </c>
      <c r="Q27" s="3">
        <v>3.8889257109492208</v>
      </c>
      <c r="R27" s="3">
        <v>2.0395898820592362</v>
      </c>
      <c r="S27" s="3">
        <v>0.36530161782924503</v>
      </c>
      <c r="T27" s="3">
        <v>-0.67479155132076152</v>
      </c>
      <c r="U27" s="3">
        <v>-2.787153976350762</v>
      </c>
      <c r="V27" s="3">
        <v>-4.7932476183307555</v>
      </c>
      <c r="W27" s="3">
        <v>-5.1007095236207638</v>
      </c>
      <c r="X27" s="3">
        <v>-3.1512866676807603</v>
      </c>
      <c r="Y27" s="3">
        <v>-3.1398037807207642</v>
      </c>
      <c r="Z27" s="3">
        <v>-2.6304183801607746</v>
      </c>
      <c r="AA27" s="3">
        <v>-2.6443173447007617</v>
      </c>
      <c r="AB27" s="3">
        <v>-2.0635819996307614</v>
      </c>
      <c r="AC27" s="3">
        <v>-1.616506618360757</v>
      </c>
      <c r="AD27" s="3">
        <v>-2.2607291906107592</v>
      </c>
      <c r="AE27" s="3">
        <v>-1.0207669603507683</v>
      </c>
      <c r="AF27" s="3">
        <v>-9.7373376630768144E-2</v>
      </c>
      <c r="AG27" s="3">
        <v>1.4184623768092359</v>
      </c>
      <c r="AH27" s="3">
        <v>-0.48558845493075964</v>
      </c>
      <c r="AI27" s="3">
        <v>-1.4328003235307725</v>
      </c>
      <c r="AJ27" s="3">
        <v>0.25270418406924511</v>
      </c>
      <c r="AK27" s="3">
        <v>0.81910462036922738</v>
      </c>
      <c r="AL27" s="3">
        <v>1.2670931882692424</v>
      </c>
      <c r="AM27" s="3">
        <v>1.252030043689234</v>
      </c>
      <c r="AN27" s="3">
        <v>2.7404304538592403</v>
      </c>
      <c r="AO27" s="3">
        <v>2.3489521429392384</v>
      </c>
      <c r="AP27" s="3">
        <v>1.766043151369225</v>
      </c>
      <c r="AQ27" s="3">
        <v>0.93481068946924495</v>
      </c>
      <c r="AR27" s="3">
        <v>-9.6817897150762722E-2</v>
      </c>
      <c r="AS27" s="3">
        <v>0.34425614486924488</v>
      </c>
      <c r="AT27" s="3">
        <v>5.2294937169236277E-2</v>
      </c>
      <c r="AU27" s="3">
        <v>0.12928496692922442</v>
      </c>
    </row>
    <row r="28" spans="1:47" x14ac:dyDescent="0.25">
      <c r="A28">
        <v>2000.375</v>
      </c>
      <c r="B28">
        <v>5</v>
      </c>
      <c r="C28" s="3">
        <v>3.5373226747692317</v>
      </c>
      <c r="D28">
        <v>14.111620736259018</v>
      </c>
      <c r="G28" s="3">
        <v>3.5373226747692317</v>
      </c>
      <c r="H28" s="3">
        <v>3.0903652242692421</v>
      </c>
      <c r="I28" s="3">
        <v>1.4600406446692253</v>
      </c>
      <c r="J28" s="3">
        <v>0.9794701684692293</v>
      </c>
      <c r="K28" s="3">
        <v>4.1817926795692255</v>
      </c>
      <c r="L28" s="3">
        <v>3.394136948569225</v>
      </c>
      <c r="M28" s="3">
        <v>3.509488163569245</v>
      </c>
      <c r="N28" s="3">
        <v>4.1367831363692362</v>
      </c>
      <c r="O28" s="3">
        <v>3.8332401099692253</v>
      </c>
      <c r="P28" s="3">
        <v>3.4883985685692318</v>
      </c>
      <c r="Q28" s="3">
        <v>4.7052333398692276</v>
      </c>
      <c r="R28" s="3">
        <v>4.0284021538692274</v>
      </c>
      <c r="S28" s="3">
        <v>4.2896200438692365</v>
      </c>
      <c r="T28" s="3">
        <v>4.2750099174692346</v>
      </c>
      <c r="U28" s="3">
        <v>2.720610813269225</v>
      </c>
      <c r="V28" s="3">
        <v>2.0505162265692274</v>
      </c>
      <c r="W28" s="3">
        <v>2.0362881506692445</v>
      </c>
      <c r="X28" s="3">
        <v>3.053984121499234</v>
      </c>
      <c r="Y28" s="3">
        <v>2.044175869139242</v>
      </c>
      <c r="Z28" s="3">
        <v>3.7128887155072277</v>
      </c>
      <c r="AA28" s="3">
        <v>3.4363206710852405</v>
      </c>
      <c r="AB28" s="3">
        <v>4.4289432049292321</v>
      </c>
      <c r="AC28" s="3">
        <v>3.8889257109492208</v>
      </c>
      <c r="AD28" s="3">
        <v>2.0395898820592362</v>
      </c>
      <c r="AE28" s="3">
        <v>0.36530161782924503</v>
      </c>
      <c r="AF28" s="3">
        <v>-0.67479155132076152</v>
      </c>
      <c r="AG28" s="3">
        <v>-2.787153976350762</v>
      </c>
      <c r="AH28" s="3">
        <v>-4.7932476183307555</v>
      </c>
      <c r="AI28" s="3">
        <v>-5.1007095236207638</v>
      </c>
      <c r="AJ28" s="3">
        <v>-3.1512866676807603</v>
      </c>
      <c r="AK28" s="3">
        <v>-3.1398037807207642</v>
      </c>
      <c r="AL28" s="3">
        <v>-2.6304183801607746</v>
      </c>
      <c r="AM28" s="3">
        <v>-2.6443173447007617</v>
      </c>
      <c r="AN28" s="3">
        <v>-2.0635819996307614</v>
      </c>
      <c r="AO28" s="3">
        <v>-1.616506618360757</v>
      </c>
      <c r="AP28" s="3">
        <v>-2.2607291906107592</v>
      </c>
      <c r="AQ28" s="3">
        <v>-1.0207669603507683</v>
      </c>
      <c r="AR28" s="3">
        <v>-9.7373376630768144E-2</v>
      </c>
      <c r="AS28" s="3">
        <v>1.4184623768092359</v>
      </c>
      <c r="AT28" s="3">
        <v>-0.48558845493075964</v>
      </c>
      <c r="AU28" s="3">
        <v>-1.4328003235307725</v>
      </c>
    </row>
    <row r="29" spans="1:47" x14ac:dyDescent="0.25">
      <c r="A29">
        <v>2001.375</v>
      </c>
      <c r="B29">
        <v>5</v>
      </c>
      <c r="C29" s="3">
        <v>2.8748315578692294</v>
      </c>
      <c r="D29">
        <v>14.554483946545496</v>
      </c>
      <c r="G29" s="3">
        <v>2.8748315578692294</v>
      </c>
      <c r="H29" s="3">
        <v>3.2092950798692228</v>
      </c>
      <c r="I29" s="3">
        <v>1.7469426557692425</v>
      </c>
      <c r="J29" s="3">
        <v>1.4616929183692422</v>
      </c>
      <c r="K29" s="3">
        <v>-0.38835567963076423</v>
      </c>
      <c r="L29" s="3">
        <v>-0.22668680423076398</v>
      </c>
      <c r="M29" s="3">
        <v>1.6595333543692334</v>
      </c>
      <c r="N29" s="3">
        <v>2.6644051674692379</v>
      </c>
      <c r="O29" s="3">
        <v>2.5123353872692271</v>
      </c>
      <c r="P29" s="3">
        <v>3.4102340611692208</v>
      </c>
      <c r="Q29" s="3">
        <v>3.4716817257692343</v>
      </c>
      <c r="R29" s="3">
        <v>3.2955469341692334</v>
      </c>
      <c r="S29" s="3">
        <v>3.5373226747692317</v>
      </c>
      <c r="T29" s="3">
        <v>3.0903652242692421</v>
      </c>
      <c r="U29" s="3">
        <v>1.4600406446692253</v>
      </c>
      <c r="V29" s="3">
        <v>0.9794701684692293</v>
      </c>
      <c r="W29" s="3">
        <v>4.1817926795692255</v>
      </c>
      <c r="X29" s="3">
        <v>3.394136948569225</v>
      </c>
      <c r="Y29" s="3">
        <v>3.509488163569245</v>
      </c>
      <c r="Z29" s="3">
        <v>4.1367831363692362</v>
      </c>
      <c r="AA29" s="3">
        <v>3.8332401099692253</v>
      </c>
      <c r="AB29" s="3">
        <v>3.4883985685692318</v>
      </c>
      <c r="AC29" s="3">
        <v>4.7052333398692276</v>
      </c>
      <c r="AD29" s="3">
        <v>4.0284021538692274</v>
      </c>
      <c r="AE29" s="3">
        <v>4.2896200438692365</v>
      </c>
      <c r="AF29" s="3">
        <v>4.2750099174692346</v>
      </c>
      <c r="AG29" s="3">
        <v>2.720610813269225</v>
      </c>
      <c r="AH29" s="3">
        <v>2.0505162265692274</v>
      </c>
      <c r="AI29" s="3">
        <v>2.0362881506692445</v>
      </c>
      <c r="AJ29" s="3">
        <v>3.053984121499234</v>
      </c>
      <c r="AK29" s="3">
        <v>2.044175869139242</v>
      </c>
      <c r="AL29" s="3">
        <v>3.7128887155072277</v>
      </c>
      <c r="AM29" s="3">
        <v>3.4363206710852405</v>
      </c>
      <c r="AN29" s="3">
        <v>4.4289432049292321</v>
      </c>
      <c r="AO29" s="3">
        <v>3.8889257109492208</v>
      </c>
      <c r="AP29" s="3">
        <v>2.0395898820592362</v>
      </c>
      <c r="AQ29" s="3">
        <v>0.36530161782924503</v>
      </c>
      <c r="AR29" s="3">
        <v>-0.67479155132076152</v>
      </c>
      <c r="AS29" s="3">
        <v>-2.787153976350762</v>
      </c>
      <c r="AT29" s="3">
        <v>-4.7932476183307555</v>
      </c>
      <c r="AU29" s="3">
        <v>-5.1007095236207638</v>
      </c>
    </row>
    <row r="30" spans="1:47" x14ac:dyDescent="0.25">
      <c r="A30">
        <v>2002.375</v>
      </c>
      <c r="B30">
        <v>5</v>
      </c>
      <c r="C30" s="3">
        <v>1.9076068417692387</v>
      </c>
      <c r="D30">
        <v>13.447030557545556</v>
      </c>
      <c r="G30" s="3">
        <v>1.9076068417692387</v>
      </c>
      <c r="H30" s="3">
        <v>3.0384176178892228</v>
      </c>
      <c r="I30" s="3">
        <v>2.3836384248692406</v>
      </c>
      <c r="J30" s="3">
        <v>1.7291000883692318</v>
      </c>
      <c r="K30" s="3">
        <v>0.57640479186923832</v>
      </c>
      <c r="L30" s="3">
        <v>0.41005423246923839</v>
      </c>
      <c r="M30" s="3">
        <v>0.95477888506922737</v>
      </c>
      <c r="N30" s="3">
        <v>2.6059359112692251</v>
      </c>
      <c r="O30" s="3">
        <v>2.3933862785692384</v>
      </c>
      <c r="P30" s="3">
        <v>2.724954240169227</v>
      </c>
      <c r="Q30" s="3">
        <v>3.197693081169227</v>
      </c>
      <c r="R30" s="3">
        <v>3.2077139517692337</v>
      </c>
      <c r="S30" s="3">
        <v>2.8748315578692294</v>
      </c>
      <c r="T30" s="3">
        <v>3.2092950798692228</v>
      </c>
      <c r="U30" s="3">
        <v>1.7469426557692425</v>
      </c>
      <c r="V30" s="3">
        <v>1.4616929183692422</v>
      </c>
      <c r="W30" s="3">
        <v>-0.38835567963076423</v>
      </c>
      <c r="X30" s="3">
        <v>-0.22668680423076398</v>
      </c>
      <c r="Y30" s="3">
        <v>1.6595333543692334</v>
      </c>
      <c r="Z30" s="3">
        <v>2.6644051674692379</v>
      </c>
      <c r="AA30" s="3">
        <v>2.5123353872692271</v>
      </c>
      <c r="AB30" s="3">
        <v>3.4102340611692208</v>
      </c>
      <c r="AC30" s="3">
        <v>3.4716817257692343</v>
      </c>
      <c r="AD30" s="3">
        <v>3.2955469341692334</v>
      </c>
      <c r="AE30" s="3">
        <v>3.5373226747692317</v>
      </c>
      <c r="AF30" s="3">
        <v>3.0903652242692421</v>
      </c>
      <c r="AG30" s="3">
        <v>1.4600406446692253</v>
      </c>
      <c r="AH30" s="3">
        <v>0.9794701684692293</v>
      </c>
      <c r="AI30" s="3">
        <v>4.1817926795692255</v>
      </c>
      <c r="AJ30" s="3">
        <v>3.394136948569225</v>
      </c>
      <c r="AK30" s="3">
        <v>3.509488163569245</v>
      </c>
      <c r="AL30" s="3">
        <v>4.1367831363692362</v>
      </c>
      <c r="AM30" s="3">
        <v>3.8332401099692253</v>
      </c>
      <c r="AN30" s="3">
        <v>3.4883985685692318</v>
      </c>
      <c r="AO30" s="3">
        <v>4.7052333398692276</v>
      </c>
      <c r="AP30" s="3">
        <v>4.0284021538692274</v>
      </c>
      <c r="AQ30" s="3">
        <v>4.2896200438692365</v>
      </c>
      <c r="AR30" s="3">
        <v>4.2750099174692346</v>
      </c>
      <c r="AS30" s="3">
        <v>2.720610813269225</v>
      </c>
      <c r="AT30" s="3">
        <v>2.0505162265692274</v>
      </c>
      <c r="AU30" s="3">
        <v>2.0362881506692445</v>
      </c>
    </row>
    <row r="31" spans="1:47" x14ac:dyDescent="0.25">
      <c r="A31">
        <v>2003.375</v>
      </c>
      <c r="B31">
        <v>5</v>
      </c>
      <c r="C31" s="3">
        <v>2.2880968023692252</v>
      </c>
      <c r="D31">
        <v>14.694996121473876</v>
      </c>
      <c r="G31" s="3">
        <v>2.2880968023692252</v>
      </c>
      <c r="H31" s="3">
        <v>1.3477316226692384</v>
      </c>
      <c r="I31" s="3">
        <v>-0.21509650943075509</v>
      </c>
      <c r="J31" s="3">
        <v>-1.3804676941707616</v>
      </c>
      <c r="K31" s="3">
        <v>-3.3722278468307572</v>
      </c>
      <c r="L31" s="3">
        <v>-2.8223534988307661</v>
      </c>
      <c r="M31" s="3">
        <v>-2.5511742228307752</v>
      </c>
      <c r="N31" s="3">
        <v>-0.85183288539076163</v>
      </c>
      <c r="O31" s="3">
        <v>0.39340332639922526</v>
      </c>
      <c r="P31" s="3">
        <v>0.59083584561924296</v>
      </c>
      <c r="Q31" s="3">
        <v>1.6826666062692384</v>
      </c>
      <c r="R31" s="3">
        <v>1.4205022298692254</v>
      </c>
      <c r="S31" s="3">
        <v>1.9076068417692387</v>
      </c>
      <c r="T31" s="3">
        <v>3.0384176178892228</v>
      </c>
      <c r="U31" s="3">
        <v>2.3836384248692406</v>
      </c>
      <c r="V31" s="3">
        <v>1.7291000883692318</v>
      </c>
      <c r="W31" s="3">
        <v>0.57640479186923832</v>
      </c>
      <c r="X31" s="3">
        <v>0.41005423246923839</v>
      </c>
      <c r="Y31" s="3">
        <v>0.95477888506922737</v>
      </c>
      <c r="Z31" s="3">
        <v>2.6059359112692251</v>
      </c>
      <c r="AA31" s="3">
        <v>2.3933862785692384</v>
      </c>
      <c r="AB31" s="3">
        <v>2.724954240169227</v>
      </c>
      <c r="AC31" s="3">
        <v>3.197693081169227</v>
      </c>
      <c r="AD31" s="3">
        <v>3.2077139517692337</v>
      </c>
      <c r="AE31" s="3">
        <v>2.8748315578692294</v>
      </c>
      <c r="AF31" s="3">
        <v>3.2092950798692228</v>
      </c>
      <c r="AG31" s="3">
        <v>1.7469426557692425</v>
      </c>
      <c r="AH31" s="3">
        <v>1.4616929183692422</v>
      </c>
      <c r="AI31" s="3">
        <v>-0.38835567963076423</v>
      </c>
      <c r="AJ31" s="3">
        <v>-0.22668680423076398</v>
      </c>
      <c r="AK31" s="3">
        <v>1.6595333543692334</v>
      </c>
      <c r="AL31" s="3">
        <v>2.6644051674692379</v>
      </c>
      <c r="AM31" s="3">
        <v>2.5123353872692271</v>
      </c>
      <c r="AN31" s="3">
        <v>3.4102340611692208</v>
      </c>
      <c r="AO31" s="3">
        <v>3.4716817257692343</v>
      </c>
      <c r="AP31" s="3">
        <v>3.2955469341692334</v>
      </c>
      <c r="AQ31" s="3">
        <v>3.5373226747692317</v>
      </c>
      <c r="AR31" s="3">
        <v>3.0903652242692421</v>
      </c>
      <c r="AS31" s="3">
        <v>1.4600406446692253</v>
      </c>
      <c r="AT31" s="3">
        <v>0.9794701684692293</v>
      </c>
      <c r="AU31" s="3">
        <v>4.1817926795692255</v>
      </c>
    </row>
    <row r="32" spans="1:47" x14ac:dyDescent="0.25">
      <c r="A32">
        <v>2004.375</v>
      </c>
      <c r="B32">
        <v>5</v>
      </c>
      <c r="C32" s="3">
        <v>1.3046613783592229</v>
      </c>
      <c r="D32">
        <v>14.539423153314031</v>
      </c>
      <c r="G32" s="3">
        <v>1.3046613783592229</v>
      </c>
      <c r="H32" s="3">
        <v>0.59094081723922087</v>
      </c>
      <c r="I32" s="3">
        <v>1.4408482313592275</v>
      </c>
      <c r="J32" s="3">
        <v>-1.6729482482407596</v>
      </c>
      <c r="K32" s="3">
        <v>-1.095964693210753</v>
      </c>
      <c r="L32" s="3">
        <v>-1.0499957530007684</v>
      </c>
      <c r="M32" s="3">
        <v>1.8076010837492387</v>
      </c>
      <c r="N32" s="3">
        <v>5.9040367769244984E-2</v>
      </c>
      <c r="O32" s="3">
        <v>1.020079867869234</v>
      </c>
      <c r="P32" s="3">
        <v>1.3330668343492251</v>
      </c>
      <c r="Q32" s="3">
        <v>2.0764134763692423</v>
      </c>
      <c r="R32" s="3">
        <v>1.538133375409245</v>
      </c>
      <c r="S32" s="3">
        <v>2.2880968023692252</v>
      </c>
      <c r="T32" s="3">
        <v>1.3477316226692384</v>
      </c>
      <c r="U32" s="3">
        <v>-0.21509650943075509</v>
      </c>
      <c r="V32" s="3">
        <v>-1.3804676941707616</v>
      </c>
      <c r="W32" s="3">
        <v>-3.3722278468307572</v>
      </c>
      <c r="X32" s="3">
        <v>-2.8223534988307661</v>
      </c>
      <c r="Y32" s="3">
        <v>-2.5511742228307752</v>
      </c>
      <c r="Z32" s="3">
        <v>-0.85183288539076163</v>
      </c>
      <c r="AA32" s="3">
        <v>0.39340332639922526</v>
      </c>
      <c r="AB32" s="3">
        <v>0.59083584561924296</v>
      </c>
      <c r="AC32" s="3">
        <v>1.6826666062692384</v>
      </c>
      <c r="AD32" s="3">
        <v>1.4205022298692254</v>
      </c>
      <c r="AE32" s="3">
        <v>1.9076068417692387</v>
      </c>
      <c r="AF32" s="3">
        <v>3.0384176178892228</v>
      </c>
      <c r="AG32" s="3">
        <v>2.3836384248692406</v>
      </c>
      <c r="AH32" s="3">
        <v>1.7291000883692318</v>
      </c>
      <c r="AI32" s="3">
        <v>0.57640479186923832</v>
      </c>
      <c r="AJ32" s="3">
        <v>0.41005423246923839</v>
      </c>
      <c r="AK32" s="3">
        <v>0.95477888506922737</v>
      </c>
      <c r="AL32" s="3">
        <v>2.6059359112692251</v>
      </c>
      <c r="AM32" s="3">
        <v>2.3933862785692384</v>
      </c>
      <c r="AN32" s="3">
        <v>2.724954240169227</v>
      </c>
      <c r="AO32" s="3">
        <v>3.197693081169227</v>
      </c>
      <c r="AP32" s="3">
        <v>3.2077139517692337</v>
      </c>
      <c r="AQ32" s="3">
        <v>2.8748315578692294</v>
      </c>
      <c r="AR32" s="3">
        <v>3.2092950798692228</v>
      </c>
      <c r="AS32" s="3">
        <v>1.7469426557692425</v>
      </c>
      <c r="AT32" s="3">
        <v>1.4616929183692422</v>
      </c>
      <c r="AU32" s="3">
        <v>-0.38835567963076423</v>
      </c>
    </row>
    <row r="33" spans="1:47" x14ac:dyDescent="0.25">
      <c r="A33">
        <v>2005.375</v>
      </c>
      <c r="B33">
        <v>5</v>
      </c>
      <c r="C33" s="3">
        <v>-0.5079246517307725</v>
      </c>
      <c r="D33">
        <v>15.116512872941898</v>
      </c>
      <c r="G33" s="3">
        <v>-0.5079246517307725</v>
      </c>
      <c r="H33" s="3">
        <v>0.29846351686923395</v>
      </c>
      <c r="I33" s="3">
        <v>-1.6761749096307603</v>
      </c>
      <c r="J33" s="3">
        <v>-1.3825177939307545</v>
      </c>
      <c r="K33" s="3">
        <v>-1.774578943930764</v>
      </c>
      <c r="L33" s="3">
        <v>-0.34530564288076371</v>
      </c>
      <c r="M33" s="3">
        <v>0.32788333794924063</v>
      </c>
      <c r="N33" s="3">
        <v>0.44187939644322305</v>
      </c>
      <c r="O33" s="3">
        <v>0.97939350272924519</v>
      </c>
      <c r="P33" s="3">
        <v>0.19707756144923189</v>
      </c>
      <c r="Q33" s="3">
        <v>0.82747681711923837</v>
      </c>
      <c r="R33" s="3">
        <v>1.9188675702592293</v>
      </c>
      <c r="S33" s="3">
        <v>1.3046613783592229</v>
      </c>
      <c r="T33" s="3">
        <v>0.59094081723922087</v>
      </c>
      <c r="U33" s="3">
        <v>1.4408482313592275</v>
      </c>
      <c r="V33" s="3">
        <v>-1.6729482482407596</v>
      </c>
      <c r="W33" s="3">
        <v>-1.095964693210753</v>
      </c>
      <c r="X33" s="3">
        <v>-1.0499957530007684</v>
      </c>
      <c r="Y33" s="3">
        <v>1.8076010837492387</v>
      </c>
      <c r="Z33" s="3">
        <v>5.9040367769244984E-2</v>
      </c>
      <c r="AA33" s="3">
        <v>1.020079867869234</v>
      </c>
      <c r="AB33" s="3">
        <v>1.3330668343492251</v>
      </c>
      <c r="AC33" s="3">
        <v>2.0764134763692423</v>
      </c>
      <c r="AD33" s="3">
        <v>1.538133375409245</v>
      </c>
      <c r="AE33" s="3">
        <v>2.2880968023692252</v>
      </c>
      <c r="AF33" s="3">
        <v>1.3477316226692384</v>
      </c>
      <c r="AG33" s="3">
        <v>-0.21509650943075509</v>
      </c>
      <c r="AH33" s="3">
        <v>-1.3804676941707616</v>
      </c>
      <c r="AI33" s="3">
        <v>-3.3722278468307572</v>
      </c>
      <c r="AJ33" s="3">
        <v>-2.8223534988307661</v>
      </c>
      <c r="AK33" s="3">
        <v>-2.5511742228307752</v>
      </c>
      <c r="AL33" s="3">
        <v>-0.85183288539076163</v>
      </c>
      <c r="AM33" s="3">
        <v>0.39340332639922526</v>
      </c>
      <c r="AN33" s="3">
        <v>0.59083584561924296</v>
      </c>
      <c r="AO33" s="3">
        <v>1.6826666062692384</v>
      </c>
      <c r="AP33" s="3">
        <v>1.4205022298692254</v>
      </c>
      <c r="AQ33" s="3">
        <v>1.9076068417692387</v>
      </c>
      <c r="AR33" s="3">
        <v>3.0384176178892228</v>
      </c>
      <c r="AS33" s="3">
        <v>2.3836384248692406</v>
      </c>
      <c r="AT33" s="3">
        <v>1.7291000883692318</v>
      </c>
      <c r="AU33" s="3">
        <v>0.57640479186923832</v>
      </c>
    </row>
    <row r="34" spans="1:47" x14ac:dyDescent="0.25">
      <c r="A34">
        <v>2006.375</v>
      </c>
      <c r="B34">
        <v>5</v>
      </c>
      <c r="C34" s="3">
        <v>2.1628221249392339</v>
      </c>
      <c r="D34">
        <v>14.820480907121938</v>
      </c>
      <c r="G34" s="3">
        <v>2.1628221249392339</v>
      </c>
      <c r="H34" s="3">
        <v>2.2926456901192314</v>
      </c>
      <c r="I34" s="3">
        <v>1.9418874460192272</v>
      </c>
      <c r="J34" s="3">
        <v>1.5328446123392316</v>
      </c>
      <c r="K34" s="3">
        <v>0.24639725443924221</v>
      </c>
      <c r="L34" s="3">
        <v>-1.7059552504307725</v>
      </c>
      <c r="M34" s="3">
        <v>2.3657050289692316</v>
      </c>
      <c r="N34" s="3">
        <v>2.1485403461692405</v>
      </c>
      <c r="O34" s="3">
        <v>1.8314558438692428</v>
      </c>
      <c r="P34" s="3">
        <v>1.3496924048692274</v>
      </c>
      <c r="Q34" s="3">
        <v>1.4338550498692317</v>
      </c>
      <c r="R34" s="3">
        <v>0.3387690722692363</v>
      </c>
      <c r="S34" s="3">
        <v>-0.5079246517307725</v>
      </c>
      <c r="T34" s="3">
        <v>0.29846351686923395</v>
      </c>
      <c r="U34" s="3">
        <v>-1.6761749096307603</v>
      </c>
      <c r="V34" s="3">
        <v>-1.3825177939307545</v>
      </c>
      <c r="W34" s="3">
        <v>-1.774578943930764</v>
      </c>
      <c r="X34" s="3">
        <v>-0.34530564288076371</v>
      </c>
      <c r="Y34" s="3">
        <v>0.32788333794924063</v>
      </c>
      <c r="Z34" s="3">
        <v>0.44187939644322305</v>
      </c>
      <c r="AA34" s="3">
        <v>0.97939350272924519</v>
      </c>
      <c r="AB34" s="3">
        <v>0.19707756144923189</v>
      </c>
      <c r="AC34" s="3">
        <v>0.82747681711923837</v>
      </c>
      <c r="AD34" s="3">
        <v>1.9188675702592293</v>
      </c>
      <c r="AE34" s="3">
        <v>1.3046613783592229</v>
      </c>
      <c r="AF34" s="3">
        <v>0.59094081723922087</v>
      </c>
      <c r="AG34" s="3">
        <v>1.4408482313592275</v>
      </c>
      <c r="AH34" s="3">
        <v>-1.6729482482407596</v>
      </c>
      <c r="AI34" s="3">
        <v>-1.095964693210753</v>
      </c>
      <c r="AJ34" s="3">
        <v>-1.0499957530007684</v>
      </c>
      <c r="AK34" s="3">
        <v>1.8076010837492387</v>
      </c>
      <c r="AL34" s="3">
        <v>5.9040367769244984E-2</v>
      </c>
      <c r="AM34" s="3">
        <v>1.020079867869234</v>
      </c>
      <c r="AN34" s="3">
        <v>1.3330668343492251</v>
      </c>
      <c r="AO34" s="3">
        <v>2.0764134763692423</v>
      </c>
      <c r="AP34" s="3">
        <v>1.538133375409245</v>
      </c>
      <c r="AQ34" s="3">
        <v>2.2880968023692252</v>
      </c>
      <c r="AR34" s="3">
        <v>1.3477316226692384</v>
      </c>
      <c r="AS34" s="3">
        <v>-0.21509650943075509</v>
      </c>
      <c r="AT34" s="3">
        <v>-1.3804676941707616</v>
      </c>
      <c r="AU34" s="3">
        <v>-3.3722278468307572</v>
      </c>
    </row>
    <row r="35" spans="1:47" x14ac:dyDescent="0.25">
      <c r="A35">
        <v>2007.375</v>
      </c>
      <c r="B35">
        <v>5</v>
      </c>
      <c r="C35" s="3">
        <v>2.2741382218892316</v>
      </c>
      <c r="D35">
        <v>14.719511318850405</v>
      </c>
      <c r="G35" s="3">
        <v>2.2741382218892316</v>
      </c>
      <c r="H35" s="3">
        <v>0.91576861426923528</v>
      </c>
      <c r="I35" s="3">
        <v>1.5584511780692361</v>
      </c>
      <c r="J35" s="3">
        <v>-0.38390259033377455</v>
      </c>
      <c r="K35" s="3">
        <v>-0.29827832770077151</v>
      </c>
      <c r="L35" s="3">
        <v>-1.3194225846907526</v>
      </c>
      <c r="M35" s="3">
        <v>0.34878441866923404</v>
      </c>
      <c r="N35" s="3">
        <v>0.133375123389223</v>
      </c>
      <c r="O35" s="3">
        <v>1.2713854909392337</v>
      </c>
      <c r="P35" s="3">
        <v>1.789928194669234</v>
      </c>
      <c r="Q35" s="3">
        <v>1.2275044462992428</v>
      </c>
      <c r="R35" s="3">
        <v>1.816965704619234</v>
      </c>
      <c r="S35" s="3">
        <v>2.1628221249392339</v>
      </c>
      <c r="T35" s="3">
        <v>2.2926456901192314</v>
      </c>
      <c r="U35" s="3">
        <v>1.9418874460192272</v>
      </c>
      <c r="V35" s="3">
        <v>1.5328446123392316</v>
      </c>
      <c r="W35" s="3">
        <v>0.24639725443924221</v>
      </c>
      <c r="X35" s="3">
        <v>-1.7059552504307725</v>
      </c>
      <c r="Y35" s="3">
        <v>2.3657050289692316</v>
      </c>
      <c r="Z35" s="3">
        <v>2.1485403461692405</v>
      </c>
      <c r="AA35" s="3">
        <v>1.8314558438692428</v>
      </c>
      <c r="AB35" s="3">
        <v>1.3496924048692274</v>
      </c>
      <c r="AC35" s="3">
        <v>1.4338550498692317</v>
      </c>
      <c r="AD35" s="3">
        <v>0.3387690722692363</v>
      </c>
      <c r="AE35" s="3">
        <v>-0.5079246517307725</v>
      </c>
      <c r="AF35" s="3">
        <v>0.29846351686923395</v>
      </c>
      <c r="AG35" s="3">
        <v>-1.6761749096307603</v>
      </c>
      <c r="AH35" s="3">
        <v>-1.3825177939307545</v>
      </c>
      <c r="AI35" s="3">
        <v>-1.774578943930764</v>
      </c>
      <c r="AJ35" s="3">
        <v>-0.34530564288076371</v>
      </c>
      <c r="AK35" s="3">
        <v>0.32788333794924063</v>
      </c>
      <c r="AL35" s="3">
        <v>0.44187939644322305</v>
      </c>
      <c r="AM35" s="3">
        <v>0.97939350272924519</v>
      </c>
      <c r="AN35" s="3">
        <v>0.19707756144923189</v>
      </c>
      <c r="AO35" s="3">
        <v>0.82747681711923837</v>
      </c>
      <c r="AP35" s="3">
        <v>1.9188675702592293</v>
      </c>
      <c r="AQ35" s="3">
        <v>1.3046613783592229</v>
      </c>
      <c r="AR35" s="3">
        <v>0.59094081723922087</v>
      </c>
      <c r="AS35" s="3">
        <v>1.4408482313592275</v>
      </c>
      <c r="AT35" s="3">
        <v>-1.6729482482407596</v>
      </c>
      <c r="AU35" s="3">
        <v>-1.095964693210753</v>
      </c>
    </row>
    <row r="36" spans="1:47" x14ac:dyDescent="0.25">
      <c r="A36">
        <v>2008.375</v>
      </c>
      <c r="B36">
        <v>5</v>
      </c>
      <c r="C36" s="3">
        <v>3.1445083440692292</v>
      </c>
      <c r="D36">
        <v>14.462342826244829</v>
      </c>
      <c r="G36" s="3">
        <v>3.1445083440692292</v>
      </c>
      <c r="H36" s="3">
        <v>4.3037038856692229</v>
      </c>
      <c r="I36" s="3">
        <v>3.5141544352692451</v>
      </c>
      <c r="J36" s="3">
        <v>2.0171252992692406</v>
      </c>
      <c r="K36" s="3">
        <v>2.6252510639492432</v>
      </c>
      <c r="L36" s="3">
        <v>2.6049737380592211</v>
      </c>
      <c r="M36" s="3">
        <v>1.9780654593992426</v>
      </c>
      <c r="N36" s="3">
        <v>3.8121810804692426</v>
      </c>
      <c r="O36" s="3">
        <v>2.9581203447292252</v>
      </c>
      <c r="P36" s="3">
        <v>2.7815152350692447</v>
      </c>
      <c r="Q36" s="3">
        <v>2.0566604165692253</v>
      </c>
      <c r="R36" s="3">
        <v>2.5920905191692314</v>
      </c>
      <c r="S36" s="3">
        <v>2.2741382218892316</v>
      </c>
      <c r="T36" s="3">
        <v>0.91576861426923528</v>
      </c>
      <c r="U36" s="3">
        <v>1.5584511780692361</v>
      </c>
      <c r="V36" s="3">
        <v>-0.38390259033377455</v>
      </c>
      <c r="W36" s="3">
        <v>-0.29827832770077151</v>
      </c>
      <c r="X36" s="3">
        <v>-1.3194225846907526</v>
      </c>
      <c r="Y36" s="3">
        <v>0.34878441866923404</v>
      </c>
      <c r="Z36" s="3">
        <v>0.133375123389223</v>
      </c>
      <c r="AA36" s="3">
        <v>1.2713854909392337</v>
      </c>
      <c r="AB36" s="3">
        <v>1.789928194669234</v>
      </c>
      <c r="AC36" s="3">
        <v>1.2275044462992428</v>
      </c>
      <c r="AD36" s="3">
        <v>1.816965704619234</v>
      </c>
      <c r="AE36" s="3">
        <v>2.1628221249392339</v>
      </c>
      <c r="AF36" s="3">
        <v>2.2926456901192314</v>
      </c>
      <c r="AG36" s="3">
        <v>1.9418874460192272</v>
      </c>
      <c r="AH36" s="3">
        <v>1.5328446123392316</v>
      </c>
      <c r="AI36" s="3">
        <v>0.24639725443924221</v>
      </c>
      <c r="AJ36" s="3">
        <v>-1.7059552504307725</v>
      </c>
      <c r="AK36" s="3">
        <v>2.3657050289692316</v>
      </c>
      <c r="AL36" s="3">
        <v>2.1485403461692405</v>
      </c>
      <c r="AM36" s="3">
        <v>1.8314558438692428</v>
      </c>
      <c r="AN36" s="3">
        <v>1.3496924048692274</v>
      </c>
      <c r="AO36" s="3">
        <v>1.4338550498692317</v>
      </c>
      <c r="AP36" s="3">
        <v>0.3387690722692363</v>
      </c>
      <c r="AQ36" s="3">
        <v>-0.5079246517307725</v>
      </c>
      <c r="AR36" s="3">
        <v>0.29846351686923395</v>
      </c>
      <c r="AS36" s="3">
        <v>-1.6761749096307603</v>
      </c>
      <c r="AT36" s="3">
        <v>-1.3825177939307545</v>
      </c>
      <c r="AU36" s="3">
        <v>-1.774578943930764</v>
      </c>
    </row>
    <row r="37" spans="1:47" x14ac:dyDescent="0.25">
      <c r="A37">
        <v>2009.375</v>
      </c>
      <c r="B37">
        <v>5</v>
      </c>
      <c r="C37" s="3">
        <v>2.8559780762592273</v>
      </c>
      <c r="D37">
        <v>14.546794098269173</v>
      </c>
      <c r="G37" s="3">
        <v>2.8559780762592273</v>
      </c>
      <c r="H37" s="3">
        <v>3.3982535946892316</v>
      </c>
      <c r="I37" s="3">
        <v>3.7437798352422273</v>
      </c>
      <c r="J37" s="3">
        <v>3.1401515433092211</v>
      </c>
      <c r="K37" s="3">
        <v>2.3256610174192414</v>
      </c>
      <c r="L37" s="3">
        <v>3.0732084994992381</v>
      </c>
      <c r="M37" s="3">
        <v>2.4197133966692208</v>
      </c>
      <c r="N37" s="3">
        <v>3.7297149387692254</v>
      </c>
      <c r="O37" s="3">
        <v>3.1178040014692385</v>
      </c>
      <c r="P37" s="3">
        <v>3.3034292364692428</v>
      </c>
      <c r="Q37" s="3">
        <v>3.5154691291692206</v>
      </c>
      <c r="R37" s="3">
        <v>3.7396919383692429</v>
      </c>
      <c r="S37" s="3">
        <v>3.1445083440692292</v>
      </c>
      <c r="T37" s="3">
        <v>4.3037038856692229</v>
      </c>
      <c r="U37" s="3">
        <v>3.5141544352692451</v>
      </c>
      <c r="V37" s="3">
        <v>2.0171252992692406</v>
      </c>
      <c r="W37" s="3">
        <v>2.6252510639492432</v>
      </c>
      <c r="X37" s="3">
        <v>2.6049737380592211</v>
      </c>
      <c r="Y37" s="3">
        <v>1.9780654593992426</v>
      </c>
      <c r="Z37" s="3">
        <v>3.8121810804692426</v>
      </c>
      <c r="AA37" s="3">
        <v>2.9581203447292252</v>
      </c>
      <c r="AB37" s="3">
        <v>2.7815152350692447</v>
      </c>
      <c r="AC37" s="3">
        <v>2.0566604165692253</v>
      </c>
      <c r="AD37" s="3">
        <v>2.5920905191692314</v>
      </c>
      <c r="AE37" s="3">
        <v>2.2741382218892316</v>
      </c>
      <c r="AF37" s="3">
        <v>0.91576861426923528</v>
      </c>
      <c r="AG37" s="3">
        <v>1.5584511780692361</v>
      </c>
      <c r="AH37" s="3">
        <v>-0.38390259033377455</v>
      </c>
      <c r="AI37" s="3">
        <v>-0.29827832770077151</v>
      </c>
      <c r="AJ37" s="3">
        <v>-1.3194225846907526</v>
      </c>
      <c r="AK37" s="3">
        <v>0.34878441866923404</v>
      </c>
      <c r="AL37" s="3">
        <v>0.133375123389223</v>
      </c>
      <c r="AM37" s="3">
        <v>1.2713854909392337</v>
      </c>
      <c r="AN37" s="3">
        <v>1.789928194669234</v>
      </c>
      <c r="AO37" s="3">
        <v>1.2275044462992428</v>
      </c>
      <c r="AP37" s="3">
        <v>1.816965704619234</v>
      </c>
      <c r="AQ37" s="3">
        <v>2.1628221249392339</v>
      </c>
      <c r="AR37" s="3">
        <v>2.2926456901192314</v>
      </c>
      <c r="AS37" s="3">
        <v>1.9418874460192272</v>
      </c>
      <c r="AT37" s="3">
        <v>1.5328446123392316</v>
      </c>
      <c r="AU37" s="3">
        <v>0.24639725443924221</v>
      </c>
    </row>
    <row r="38" spans="1:47" x14ac:dyDescent="0.25">
      <c r="A38">
        <v>2010.375</v>
      </c>
      <c r="B38">
        <v>5</v>
      </c>
      <c r="C38" s="3">
        <v>2.1367981933692386</v>
      </c>
      <c r="D38">
        <v>14.003027478841815</v>
      </c>
      <c r="G38" s="3">
        <v>2.1367981933692386</v>
      </c>
      <c r="H38" s="3">
        <v>1.1052457697692384</v>
      </c>
      <c r="I38" s="3">
        <v>-0.48756181103076601</v>
      </c>
      <c r="J38" s="3">
        <v>-2.6477017098307662</v>
      </c>
      <c r="K38" s="3">
        <v>-3.3208245141307722</v>
      </c>
      <c r="L38" s="3">
        <v>-2.4654593805307572</v>
      </c>
      <c r="M38" s="3">
        <v>1.0901500019244892E-2</v>
      </c>
      <c r="N38" s="3">
        <v>-0.44134536233076377</v>
      </c>
      <c r="O38" s="3">
        <v>0.55891123916923846</v>
      </c>
      <c r="P38" s="3">
        <v>1.2312497751892382</v>
      </c>
      <c r="Q38" s="3">
        <v>1.1174872949192272</v>
      </c>
      <c r="R38" s="3">
        <v>1.0325521682292274</v>
      </c>
      <c r="S38" s="3">
        <v>2.8559780762592273</v>
      </c>
      <c r="T38" s="3">
        <v>3.3982535946892316</v>
      </c>
      <c r="U38" s="3">
        <v>3.7437798352422273</v>
      </c>
      <c r="V38" s="3">
        <v>3.1401515433092211</v>
      </c>
      <c r="W38" s="3">
        <v>2.3256610174192414</v>
      </c>
      <c r="X38" s="3">
        <v>3.0732084994992381</v>
      </c>
      <c r="Y38" s="3">
        <v>2.4197133966692208</v>
      </c>
      <c r="Z38" s="3">
        <v>3.7297149387692254</v>
      </c>
      <c r="AA38" s="3">
        <v>3.1178040014692385</v>
      </c>
      <c r="AB38" s="3">
        <v>3.3034292364692428</v>
      </c>
      <c r="AC38" s="3">
        <v>3.5154691291692206</v>
      </c>
      <c r="AD38" s="3">
        <v>3.7396919383692429</v>
      </c>
      <c r="AE38" s="3">
        <v>3.1445083440692292</v>
      </c>
      <c r="AF38" s="3">
        <v>4.3037038856692229</v>
      </c>
      <c r="AG38" s="3">
        <v>3.5141544352692451</v>
      </c>
      <c r="AH38" s="3">
        <v>2.0171252992692406</v>
      </c>
      <c r="AI38" s="3">
        <v>2.6252510639492432</v>
      </c>
      <c r="AJ38" s="3">
        <v>2.6049737380592211</v>
      </c>
      <c r="AK38" s="3">
        <v>1.9780654593992426</v>
      </c>
      <c r="AL38" s="3">
        <v>3.8121810804692426</v>
      </c>
      <c r="AM38" s="3">
        <v>2.9581203447292252</v>
      </c>
      <c r="AN38" s="3">
        <v>2.7815152350692447</v>
      </c>
      <c r="AO38" s="3">
        <v>2.0566604165692253</v>
      </c>
      <c r="AP38" s="3">
        <v>2.5920905191692314</v>
      </c>
      <c r="AQ38" s="3">
        <v>2.2741382218892316</v>
      </c>
      <c r="AR38" s="3">
        <v>0.91576861426923528</v>
      </c>
      <c r="AS38" s="3">
        <v>1.5584511780692361</v>
      </c>
      <c r="AT38" s="3">
        <v>-0.38390259033377455</v>
      </c>
      <c r="AU38" s="3">
        <v>-0.29827832770077151</v>
      </c>
    </row>
    <row r="39" spans="1:47" x14ac:dyDescent="0.25">
      <c r="A39">
        <v>2011.375</v>
      </c>
      <c r="B39">
        <v>5</v>
      </c>
      <c r="C39" s="3">
        <v>2.994733051169236</v>
      </c>
      <c r="D39">
        <v>13.970583790782056</v>
      </c>
      <c r="G39" s="3">
        <v>2.994733051169236</v>
      </c>
      <c r="H39" s="3">
        <v>3.7169376469992383</v>
      </c>
      <c r="I39" s="3">
        <v>2.6917547487692408</v>
      </c>
      <c r="J39" s="3">
        <v>4.0854112138192225</v>
      </c>
      <c r="K39" s="3">
        <v>1.239910041719225</v>
      </c>
      <c r="L39" s="3">
        <v>3.7306486162292316</v>
      </c>
      <c r="M39" s="3">
        <v>4.031058309969243</v>
      </c>
      <c r="N39" s="3">
        <v>3.7667653419692209</v>
      </c>
      <c r="O39" s="3">
        <v>4.2842263740692337</v>
      </c>
      <c r="P39" s="3">
        <v>5.3692223996192361</v>
      </c>
      <c r="Q39" s="3">
        <v>5.3632401589792407</v>
      </c>
      <c r="R39" s="3">
        <v>3.3288297101692361</v>
      </c>
      <c r="S39" s="3">
        <v>2.1367981933692386</v>
      </c>
      <c r="T39" s="3">
        <v>1.1052457697692384</v>
      </c>
      <c r="U39" s="3">
        <v>-0.48756181103076601</v>
      </c>
      <c r="V39" s="3">
        <v>-2.6477017098307662</v>
      </c>
      <c r="W39" s="3">
        <v>-3.3208245141307722</v>
      </c>
      <c r="X39" s="3">
        <v>-2.4654593805307572</v>
      </c>
      <c r="Y39" s="3">
        <v>1.0901500019244892E-2</v>
      </c>
      <c r="Z39" s="3">
        <v>-0.44134536233076377</v>
      </c>
      <c r="AA39" s="3">
        <v>0.55891123916923846</v>
      </c>
      <c r="AB39" s="3">
        <v>1.2312497751892382</v>
      </c>
      <c r="AC39" s="3">
        <v>1.1174872949192272</v>
      </c>
      <c r="AD39" s="3">
        <v>1.0325521682292274</v>
      </c>
      <c r="AE39" s="3">
        <v>2.8559780762592273</v>
      </c>
      <c r="AF39" s="3">
        <v>3.3982535946892316</v>
      </c>
      <c r="AG39" s="3">
        <v>3.7437798352422273</v>
      </c>
      <c r="AH39" s="3">
        <v>3.1401515433092211</v>
      </c>
      <c r="AI39" s="3">
        <v>2.3256610174192414</v>
      </c>
      <c r="AJ39" s="3">
        <v>3.0732084994992381</v>
      </c>
      <c r="AK39" s="3">
        <v>2.4197133966692208</v>
      </c>
      <c r="AL39" s="3">
        <v>3.7297149387692254</v>
      </c>
      <c r="AM39" s="3">
        <v>3.1178040014692385</v>
      </c>
      <c r="AN39" s="3">
        <v>3.3034292364692428</v>
      </c>
      <c r="AO39" s="3">
        <v>3.5154691291692206</v>
      </c>
      <c r="AP39" s="3">
        <v>3.7396919383692429</v>
      </c>
      <c r="AQ39" s="3">
        <v>3.1445083440692292</v>
      </c>
      <c r="AR39" s="3">
        <v>4.3037038856692229</v>
      </c>
      <c r="AS39" s="3">
        <v>3.5141544352692451</v>
      </c>
      <c r="AT39" s="3">
        <v>2.0171252992692406</v>
      </c>
      <c r="AU39" s="3">
        <v>2.6252510639492432</v>
      </c>
    </row>
    <row r="40" spans="1:47" x14ac:dyDescent="0.25">
      <c r="A40">
        <v>2012.375</v>
      </c>
      <c r="B40">
        <v>5</v>
      </c>
      <c r="C40" s="3">
        <v>3.3148665312692316</v>
      </c>
      <c r="D40">
        <v>13.853007708122393</v>
      </c>
      <c r="G40" s="3">
        <v>3.3148665312692316</v>
      </c>
      <c r="H40" s="3">
        <v>2.7316463550692207</v>
      </c>
      <c r="I40" s="3">
        <v>2.9837590889692205</v>
      </c>
      <c r="J40" s="3">
        <v>0.95535216508924714</v>
      </c>
      <c r="K40" s="3">
        <v>1.7700253141892386</v>
      </c>
      <c r="L40" s="3">
        <v>2.882561274810246</v>
      </c>
      <c r="M40" s="3">
        <v>4.0480641576192209</v>
      </c>
      <c r="N40" s="3">
        <v>3.3780577038692257</v>
      </c>
      <c r="O40" s="3">
        <v>3.505408443069232</v>
      </c>
      <c r="P40" s="3">
        <v>3.303517913359225</v>
      </c>
      <c r="Q40" s="3">
        <v>3.6558712369092294</v>
      </c>
      <c r="R40" s="3">
        <v>2.754497701969234</v>
      </c>
      <c r="S40" s="3">
        <v>2.994733051169236</v>
      </c>
      <c r="T40" s="3">
        <v>3.7169376469992383</v>
      </c>
      <c r="U40" s="3">
        <v>2.6917547487692408</v>
      </c>
      <c r="V40" s="3">
        <v>4.0854112138192225</v>
      </c>
      <c r="W40" s="3">
        <v>1.239910041719225</v>
      </c>
      <c r="X40" s="3">
        <v>3.7306486162292316</v>
      </c>
      <c r="Y40" s="3">
        <v>4.031058309969243</v>
      </c>
      <c r="Z40" s="3">
        <v>3.7667653419692209</v>
      </c>
      <c r="AA40" s="3">
        <v>4.2842263740692337</v>
      </c>
      <c r="AB40" s="3">
        <v>5.3692223996192361</v>
      </c>
      <c r="AC40" s="3">
        <v>5.3632401589792407</v>
      </c>
      <c r="AD40" s="3">
        <v>3.3288297101692361</v>
      </c>
      <c r="AE40" s="3">
        <v>2.1367981933692386</v>
      </c>
      <c r="AF40" s="3">
        <v>1.1052457697692384</v>
      </c>
      <c r="AG40" s="3">
        <v>-0.48756181103076601</v>
      </c>
      <c r="AH40" s="3">
        <v>-2.6477017098307662</v>
      </c>
      <c r="AI40" s="3">
        <v>-3.3208245141307722</v>
      </c>
      <c r="AJ40" s="3">
        <v>-2.4654593805307572</v>
      </c>
      <c r="AK40" s="3">
        <v>1.0901500019244892E-2</v>
      </c>
      <c r="AL40" s="3">
        <v>-0.44134536233076377</v>
      </c>
      <c r="AM40" s="3">
        <v>0.55891123916923846</v>
      </c>
      <c r="AN40" s="3">
        <v>1.2312497751892382</v>
      </c>
      <c r="AO40" s="3">
        <v>1.1174872949192272</v>
      </c>
      <c r="AP40" s="3">
        <v>1.0325521682292274</v>
      </c>
      <c r="AQ40" s="3">
        <v>2.8559780762592273</v>
      </c>
      <c r="AR40" s="3">
        <v>3.3982535946892316</v>
      </c>
      <c r="AS40" s="3">
        <v>3.7437798352422273</v>
      </c>
      <c r="AT40" s="3">
        <v>3.1401515433092211</v>
      </c>
      <c r="AU40" s="3">
        <v>2.3256610174192414</v>
      </c>
    </row>
    <row r="41" spans="1:47" x14ac:dyDescent="0.25">
      <c r="A41">
        <v>2013.375</v>
      </c>
      <c r="B41">
        <v>5</v>
      </c>
      <c r="C41" s="3">
        <v>2.6100064923692252</v>
      </c>
      <c r="D41">
        <v>14.513749117387755</v>
      </c>
      <c r="G41" s="3">
        <v>2.6100064923692252</v>
      </c>
      <c r="H41" s="3">
        <v>2.4413346113592227</v>
      </c>
      <c r="I41" s="3">
        <v>1.7311234118592274</v>
      </c>
      <c r="J41" s="3">
        <v>1.2031396460692443</v>
      </c>
      <c r="K41" s="3">
        <v>0.36910590186924719</v>
      </c>
      <c r="L41" s="3">
        <v>0.81033411676924127</v>
      </c>
      <c r="M41" s="3">
        <v>1.2795358532692251</v>
      </c>
      <c r="N41" s="3">
        <v>1.5053767653692383</v>
      </c>
      <c r="O41" s="3">
        <v>3.135958294269245</v>
      </c>
      <c r="P41" s="3">
        <v>3.1158533679692386</v>
      </c>
      <c r="Q41" s="3">
        <v>3.1915599164692323</v>
      </c>
      <c r="R41" s="3">
        <v>2.4713739030692272</v>
      </c>
      <c r="S41" s="3">
        <v>3.3148665312692316</v>
      </c>
      <c r="T41" s="3">
        <v>2.7316463550692207</v>
      </c>
      <c r="U41" s="3">
        <v>2.9837590889692205</v>
      </c>
      <c r="V41" s="3">
        <v>0.95535216508924714</v>
      </c>
      <c r="W41" s="3">
        <v>1.7700253141892386</v>
      </c>
      <c r="X41" s="3">
        <v>2.882561274810246</v>
      </c>
      <c r="Y41" s="3">
        <v>4.0480641576192209</v>
      </c>
      <c r="Z41" s="3">
        <v>3.3780577038692257</v>
      </c>
      <c r="AA41" s="3">
        <v>3.505408443069232</v>
      </c>
      <c r="AB41" s="3">
        <v>3.303517913359225</v>
      </c>
      <c r="AC41" s="3">
        <v>3.6558712369092294</v>
      </c>
      <c r="AD41" s="3">
        <v>2.754497701969234</v>
      </c>
      <c r="AE41" s="3">
        <v>2.994733051169236</v>
      </c>
      <c r="AF41" s="3">
        <v>3.7169376469992383</v>
      </c>
      <c r="AG41" s="3">
        <v>2.6917547487692408</v>
      </c>
      <c r="AH41" s="3">
        <v>4.0854112138192225</v>
      </c>
      <c r="AI41" s="3">
        <v>1.239910041719225</v>
      </c>
      <c r="AJ41" s="3">
        <v>3.7306486162292316</v>
      </c>
      <c r="AK41" s="3">
        <v>4.031058309969243</v>
      </c>
      <c r="AL41" s="3">
        <v>3.7667653419692209</v>
      </c>
      <c r="AM41" s="3">
        <v>4.2842263740692337</v>
      </c>
      <c r="AN41" s="3">
        <v>5.3692223996192361</v>
      </c>
      <c r="AO41" s="3">
        <v>5.3632401589792407</v>
      </c>
      <c r="AP41" s="3">
        <v>3.3288297101692361</v>
      </c>
      <c r="AQ41" s="3">
        <v>2.1367981933692386</v>
      </c>
      <c r="AR41" s="3">
        <v>1.1052457697692384</v>
      </c>
      <c r="AS41" s="3">
        <v>-0.48756181103076601</v>
      </c>
      <c r="AT41" s="3">
        <v>-2.6477017098307662</v>
      </c>
      <c r="AU41" s="3">
        <v>-3.3208245141307722</v>
      </c>
    </row>
    <row r="42" spans="1:47" x14ac:dyDescent="0.25">
      <c r="A42">
        <v>2014.375</v>
      </c>
      <c r="B42">
        <v>5</v>
      </c>
      <c r="C42" s="3">
        <v>1.4034630548992453</v>
      </c>
      <c r="D42">
        <v>14.228182101344947</v>
      </c>
      <c r="G42" s="3">
        <v>1.4034630548992453</v>
      </c>
      <c r="H42" s="3">
        <v>0.41214923718922075</v>
      </c>
      <c r="I42" s="3">
        <v>0.28743131410924311</v>
      </c>
      <c r="J42" s="3">
        <v>1.0879898171392406</v>
      </c>
      <c r="K42" s="3">
        <v>-0.77898724903076388</v>
      </c>
      <c r="L42" s="3">
        <v>1.0610023320692252</v>
      </c>
      <c r="M42" s="3">
        <v>2.2475169349192448</v>
      </c>
      <c r="N42" s="3">
        <v>1.7144541562192339</v>
      </c>
      <c r="O42" s="3">
        <v>1.7441879054492251</v>
      </c>
      <c r="P42" s="3">
        <v>2.441292262069223</v>
      </c>
      <c r="Q42" s="3">
        <v>3.4288168388092322</v>
      </c>
      <c r="R42" s="3">
        <v>3.176564167829234</v>
      </c>
      <c r="S42" s="3">
        <v>2.6100064923692252</v>
      </c>
      <c r="T42" s="3">
        <v>2.4413346113592227</v>
      </c>
      <c r="U42" s="3">
        <v>1.7311234118592274</v>
      </c>
      <c r="V42" s="3">
        <v>1.2031396460692443</v>
      </c>
      <c r="W42" s="3">
        <v>0.36910590186924719</v>
      </c>
      <c r="X42" s="3">
        <v>0.81033411676924127</v>
      </c>
      <c r="Y42" s="3">
        <v>1.2795358532692251</v>
      </c>
      <c r="Z42" s="3">
        <v>1.5053767653692383</v>
      </c>
      <c r="AA42" s="3">
        <v>3.135958294269245</v>
      </c>
      <c r="AB42" s="3">
        <v>3.1158533679692386</v>
      </c>
      <c r="AC42" s="3">
        <v>3.1915599164692323</v>
      </c>
      <c r="AD42" s="3">
        <v>2.4713739030692272</v>
      </c>
      <c r="AE42" s="3">
        <v>3.3148665312692316</v>
      </c>
      <c r="AF42" s="3">
        <v>2.7316463550692207</v>
      </c>
      <c r="AG42" s="3">
        <v>2.9837590889692205</v>
      </c>
      <c r="AH42" s="3">
        <v>0.95535216508924714</v>
      </c>
      <c r="AI42" s="3">
        <v>1.7700253141892386</v>
      </c>
      <c r="AJ42" s="3">
        <v>2.882561274810246</v>
      </c>
      <c r="AK42" s="3">
        <v>4.0480641576192209</v>
      </c>
      <c r="AL42" s="3">
        <v>3.3780577038692257</v>
      </c>
      <c r="AM42" s="3">
        <v>3.505408443069232</v>
      </c>
      <c r="AN42" s="3">
        <v>3.303517913359225</v>
      </c>
      <c r="AO42" s="3">
        <v>3.6558712369092294</v>
      </c>
      <c r="AP42" s="3">
        <v>2.754497701969234</v>
      </c>
      <c r="AQ42" s="3">
        <v>2.994733051169236</v>
      </c>
      <c r="AR42" s="3">
        <v>3.7169376469992383</v>
      </c>
      <c r="AS42" s="3">
        <v>2.6917547487692408</v>
      </c>
      <c r="AT42" s="3">
        <v>4.0854112138192225</v>
      </c>
      <c r="AU42" s="3">
        <v>1.239910041719225</v>
      </c>
    </row>
    <row r="43" spans="1:47" x14ac:dyDescent="0.25">
      <c r="A43">
        <v>2015.375</v>
      </c>
      <c r="B43">
        <v>5</v>
      </c>
      <c r="C43" s="3">
        <v>-3.0684870940772491E-2</v>
      </c>
      <c r="D43">
        <v>14.722098448638842</v>
      </c>
      <c r="G43" s="3">
        <v>-3.0684870940772491E-2</v>
      </c>
      <c r="H43" s="3">
        <v>0.45460829456923418</v>
      </c>
      <c r="I43" s="3">
        <v>3.5930787669227304E-2</v>
      </c>
      <c r="J43" s="3">
        <v>-1.4061045382307595</v>
      </c>
      <c r="K43" s="3">
        <v>-2.1196752670907553</v>
      </c>
      <c r="L43" s="3">
        <v>-2.2526105113207597</v>
      </c>
      <c r="M43" s="3">
        <v>-1.2621451354507678</v>
      </c>
      <c r="N43" s="3">
        <v>-0.56983358888077473</v>
      </c>
      <c r="O43" s="3">
        <v>0.10178133444922077</v>
      </c>
      <c r="P43" s="3">
        <v>0.71163629737922962</v>
      </c>
      <c r="Q43" s="3">
        <v>1.2302889477092382</v>
      </c>
      <c r="R43" s="3">
        <v>1.5207169755392274</v>
      </c>
      <c r="S43" s="3">
        <v>1.4034630548992453</v>
      </c>
      <c r="T43" s="3">
        <v>0.41214923718922075</v>
      </c>
      <c r="U43" s="3">
        <v>0.28743131410924311</v>
      </c>
      <c r="V43" s="3">
        <v>1.0879898171392406</v>
      </c>
      <c r="W43" s="3">
        <v>-0.77898724903076388</v>
      </c>
      <c r="X43" s="3">
        <v>1.0610023320692252</v>
      </c>
      <c r="Y43" s="3">
        <v>2.2475169349192448</v>
      </c>
      <c r="Z43" s="3">
        <v>1.7144541562192339</v>
      </c>
      <c r="AA43" s="3">
        <v>1.7441879054492251</v>
      </c>
      <c r="AB43" s="3">
        <v>2.441292262069223</v>
      </c>
      <c r="AC43" s="3">
        <v>3.4288168388092322</v>
      </c>
      <c r="AD43" s="3">
        <v>3.176564167829234</v>
      </c>
      <c r="AE43" s="3">
        <v>2.6100064923692252</v>
      </c>
      <c r="AF43" s="3">
        <v>2.4413346113592227</v>
      </c>
      <c r="AG43" s="3">
        <v>1.7311234118592274</v>
      </c>
      <c r="AH43" s="3">
        <v>1.2031396460692443</v>
      </c>
      <c r="AI43" s="3">
        <v>0.36910590186924719</v>
      </c>
      <c r="AJ43" s="3">
        <v>0.81033411676924127</v>
      </c>
      <c r="AK43" s="3">
        <v>1.2795358532692251</v>
      </c>
      <c r="AL43" s="3">
        <v>1.5053767653692383</v>
      </c>
      <c r="AM43" s="3">
        <v>3.135958294269245</v>
      </c>
      <c r="AN43" s="3">
        <v>3.1158533679692386</v>
      </c>
      <c r="AO43" s="3">
        <v>3.1915599164692323</v>
      </c>
      <c r="AP43" s="3">
        <v>2.4713739030692272</v>
      </c>
      <c r="AQ43" s="3">
        <v>3.3148665312692316</v>
      </c>
      <c r="AR43" s="3">
        <v>2.7316463550692207</v>
      </c>
      <c r="AS43" s="3">
        <v>2.9837590889692205</v>
      </c>
      <c r="AT43" s="3">
        <v>0.95535216508924714</v>
      </c>
      <c r="AU43" s="3">
        <v>1.7700253141892386</v>
      </c>
    </row>
    <row r="44" spans="1:47" x14ac:dyDescent="0.25">
      <c r="A44">
        <v>2016.375</v>
      </c>
      <c r="B44">
        <v>5</v>
      </c>
      <c r="C44" s="3">
        <v>-3.6238594620772724E-2</v>
      </c>
      <c r="D44">
        <v>14.761619206466506</v>
      </c>
      <c r="G44" s="3">
        <v>-3.6238594620772724E-2</v>
      </c>
      <c r="H44" s="3">
        <v>-1.9728460609507639</v>
      </c>
      <c r="I44" s="3">
        <v>-2.3126394715807717</v>
      </c>
      <c r="J44" s="3">
        <v>-4.0803512152507615</v>
      </c>
      <c r="K44" s="3">
        <v>-5.0763222569207516</v>
      </c>
      <c r="L44" s="3">
        <v>-3.4209596195307723</v>
      </c>
      <c r="M44" s="3">
        <v>-1.3308764840307548</v>
      </c>
      <c r="N44" s="3">
        <v>-3.1528870372307658</v>
      </c>
      <c r="O44" s="3">
        <v>-1.9948764680307747</v>
      </c>
      <c r="P44" s="3">
        <v>-1.5252614967307725</v>
      </c>
      <c r="Q44" s="3">
        <v>-1.6149105574307594</v>
      </c>
      <c r="R44" s="3">
        <v>-0.92363914943077907</v>
      </c>
      <c r="S44" s="3">
        <v>-3.0684870940772491E-2</v>
      </c>
      <c r="T44" s="3">
        <v>0.45460829456923418</v>
      </c>
      <c r="U44" s="3">
        <v>3.5930787669227304E-2</v>
      </c>
      <c r="V44" s="3">
        <v>-1.4061045382307595</v>
      </c>
      <c r="W44" s="3">
        <v>-2.1196752670907553</v>
      </c>
      <c r="X44" s="3">
        <v>-2.2526105113207597</v>
      </c>
      <c r="Y44" s="3">
        <v>-1.2621451354507678</v>
      </c>
      <c r="Z44" s="3">
        <v>-0.56983358888077473</v>
      </c>
      <c r="AA44" s="3">
        <v>0.10178133444922077</v>
      </c>
      <c r="AB44" s="3">
        <v>0.71163629737922962</v>
      </c>
      <c r="AC44" s="3">
        <v>1.2302889477092382</v>
      </c>
      <c r="AD44" s="3">
        <v>1.5207169755392274</v>
      </c>
      <c r="AE44" s="3">
        <v>1.4034630548992453</v>
      </c>
      <c r="AF44" s="3">
        <v>0.41214923718922075</v>
      </c>
      <c r="AG44" s="3">
        <v>0.28743131410924311</v>
      </c>
      <c r="AH44" s="3">
        <v>1.0879898171392406</v>
      </c>
      <c r="AI44" s="3">
        <v>-0.77898724903076388</v>
      </c>
      <c r="AJ44" s="3">
        <v>1.0610023320692252</v>
      </c>
      <c r="AK44" s="3">
        <v>2.2475169349192448</v>
      </c>
      <c r="AL44" s="3">
        <v>1.7144541562192339</v>
      </c>
      <c r="AM44" s="3">
        <v>1.7441879054492251</v>
      </c>
      <c r="AN44" s="3">
        <v>2.441292262069223</v>
      </c>
      <c r="AO44" s="3">
        <v>3.4288168388092322</v>
      </c>
      <c r="AP44" s="3">
        <v>3.176564167829234</v>
      </c>
      <c r="AQ44" s="3">
        <v>2.6100064923692252</v>
      </c>
      <c r="AR44" s="3">
        <v>2.4413346113592227</v>
      </c>
      <c r="AS44" s="3">
        <v>1.7311234118592274</v>
      </c>
      <c r="AT44" s="3">
        <v>1.2031396460692443</v>
      </c>
      <c r="AU44" s="3">
        <v>0.36910590186924719</v>
      </c>
    </row>
    <row r="45" spans="1:47" x14ac:dyDescent="0.25">
      <c r="A45">
        <v>2017.375</v>
      </c>
      <c r="B45">
        <v>5</v>
      </c>
      <c r="C45" s="3">
        <v>0.6355308827592252</v>
      </c>
      <c r="D45">
        <v>15.919567682793399</v>
      </c>
      <c r="G45" s="3">
        <v>0.6355308827592252</v>
      </c>
      <c r="H45" s="3">
        <v>0.2263728185012383</v>
      </c>
      <c r="I45" s="3">
        <v>0.75269428361922963</v>
      </c>
      <c r="J45" s="3">
        <v>0.10561636126922933</v>
      </c>
      <c r="K45" s="3">
        <v>0.53788867355923242</v>
      </c>
      <c r="L45" s="3">
        <v>1.3136739487692362</v>
      </c>
      <c r="M45" s="3">
        <v>0.48803656106923615</v>
      </c>
      <c r="N45" s="3">
        <v>0.91796129348923017</v>
      </c>
      <c r="O45" s="3">
        <v>2.3205943892092407</v>
      </c>
      <c r="P45" s="3">
        <v>2.8199650322192427</v>
      </c>
      <c r="Q45" s="3">
        <v>2.6337997278192273</v>
      </c>
      <c r="R45" s="3">
        <v>1.1669819309692406</v>
      </c>
      <c r="S45" s="3">
        <v>-3.6238594620772724E-2</v>
      </c>
      <c r="T45" s="3">
        <v>-1.9728460609507639</v>
      </c>
      <c r="U45" s="3">
        <v>-2.3126394715807717</v>
      </c>
      <c r="V45" s="3">
        <v>-4.0803512152507615</v>
      </c>
      <c r="W45" s="3">
        <v>-5.0763222569207516</v>
      </c>
      <c r="X45" s="3">
        <v>-3.4209596195307723</v>
      </c>
      <c r="Y45" s="3">
        <v>-1.3308764840307548</v>
      </c>
      <c r="Z45" s="3">
        <v>-3.1528870372307658</v>
      </c>
      <c r="AA45" s="3">
        <v>-1.9948764680307747</v>
      </c>
      <c r="AB45" s="3">
        <v>-1.5252614967307725</v>
      </c>
      <c r="AC45" s="3">
        <v>-1.6149105574307594</v>
      </c>
      <c r="AD45" s="3">
        <v>-0.92363914943077907</v>
      </c>
      <c r="AE45" s="3">
        <v>-3.0684870940772491E-2</v>
      </c>
      <c r="AF45" s="3">
        <v>0.45460829456923418</v>
      </c>
      <c r="AG45" s="3">
        <v>3.5930787669227304E-2</v>
      </c>
      <c r="AH45" s="3">
        <v>-1.4061045382307595</v>
      </c>
      <c r="AI45" s="3">
        <v>-2.1196752670907553</v>
      </c>
      <c r="AJ45" s="3">
        <v>-2.2526105113207597</v>
      </c>
      <c r="AK45" s="3">
        <v>-1.2621451354507678</v>
      </c>
      <c r="AL45" s="3">
        <v>-0.56983358888077473</v>
      </c>
      <c r="AM45" s="3">
        <v>0.10178133444922077</v>
      </c>
      <c r="AN45" s="3">
        <v>0.71163629737922962</v>
      </c>
      <c r="AO45" s="3">
        <v>1.2302889477092382</v>
      </c>
      <c r="AP45" s="3">
        <v>1.5207169755392274</v>
      </c>
      <c r="AQ45" s="3">
        <v>1.4034630548992453</v>
      </c>
      <c r="AR45" s="3">
        <v>0.41214923718922075</v>
      </c>
      <c r="AS45" s="3">
        <v>0.28743131410924311</v>
      </c>
      <c r="AT45" s="3">
        <v>1.0879898171392406</v>
      </c>
      <c r="AU45" s="3">
        <v>-0.77898724903076388</v>
      </c>
    </row>
    <row r="46" spans="1:47" x14ac:dyDescent="0.25">
      <c r="A46">
        <v>2018.375</v>
      </c>
      <c r="B46">
        <v>5</v>
      </c>
      <c r="C46" s="3">
        <v>2.0574152523692271</v>
      </c>
      <c r="D46">
        <v>16.077500602953549</v>
      </c>
      <c r="G46" s="3">
        <v>2.0574152523692271</v>
      </c>
      <c r="H46" s="3">
        <v>2.057989922469234</v>
      </c>
      <c r="I46" s="3">
        <v>2.4866597172692426</v>
      </c>
      <c r="J46" s="3">
        <v>1.7138665980692449</v>
      </c>
      <c r="K46" s="3">
        <v>9.4529943569231722E-2</v>
      </c>
      <c r="L46" s="3">
        <v>0.60212085066922516</v>
      </c>
      <c r="M46" s="3">
        <v>2.3005714547692206</v>
      </c>
      <c r="N46" s="3">
        <v>2.2583431590692404</v>
      </c>
      <c r="O46" s="3">
        <v>1.6955769090092339</v>
      </c>
      <c r="P46" s="3">
        <v>2.0752345825592298</v>
      </c>
      <c r="Q46" s="3">
        <v>2.4774201739092447</v>
      </c>
      <c r="R46" s="3">
        <v>0.86056713492922976</v>
      </c>
      <c r="S46" s="3">
        <v>0.6355308827592252</v>
      </c>
      <c r="T46" s="3">
        <v>0.2263728185012383</v>
      </c>
      <c r="U46" s="3">
        <v>0.75269428361922963</v>
      </c>
      <c r="V46" s="3">
        <v>0.10561636126922933</v>
      </c>
      <c r="W46" s="3">
        <v>0.53788867355923242</v>
      </c>
      <c r="X46" s="3">
        <v>1.3136739487692362</v>
      </c>
      <c r="Y46" s="3">
        <v>0.48803656106923615</v>
      </c>
      <c r="Z46" s="3">
        <v>0.91796129348923017</v>
      </c>
      <c r="AA46" s="3">
        <v>2.3205943892092407</v>
      </c>
      <c r="AB46" s="3">
        <v>2.8199650322192427</v>
      </c>
      <c r="AC46" s="3">
        <v>2.6337997278192273</v>
      </c>
      <c r="AD46" s="3">
        <v>1.1669819309692406</v>
      </c>
      <c r="AE46" s="3">
        <v>-3.6238594620772724E-2</v>
      </c>
      <c r="AF46" s="3">
        <v>-1.9728460609507639</v>
      </c>
      <c r="AG46" s="3">
        <v>-2.3126394715807717</v>
      </c>
      <c r="AH46" s="3">
        <v>-4.0803512152507615</v>
      </c>
      <c r="AI46" s="3">
        <v>-5.0763222569207516</v>
      </c>
      <c r="AJ46" s="3">
        <v>-3.4209596195307723</v>
      </c>
      <c r="AK46" s="3">
        <v>-1.3308764840307548</v>
      </c>
      <c r="AL46" s="3">
        <v>-3.1528870372307658</v>
      </c>
      <c r="AM46" s="3">
        <v>-1.9948764680307747</v>
      </c>
      <c r="AN46" s="3">
        <v>-1.5252614967307725</v>
      </c>
      <c r="AO46" s="3">
        <v>-1.6149105574307594</v>
      </c>
      <c r="AP46" s="3">
        <v>-0.92363914943077907</v>
      </c>
      <c r="AQ46" s="3">
        <v>-3.0684870940772491E-2</v>
      </c>
      <c r="AR46" s="3">
        <v>0.45460829456923418</v>
      </c>
      <c r="AS46" s="3">
        <v>3.5930787669227304E-2</v>
      </c>
      <c r="AT46" s="3">
        <v>-1.4061045382307595</v>
      </c>
      <c r="AU46" s="3">
        <v>-2.1196752670907553</v>
      </c>
    </row>
    <row r="47" spans="1:47" x14ac:dyDescent="0.25">
      <c r="A47">
        <v>2019.375</v>
      </c>
      <c r="B47">
        <v>5</v>
      </c>
      <c r="C47" s="3">
        <v>0.16846339816923617</v>
      </c>
      <c r="D47">
        <v>15.275658374921177</v>
      </c>
      <c r="G47" s="3">
        <v>0.16846339816923617</v>
      </c>
      <c r="H47" s="3">
        <v>-0.47616772613075503</v>
      </c>
      <c r="I47" s="3">
        <v>-0.53457451533077904</v>
      </c>
      <c r="J47" s="3">
        <v>0.49570576106923198</v>
      </c>
      <c r="K47" s="3">
        <v>-1.7311455758407726</v>
      </c>
      <c r="L47" s="3">
        <v>-0.96561260333077037</v>
      </c>
      <c r="M47" s="3">
        <v>-0.49344882973076382</v>
      </c>
      <c r="N47" s="3">
        <v>-0.57542024343075715</v>
      </c>
      <c r="O47" s="3">
        <v>0.80345345206922736</v>
      </c>
      <c r="P47" s="3">
        <v>1.1295069963692277</v>
      </c>
      <c r="Q47" s="3">
        <v>2.2252832571692274</v>
      </c>
      <c r="R47" s="3">
        <v>1.4889856663692449</v>
      </c>
      <c r="S47" s="3">
        <v>2.0574152523692271</v>
      </c>
      <c r="T47" s="3">
        <v>2.057989922469234</v>
      </c>
      <c r="U47" s="3">
        <v>2.4866597172692426</v>
      </c>
      <c r="V47" s="3">
        <v>1.7138665980692449</v>
      </c>
      <c r="W47" s="3">
        <v>9.4529943569231722E-2</v>
      </c>
      <c r="X47" s="3">
        <v>0.60212085066922516</v>
      </c>
      <c r="Y47" s="3">
        <v>2.3005714547692206</v>
      </c>
      <c r="Z47" s="3">
        <v>2.2583431590692404</v>
      </c>
      <c r="AA47" s="3">
        <v>1.6955769090092339</v>
      </c>
      <c r="AB47" s="3">
        <v>2.0752345825592298</v>
      </c>
      <c r="AC47" s="3">
        <v>2.4774201739092447</v>
      </c>
      <c r="AD47" s="3">
        <v>0.86056713492922976</v>
      </c>
      <c r="AE47" s="3">
        <v>0.6355308827592252</v>
      </c>
      <c r="AF47" s="3">
        <v>0.2263728185012383</v>
      </c>
      <c r="AG47" s="3">
        <v>0.75269428361922963</v>
      </c>
      <c r="AH47" s="3">
        <v>0.10561636126922933</v>
      </c>
      <c r="AI47" s="3">
        <v>0.53788867355923242</v>
      </c>
      <c r="AJ47" s="3">
        <v>1.3136739487692362</v>
      </c>
      <c r="AK47" s="3">
        <v>0.48803656106923615</v>
      </c>
      <c r="AL47" s="3">
        <v>0.91796129348923017</v>
      </c>
      <c r="AM47" s="3">
        <v>2.3205943892092407</v>
      </c>
      <c r="AN47" s="3">
        <v>2.8199650322192427</v>
      </c>
      <c r="AO47" s="3">
        <v>2.6337997278192273</v>
      </c>
      <c r="AP47" s="3">
        <v>1.1669819309692406</v>
      </c>
      <c r="AQ47" s="3">
        <v>-3.6238594620772724E-2</v>
      </c>
      <c r="AR47" s="3">
        <v>-1.9728460609507639</v>
      </c>
      <c r="AS47" s="3">
        <v>-2.3126394715807717</v>
      </c>
      <c r="AT47" s="3">
        <v>-4.0803512152507615</v>
      </c>
      <c r="AU47" s="3">
        <v>-5.0763222569207516</v>
      </c>
    </row>
    <row r="48" spans="1:47" x14ac:dyDescent="0.25">
      <c r="A48">
        <v>2020.375</v>
      </c>
      <c r="B48">
        <v>5</v>
      </c>
      <c r="C48" s="3">
        <v>0.94188844476923839</v>
      </c>
      <c r="D48">
        <v>15.103507429529712</v>
      </c>
      <c r="G48" s="3">
        <v>0.94188844476923839</v>
      </c>
      <c r="H48" s="3">
        <v>1.418113753069234</v>
      </c>
      <c r="I48" s="3">
        <v>2.890156064869227</v>
      </c>
      <c r="J48" s="3">
        <v>0.72176298916923387</v>
      </c>
      <c r="K48" s="3">
        <v>0.50067563736922516</v>
      </c>
      <c r="L48" s="3">
        <v>-1.2565737220307747</v>
      </c>
      <c r="M48" s="3">
        <v>-1.0369431740307637</v>
      </c>
      <c r="N48" s="3">
        <v>0.70103079876923413</v>
      </c>
      <c r="O48" s="3">
        <v>0.37751908686922514</v>
      </c>
      <c r="P48" s="3">
        <v>0.59593210106922745</v>
      </c>
      <c r="Q48" s="3">
        <v>0.41449108666922962</v>
      </c>
      <c r="R48" s="3">
        <v>0.73665835736922736</v>
      </c>
      <c r="S48" s="3">
        <v>0.16846339816923617</v>
      </c>
      <c r="T48" s="3">
        <v>-0.47616772613075503</v>
      </c>
      <c r="U48" s="3">
        <v>-0.53457451533077904</v>
      </c>
      <c r="V48" s="3">
        <v>0.49570576106923198</v>
      </c>
      <c r="W48" s="3">
        <v>-1.7311455758407726</v>
      </c>
      <c r="X48" s="3">
        <v>-0.96561260333077037</v>
      </c>
      <c r="Y48" s="3">
        <v>-0.49344882973076382</v>
      </c>
      <c r="Z48" s="3">
        <v>-0.57542024343075715</v>
      </c>
      <c r="AA48" s="3">
        <v>0.80345345206922736</v>
      </c>
      <c r="AB48" s="3">
        <v>1.1295069963692277</v>
      </c>
      <c r="AC48" s="3">
        <v>2.2252832571692274</v>
      </c>
      <c r="AD48" s="3">
        <v>1.4889856663692449</v>
      </c>
      <c r="AE48" s="3">
        <v>2.0574152523692271</v>
      </c>
      <c r="AF48" s="3">
        <v>2.057989922469234</v>
      </c>
      <c r="AG48" s="3">
        <v>2.4866597172692426</v>
      </c>
      <c r="AH48" s="3">
        <v>1.7138665980692449</v>
      </c>
      <c r="AI48" s="3">
        <v>9.4529943569231722E-2</v>
      </c>
      <c r="AJ48" s="3">
        <v>0.60212085066922516</v>
      </c>
      <c r="AK48" s="3">
        <v>2.3005714547692206</v>
      </c>
      <c r="AL48" s="3">
        <v>2.2583431590692404</v>
      </c>
      <c r="AM48" s="3">
        <v>1.6955769090092339</v>
      </c>
      <c r="AN48" s="3">
        <v>2.0752345825592298</v>
      </c>
      <c r="AO48" s="3">
        <v>2.4774201739092447</v>
      </c>
      <c r="AP48" s="3">
        <v>0.86056713492922976</v>
      </c>
      <c r="AQ48" s="3">
        <v>0.6355308827592252</v>
      </c>
      <c r="AR48" s="3">
        <v>0.2263728185012383</v>
      </c>
      <c r="AS48" s="3">
        <v>0.75269428361922963</v>
      </c>
      <c r="AT48" s="3">
        <v>0.10561636126922933</v>
      </c>
      <c r="AU48" s="3">
        <v>0.53788867355923242</v>
      </c>
    </row>
    <row r="49" spans="1:47" x14ac:dyDescent="0.25">
      <c r="A49">
        <v>2021.375</v>
      </c>
      <c r="B49">
        <v>5</v>
      </c>
      <c r="C49" s="3">
        <v>3.013470621229243</v>
      </c>
      <c r="D49">
        <v>16.528467941513568</v>
      </c>
      <c r="G49" s="3">
        <v>3.013470621229243</v>
      </c>
      <c r="H49" s="3">
        <v>3.4358862912692407</v>
      </c>
      <c r="I49" s="3">
        <v>4.1419505337292053</v>
      </c>
      <c r="J49" s="3">
        <v>1.6625542466692296</v>
      </c>
      <c r="K49" s="3">
        <v>0.56966047319922519</v>
      </c>
      <c r="L49" s="3">
        <v>7.4266250269225065E-2</v>
      </c>
      <c r="M49" s="3">
        <v>2.7389921961692316</v>
      </c>
      <c r="N49" s="3">
        <v>2.6532131311692275</v>
      </c>
      <c r="O49" s="3">
        <v>2.7449835301692338</v>
      </c>
      <c r="P49" s="3">
        <v>2.4282919043692339</v>
      </c>
      <c r="Q49" s="3">
        <v>2.4569034265692382</v>
      </c>
      <c r="R49" s="3">
        <v>1.9575282925692208</v>
      </c>
      <c r="S49" s="3">
        <v>0.94188844476923839</v>
      </c>
      <c r="T49" s="3">
        <v>1.418113753069234</v>
      </c>
      <c r="U49" s="3">
        <v>2.890156064869227</v>
      </c>
      <c r="V49" s="3">
        <v>0.72176298916923387</v>
      </c>
      <c r="W49" s="3">
        <v>0.50067563736922516</v>
      </c>
      <c r="X49" s="3">
        <v>-1.2565737220307747</v>
      </c>
      <c r="Y49" s="3">
        <v>-1.0369431740307637</v>
      </c>
      <c r="Z49" s="3">
        <v>0.70103079876923413</v>
      </c>
      <c r="AA49" s="3">
        <v>0.37751908686922514</v>
      </c>
      <c r="AB49" s="3">
        <v>0.59593210106922745</v>
      </c>
      <c r="AC49" s="3">
        <v>0.41449108666922962</v>
      </c>
      <c r="AD49" s="3">
        <v>0.73665835736922736</v>
      </c>
      <c r="AE49" s="3">
        <v>0.16846339816923617</v>
      </c>
      <c r="AF49" s="3">
        <v>-0.47616772613075503</v>
      </c>
      <c r="AG49" s="3">
        <v>-0.53457451533077904</v>
      </c>
      <c r="AH49" s="3">
        <v>0.49570576106923198</v>
      </c>
      <c r="AI49" s="3">
        <v>-1.7311455758407726</v>
      </c>
      <c r="AJ49" s="3">
        <v>-0.96561260333077037</v>
      </c>
      <c r="AK49" s="3">
        <v>-0.49344882973076382</v>
      </c>
      <c r="AL49" s="3">
        <v>-0.57542024343075715</v>
      </c>
      <c r="AM49" s="3">
        <v>0.80345345206922736</v>
      </c>
      <c r="AN49" s="3">
        <v>1.1295069963692277</v>
      </c>
      <c r="AO49" s="3">
        <v>2.2252832571692274</v>
      </c>
      <c r="AP49" s="3">
        <v>1.4889856663692449</v>
      </c>
      <c r="AQ49" s="3">
        <v>2.0574152523692271</v>
      </c>
      <c r="AR49" s="3">
        <v>2.057989922469234</v>
      </c>
      <c r="AS49" s="3">
        <v>2.4866597172692426</v>
      </c>
      <c r="AT49" s="3">
        <v>1.7138665980692449</v>
      </c>
      <c r="AU49" s="3">
        <v>9.4529943569231722E-2</v>
      </c>
    </row>
    <row r="50" spans="1:47" x14ac:dyDescent="0.25">
      <c r="A50">
        <v>2022.375</v>
      </c>
      <c r="B50">
        <v>5</v>
      </c>
      <c r="C50" s="3">
        <v>4.3843827266992443</v>
      </c>
      <c r="D50">
        <v>16.608731541774308</v>
      </c>
      <c r="G50" s="3">
        <v>4.3843827266992443</v>
      </c>
      <c r="H50" s="3">
        <v>3.738704460969243</v>
      </c>
      <c r="I50" s="3">
        <v>2.5391773460692382</v>
      </c>
      <c r="J50" s="3">
        <v>1.5244433762692298</v>
      </c>
      <c r="K50" s="3">
        <v>1.1166221583692315</v>
      </c>
      <c r="L50" s="3">
        <v>3.7450370694692299</v>
      </c>
      <c r="M50" s="3">
        <v>3.3026885758992401</v>
      </c>
      <c r="N50" s="3">
        <v>3.7375478410922232</v>
      </c>
      <c r="O50" s="3">
        <v>3.2127393982092203</v>
      </c>
      <c r="P50" s="3">
        <v>2.8442826277692275</v>
      </c>
      <c r="Q50" s="3">
        <v>4.163303717119228</v>
      </c>
      <c r="R50" s="3">
        <v>2.8356994875692361</v>
      </c>
      <c r="S50" s="3">
        <v>3.013470621229243</v>
      </c>
      <c r="T50" s="3">
        <v>3.4358862912692407</v>
      </c>
      <c r="U50" s="3">
        <v>4.1419505337292053</v>
      </c>
      <c r="V50" s="3">
        <v>1.6625542466692296</v>
      </c>
      <c r="W50" s="3">
        <v>0.56966047319922519</v>
      </c>
      <c r="X50" s="3">
        <v>7.4266250269225065E-2</v>
      </c>
      <c r="Y50" s="3">
        <v>2.7389921961692316</v>
      </c>
      <c r="Z50" s="3">
        <v>2.6532131311692275</v>
      </c>
      <c r="AA50" s="3">
        <v>2.7449835301692338</v>
      </c>
      <c r="AB50" s="3">
        <v>2.4282919043692339</v>
      </c>
      <c r="AC50" s="3">
        <v>2.4569034265692382</v>
      </c>
      <c r="AD50" s="3">
        <v>1.9575282925692208</v>
      </c>
      <c r="AE50" s="3">
        <v>0.94188844476923839</v>
      </c>
      <c r="AF50" s="3">
        <v>1.418113753069234</v>
      </c>
      <c r="AG50" s="3">
        <v>2.890156064869227</v>
      </c>
      <c r="AH50" s="3">
        <v>0.72176298916923387</v>
      </c>
      <c r="AI50" s="3">
        <v>0.50067563736922516</v>
      </c>
      <c r="AJ50" s="3">
        <v>-1.2565737220307747</v>
      </c>
      <c r="AK50" s="3">
        <v>-1.0369431740307637</v>
      </c>
      <c r="AL50" s="3">
        <v>0.70103079876923413</v>
      </c>
      <c r="AM50" s="3">
        <v>0.37751908686922514</v>
      </c>
      <c r="AN50" s="3">
        <v>0.59593210106922745</v>
      </c>
      <c r="AO50" s="3">
        <v>0.41449108666922962</v>
      </c>
      <c r="AP50" s="3">
        <v>0.73665835736922736</v>
      </c>
      <c r="AQ50" s="3">
        <v>0.16846339816923617</v>
      </c>
      <c r="AR50" s="3">
        <v>-0.47616772613075503</v>
      </c>
      <c r="AS50" s="3">
        <v>-0.53457451533077904</v>
      </c>
      <c r="AT50" s="3">
        <v>0.49570576106923198</v>
      </c>
      <c r="AU50" s="3">
        <v>-1.7311455758407726</v>
      </c>
    </row>
    <row r="51" spans="1:47" x14ac:dyDescent="0.25">
      <c r="A51">
        <v>2023.375</v>
      </c>
      <c r="B51">
        <v>5</v>
      </c>
      <c r="C51" s="3">
        <v>2.5315232330692252</v>
      </c>
      <c r="D51">
        <v>15.510872942421829</v>
      </c>
      <c r="G51" s="3">
        <v>2.5315232330692252</v>
      </c>
      <c r="H51" s="3">
        <v>2.4242919410692383</v>
      </c>
      <c r="I51" s="3">
        <v>3.0204558906692407</v>
      </c>
      <c r="J51" s="3">
        <v>2.5160163088692427</v>
      </c>
      <c r="K51" s="3">
        <v>0.21799792796922957</v>
      </c>
      <c r="L51" s="3">
        <v>1.0712564202692405</v>
      </c>
      <c r="M51" s="3">
        <v>3.5479114080692211</v>
      </c>
      <c r="N51" s="3">
        <v>3.5468615474692231</v>
      </c>
      <c r="O51" s="3">
        <v>3.5616315340692255</v>
      </c>
      <c r="P51" s="3">
        <v>4.1160447731392207</v>
      </c>
      <c r="Q51" s="3">
        <v>4.716440559979227</v>
      </c>
      <c r="R51" s="3">
        <v>3.4192657767092252</v>
      </c>
      <c r="S51" s="3">
        <v>4.3843827266992443</v>
      </c>
      <c r="T51" s="3">
        <v>3.738704460969243</v>
      </c>
      <c r="U51" s="3">
        <v>2.5391773460692382</v>
      </c>
      <c r="V51" s="3">
        <v>1.5244433762692298</v>
      </c>
      <c r="W51" s="3">
        <v>1.1166221583692315</v>
      </c>
      <c r="X51" s="3">
        <v>3.7450370694692299</v>
      </c>
      <c r="Y51" s="3">
        <v>3.3026885758992401</v>
      </c>
      <c r="Z51" s="3">
        <v>3.7375478410922232</v>
      </c>
      <c r="AA51" s="3">
        <v>3.2127393982092203</v>
      </c>
      <c r="AB51" s="3">
        <v>2.8442826277692275</v>
      </c>
      <c r="AC51" s="3">
        <v>4.163303717119228</v>
      </c>
      <c r="AD51" s="3">
        <v>2.8356994875692361</v>
      </c>
      <c r="AE51" s="3">
        <v>3.013470621229243</v>
      </c>
      <c r="AF51" s="3">
        <v>3.4358862912692407</v>
      </c>
      <c r="AG51" s="3">
        <v>4.1419505337292053</v>
      </c>
      <c r="AH51" s="3">
        <v>1.6625542466692296</v>
      </c>
      <c r="AI51" s="3">
        <v>0.56966047319922519</v>
      </c>
      <c r="AJ51" s="3">
        <v>7.4266250269225065E-2</v>
      </c>
      <c r="AK51" s="3">
        <v>2.7389921961692316</v>
      </c>
      <c r="AL51" s="3">
        <v>2.6532131311692275</v>
      </c>
      <c r="AM51" s="3">
        <v>2.7449835301692338</v>
      </c>
      <c r="AN51" s="3">
        <v>2.4282919043692339</v>
      </c>
      <c r="AO51" s="3">
        <v>2.4569034265692382</v>
      </c>
      <c r="AP51" s="3">
        <v>1.9575282925692208</v>
      </c>
      <c r="AQ51" s="3">
        <v>0.94188844476923839</v>
      </c>
      <c r="AR51" s="3">
        <v>1.418113753069234</v>
      </c>
      <c r="AS51" s="3">
        <v>2.890156064869227</v>
      </c>
      <c r="AT51" s="3">
        <v>0.72176298916923387</v>
      </c>
      <c r="AU51" s="3">
        <v>0.50067563736922516</v>
      </c>
    </row>
    <row r="52" spans="1:47" x14ac:dyDescent="0.25">
      <c r="A52">
        <v>2024</v>
      </c>
      <c r="D52">
        <v>15.543448537437959</v>
      </c>
      <c r="S52" s="3">
        <v>2.5315232330692252</v>
      </c>
      <c r="T52" s="3">
        <v>2.4242919410692383</v>
      </c>
      <c r="U52" s="3">
        <v>3.0204558906692407</v>
      </c>
      <c r="V52" s="3">
        <v>2.5160163088692427</v>
      </c>
      <c r="W52" s="3">
        <v>0.21799792796922957</v>
      </c>
      <c r="X52" s="3">
        <v>1.0712564202692405</v>
      </c>
      <c r="Y52" s="3">
        <v>3.5479114080692211</v>
      </c>
      <c r="Z52" s="3">
        <v>3.5468615474692231</v>
      </c>
      <c r="AA52" s="3">
        <v>3.5616315340692255</v>
      </c>
      <c r="AB52" s="3">
        <v>4.1160447731392207</v>
      </c>
      <c r="AC52" s="3">
        <v>4.716440559979227</v>
      </c>
      <c r="AD52" s="3">
        <v>3.4192657767092252</v>
      </c>
      <c r="AE52" s="3">
        <v>4.3843827266992443</v>
      </c>
      <c r="AF52" s="3">
        <v>3.738704460969243</v>
      </c>
      <c r="AG52" s="3">
        <v>2.5391773460692382</v>
      </c>
      <c r="AH52" s="3">
        <v>1.5244433762692298</v>
      </c>
      <c r="AI52" s="3">
        <v>1.1166221583692315</v>
      </c>
      <c r="AJ52" s="3">
        <v>3.7450370694692299</v>
      </c>
      <c r="AK52" s="3">
        <v>3.3026885758992401</v>
      </c>
      <c r="AL52" s="3">
        <v>3.7375478410922232</v>
      </c>
      <c r="AM52" s="3">
        <v>3.2127393982092203</v>
      </c>
      <c r="AN52" s="3">
        <v>2.8442826277692275</v>
      </c>
      <c r="AO52" s="3">
        <v>4.163303717119228</v>
      </c>
      <c r="AP52" s="3">
        <v>2.8356994875692361</v>
      </c>
      <c r="AQ52" s="3">
        <v>3.013470621229243</v>
      </c>
      <c r="AR52" s="3">
        <v>3.4358862912692407</v>
      </c>
      <c r="AS52" s="3">
        <v>4.1419505337292053</v>
      </c>
      <c r="AT52" s="3">
        <v>1.6625542466692296</v>
      </c>
      <c r="AU52" s="3">
        <v>0.56966047319922519</v>
      </c>
    </row>
    <row r="53" spans="1:47" x14ac:dyDescent="0.25">
      <c r="AE53" s="3">
        <v>2.5315232330692252</v>
      </c>
      <c r="AF53" s="3">
        <v>2.4242919410692383</v>
      </c>
      <c r="AK53" s="3">
        <v>3.5479114080692211</v>
      </c>
      <c r="AQ53" s="3">
        <v>4.3843827266992443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0A9A-31EF-49C9-9056-6E54DBCBE4EF}">
  <dimension ref="A1:AC40"/>
  <sheetViews>
    <sheetView workbookViewId="0">
      <selection activeCell="W32" sqref="W32"/>
    </sheetView>
  </sheetViews>
  <sheetFormatPr defaultRowHeight="15" x14ac:dyDescent="0.25"/>
  <cols>
    <col min="28" max="28" width="10.28515625" customWidth="1"/>
  </cols>
  <sheetData>
    <row r="1" spans="1:1" x14ac:dyDescent="0.25">
      <c r="A1" t="s">
        <v>9</v>
      </c>
    </row>
    <row r="18" spans="2:29" x14ac:dyDescent="0.25">
      <c r="B18" t="s">
        <v>11</v>
      </c>
      <c r="K18" t="s">
        <v>10</v>
      </c>
      <c r="T18" t="s">
        <v>17</v>
      </c>
    </row>
    <row r="19" spans="2:29" x14ac:dyDescent="0.25">
      <c r="L19" t="s">
        <v>12</v>
      </c>
      <c r="T19" t="s">
        <v>13</v>
      </c>
      <c r="W19">
        <v>3.548</v>
      </c>
    </row>
    <row r="20" spans="2:29" x14ac:dyDescent="0.25">
      <c r="T20" t="s">
        <v>14</v>
      </c>
      <c r="V20">
        <v>-0.15490000000000001</v>
      </c>
      <c r="W20">
        <v>14.965999999999999</v>
      </c>
      <c r="X20">
        <f>W20+W19*V20</f>
        <v>14.4164148</v>
      </c>
      <c r="Y20" s="1">
        <f>EXP(X20)</f>
        <v>1823767.1819595443</v>
      </c>
      <c r="Z20" t="s">
        <v>15</v>
      </c>
    </row>
    <row r="21" spans="2:29" x14ac:dyDescent="0.25">
      <c r="Z21" t="s">
        <v>16</v>
      </c>
      <c r="AC21">
        <f>LN(10580000)</f>
        <v>16.174475984394427</v>
      </c>
    </row>
    <row r="38" spans="2:16" x14ac:dyDescent="0.25">
      <c r="B38" t="s">
        <v>18</v>
      </c>
      <c r="K38" t="s">
        <v>19</v>
      </c>
    </row>
    <row r="39" spans="2:16" x14ac:dyDescent="0.25">
      <c r="K39" t="s">
        <v>20</v>
      </c>
      <c r="M39">
        <v>2.4239999999999999</v>
      </c>
      <c r="N39" t="s">
        <v>21</v>
      </c>
    </row>
    <row r="40" spans="2:16" x14ac:dyDescent="0.25">
      <c r="K40" t="s">
        <v>22</v>
      </c>
      <c r="M40">
        <v>13.336</v>
      </c>
      <c r="N40">
        <v>-0.36599999999999999</v>
      </c>
      <c r="O40">
        <f>M40+N40*M39</f>
        <v>12.448816000000001</v>
      </c>
      <c r="P40" s="2">
        <f>EXP(O40)</f>
        <v>254948.28508885007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F26D-9BF1-4251-A7AF-4D86EA878920}">
  <dimension ref="A1:AC193"/>
  <sheetViews>
    <sheetView tabSelected="1" workbookViewId="0">
      <selection activeCell="A2" sqref="A2"/>
    </sheetView>
  </sheetViews>
  <sheetFormatPr defaultRowHeight="15" x14ac:dyDescent="0.25"/>
  <cols>
    <col min="8" max="9" width="9.5703125" bestFit="1" customWidth="1"/>
    <col min="10" max="10" width="9.7109375" customWidth="1"/>
    <col min="11" max="12" width="9.28515625" bestFit="1" customWidth="1"/>
    <col min="13" max="13" width="10.5703125" bestFit="1" customWidth="1"/>
    <col min="14" max="14" width="11.5703125" bestFit="1" customWidth="1"/>
    <col min="15" max="15" width="11.5703125" customWidth="1"/>
    <col min="16" max="16" width="10.7109375" bestFit="1" customWidth="1"/>
    <col min="17" max="17" width="9.28515625" bestFit="1" customWidth="1"/>
    <col min="18" max="19" width="9.5703125" bestFit="1" customWidth="1"/>
    <col min="20" max="24" width="9.28515625" bestFit="1" customWidth="1"/>
  </cols>
  <sheetData>
    <row r="1" spans="1:10" x14ac:dyDescent="0.25">
      <c r="A1" t="s">
        <v>23</v>
      </c>
      <c r="B1" t="s">
        <v>9</v>
      </c>
    </row>
    <row r="2" spans="1:10" x14ac:dyDescent="0.25">
      <c r="B2" s="5"/>
      <c r="C2" s="5" t="s">
        <v>24</v>
      </c>
    </row>
    <row r="3" spans="1:10" x14ac:dyDescent="0.25">
      <c r="B3" s="5" t="s">
        <v>25</v>
      </c>
      <c r="C3" s="5" t="s">
        <v>26</v>
      </c>
      <c r="D3" t="s">
        <v>27</v>
      </c>
      <c r="E3" t="s">
        <v>28</v>
      </c>
    </row>
    <row r="4" spans="1:10" x14ac:dyDescent="0.25">
      <c r="B4">
        <v>1963</v>
      </c>
      <c r="C4">
        <v>452397.67238070199</v>
      </c>
      <c r="D4">
        <f t="shared" ref="D4:D65" si="0">LN(C4)</f>
        <v>13.022316878163789</v>
      </c>
    </row>
    <row r="5" spans="1:10" x14ac:dyDescent="0.25">
      <c r="B5">
        <v>1964</v>
      </c>
      <c r="C5">
        <v>266354.87932629301</v>
      </c>
      <c r="D5">
        <f t="shared" si="0"/>
        <v>12.492584831405033</v>
      </c>
      <c r="E5">
        <f>D5-D4</f>
        <v>-0.52973204675875607</v>
      </c>
    </row>
    <row r="6" spans="1:10" x14ac:dyDescent="0.25">
      <c r="B6">
        <v>1965</v>
      </c>
      <c r="C6">
        <v>582186.38175109995</v>
      </c>
      <c r="D6">
        <f t="shared" si="0"/>
        <v>13.274545919005142</v>
      </c>
      <c r="E6">
        <f t="shared" ref="E6:E65" si="1">D6-D5</f>
        <v>0.78196108760010929</v>
      </c>
    </row>
    <row r="7" spans="1:10" x14ac:dyDescent="0.25">
      <c r="B7">
        <v>1966</v>
      </c>
      <c r="C7">
        <v>411584.841952699</v>
      </c>
      <c r="D7">
        <f t="shared" si="0"/>
        <v>12.927770455132455</v>
      </c>
      <c r="E7">
        <f t="shared" si="1"/>
        <v>-0.34677546387268698</v>
      </c>
    </row>
    <row r="8" spans="1:10" ht="15.75" thickBot="1" x14ac:dyDescent="0.3">
      <c r="B8">
        <v>1967</v>
      </c>
      <c r="C8">
        <v>139628.992517509</v>
      </c>
      <c r="D8" s="6">
        <f t="shared" si="0"/>
        <v>11.846744130537504</v>
      </c>
      <c r="E8" s="6">
        <f t="shared" si="1"/>
        <v>-1.0810263245949514</v>
      </c>
      <c r="F8" s="6"/>
      <c r="G8" s="6"/>
      <c r="H8" s="6"/>
      <c r="I8" s="6"/>
      <c r="J8" s="6"/>
    </row>
    <row r="9" spans="1:10" x14ac:dyDescent="0.25">
      <c r="B9">
        <v>1968</v>
      </c>
      <c r="C9">
        <v>218458.35349097199</v>
      </c>
      <c r="D9">
        <f t="shared" si="0"/>
        <v>12.294350673478954</v>
      </c>
      <c r="E9">
        <f t="shared" si="1"/>
        <v>0.44760654294145041</v>
      </c>
    </row>
    <row r="10" spans="1:10" x14ac:dyDescent="0.25">
      <c r="B10">
        <v>1969</v>
      </c>
      <c r="C10">
        <v>184391.56511800201</v>
      </c>
      <c r="D10">
        <f t="shared" si="0"/>
        <v>12.124816846748235</v>
      </c>
      <c r="E10">
        <f t="shared" si="1"/>
        <v>-0.16953382673071893</v>
      </c>
    </row>
    <row r="11" spans="1:10" x14ac:dyDescent="0.25">
      <c r="B11">
        <v>1970</v>
      </c>
      <c r="C11">
        <v>865759.51452200301</v>
      </c>
      <c r="D11">
        <f t="shared" si="0"/>
        <v>13.671362452122851</v>
      </c>
      <c r="E11">
        <f t="shared" si="1"/>
        <v>1.5465456053746163</v>
      </c>
    </row>
    <row r="12" spans="1:10" x14ac:dyDescent="0.25">
      <c r="B12">
        <v>1971</v>
      </c>
      <c r="C12">
        <v>674291.30569474096</v>
      </c>
      <c r="D12">
        <f t="shared" si="0"/>
        <v>13.42141750081594</v>
      </c>
      <c r="E12">
        <f t="shared" si="1"/>
        <v>-0.24994495130691163</v>
      </c>
    </row>
    <row r="13" spans="1:10" x14ac:dyDescent="0.25">
      <c r="B13">
        <v>1972</v>
      </c>
      <c r="C13">
        <v>87174.071279004405</v>
      </c>
      <c r="D13">
        <f t="shared" si="0"/>
        <v>11.375662217962633</v>
      </c>
      <c r="E13">
        <f t="shared" si="1"/>
        <v>-2.0457552828533068</v>
      </c>
    </row>
    <row r="14" spans="1:10" x14ac:dyDescent="0.25">
      <c r="B14">
        <v>1973</v>
      </c>
      <c r="C14">
        <v>417125.00630487199</v>
      </c>
      <c r="D14">
        <f t="shared" si="0"/>
        <v>12.941141231168741</v>
      </c>
      <c r="E14">
        <f t="shared" si="1"/>
        <v>1.565479013206108</v>
      </c>
    </row>
    <row r="15" spans="1:10" x14ac:dyDescent="0.25">
      <c r="B15">
        <v>1974</v>
      </c>
      <c r="C15">
        <v>252194.81313950001</v>
      </c>
      <c r="D15">
        <f t="shared" si="0"/>
        <v>12.437957135844288</v>
      </c>
      <c r="E15">
        <f t="shared" si="1"/>
        <v>-0.5031840953244533</v>
      </c>
    </row>
    <row r="16" spans="1:10" x14ac:dyDescent="0.25">
      <c r="B16">
        <v>1975</v>
      </c>
      <c r="C16">
        <v>1053797.80249506</v>
      </c>
      <c r="D16">
        <f t="shared" si="0"/>
        <v>13.867911151440154</v>
      </c>
      <c r="E16">
        <f t="shared" si="1"/>
        <v>1.4299540155958663</v>
      </c>
    </row>
    <row r="17" spans="2:10" x14ac:dyDescent="0.25">
      <c r="B17">
        <v>1976</v>
      </c>
      <c r="C17">
        <v>1083587.2499889999</v>
      </c>
      <c r="D17">
        <f t="shared" si="0"/>
        <v>13.895787622779261</v>
      </c>
      <c r="E17">
        <f t="shared" si="1"/>
        <v>2.7876471339107312E-2</v>
      </c>
    </row>
    <row r="18" spans="2:10" x14ac:dyDescent="0.25">
      <c r="B18">
        <v>1977</v>
      </c>
      <c r="C18">
        <v>1096783.00508178</v>
      </c>
      <c r="D18">
        <f t="shared" si="0"/>
        <v>13.90789191210817</v>
      </c>
      <c r="E18">
        <f t="shared" si="1"/>
        <v>1.210428932890828E-2</v>
      </c>
    </row>
    <row r="19" spans="2:10" x14ac:dyDescent="0.25">
      <c r="B19">
        <v>1978</v>
      </c>
      <c r="C19">
        <v>1431831.6691958101</v>
      </c>
      <c r="D19">
        <f t="shared" si="0"/>
        <v>14.174465070148983</v>
      </c>
      <c r="E19">
        <f t="shared" si="1"/>
        <v>0.2665731580408135</v>
      </c>
    </row>
    <row r="20" spans="2:10" x14ac:dyDescent="0.25">
      <c r="B20">
        <v>1979</v>
      </c>
      <c r="C20">
        <v>1048799.625697</v>
      </c>
      <c r="D20" s="7">
        <f t="shared" si="0"/>
        <v>13.863156854544645</v>
      </c>
      <c r="E20" s="7">
        <f t="shared" si="1"/>
        <v>-0.3113082156043383</v>
      </c>
      <c r="F20" s="7"/>
      <c r="G20" s="7"/>
      <c r="H20" s="7"/>
      <c r="I20" s="7"/>
      <c r="J20" s="7"/>
    </row>
    <row r="21" spans="2:10" x14ac:dyDescent="0.25">
      <c r="B21">
        <v>1980</v>
      </c>
      <c r="C21">
        <v>5389939.1686600102</v>
      </c>
      <c r="D21">
        <f t="shared" si="0"/>
        <v>15.5000446568586</v>
      </c>
      <c r="E21">
        <f t="shared" si="1"/>
        <v>1.6368878023139555</v>
      </c>
    </row>
    <row r="22" spans="2:10" x14ac:dyDescent="0.25">
      <c r="B22">
        <v>1981</v>
      </c>
      <c r="C22">
        <v>3875793.5675440198</v>
      </c>
      <c r="D22">
        <f t="shared" si="0"/>
        <v>15.170260991426906</v>
      </c>
      <c r="E22">
        <f t="shared" si="1"/>
        <v>-0.32978366543169457</v>
      </c>
    </row>
    <row r="23" spans="2:10" x14ac:dyDescent="0.25">
      <c r="B23">
        <v>1982</v>
      </c>
      <c r="C23">
        <v>4067177.59369</v>
      </c>
      <c r="D23">
        <f t="shared" si="0"/>
        <v>15.218459850936231</v>
      </c>
      <c r="E23">
        <f t="shared" si="1"/>
        <v>4.8198859509325231E-2</v>
      </c>
    </row>
    <row r="24" spans="2:10" x14ac:dyDescent="0.25">
      <c r="B24">
        <v>1983</v>
      </c>
      <c r="C24">
        <v>2159923.6034260499</v>
      </c>
      <c r="D24">
        <f t="shared" si="0"/>
        <v>14.585583410250621</v>
      </c>
      <c r="E24">
        <f t="shared" si="1"/>
        <v>-0.63287644068561022</v>
      </c>
    </row>
    <row r="25" spans="2:10" x14ac:dyDescent="0.25">
      <c r="B25">
        <v>1984</v>
      </c>
      <c r="C25">
        <v>1340820.43460019</v>
      </c>
      <c r="D25">
        <f t="shared" si="0"/>
        <v>14.108792249196586</v>
      </c>
      <c r="E25">
        <f t="shared" si="1"/>
        <v>-0.47679116105403452</v>
      </c>
    </row>
    <row r="26" spans="2:10" x14ac:dyDescent="0.25">
      <c r="B26">
        <v>1985</v>
      </c>
      <c r="C26">
        <v>995643.31304500601</v>
      </c>
      <c r="D26">
        <f t="shared" si="0"/>
        <v>13.811144352993933</v>
      </c>
      <c r="E26">
        <f t="shared" si="1"/>
        <v>-0.29764789620265297</v>
      </c>
    </row>
    <row r="27" spans="2:10" x14ac:dyDescent="0.25">
      <c r="B27">
        <v>1986</v>
      </c>
      <c r="C27">
        <v>2379337.92782629</v>
      </c>
      <c r="D27">
        <f t="shared" si="0"/>
        <v>14.682332825362391</v>
      </c>
      <c r="E27">
        <f t="shared" si="1"/>
        <v>0.87118847236845731</v>
      </c>
    </row>
    <row r="28" spans="2:10" x14ac:dyDescent="0.25">
      <c r="B28">
        <v>1987</v>
      </c>
      <c r="C28">
        <v>1380199.9306511499</v>
      </c>
      <c r="D28">
        <f t="shared" si="0"/>
        <v>14.137738923923129</v>
      </c>
      <c r="E28">
        <f t="shared" si="1"/>
        <v>-0.54459390143926178</v>
      </c>
    </row>
    <row r="29" spans="2:10" x14ac:dyDescent="0.25">
      <c r="B29">
        <v>1988</v>
      </c>
      <c r="C29">
        <v>1090076.2271219001</v>
      </c>
      <c r="D29">
        <f t="shared" si="0"/>
        <v>13.901758184899476</v>
      </c>
      <c r="E29">
        <f t="shared" si="1"/>
        <v>-0.23598073902365257</v>
      </c>
    </row>
    <row r="30" spans="2:10" x14ac:dyDescent="0.25">
      <c r="B30">
        <v>1989</v>
      </c>
      <c r="C30">
        <v>1190738.0608089999</v>
      </c>
      <c r="D30">
        <f t="shared" si="0"/>
        <v>13.990083891998522</v>
      </c>
      <c r="E30">
        <f t="shared" si="1"/>
        <v>8.8325707099045303E-2</v>
      </c>
    </row>
    <row r="31" spans="2:10" x14ac:dyDescent="0.25">
      <c r="B31">
        <v>1990</v>
      </c>
      <c r="C31">
        <v>1804526.2550560001</v>
      </c>
      <c r="D31">
        <f t="shared" si="0"/>
        <v>14.405808652726936</v>
      </c>
      <c r="E31">
        <f t="shared" si="1"/>
        <v>0.41572476072841447</v>
      </c>
    </row>
    <row r="32" spans="2:10" x14ac:dyDescent="0.25">
      <c r="B32">
        <v>1991</v>
      </c>
      <c r="C32">
        <v>1628966.6272400001</v>
      </c>
      <c r="D32">
        <f t="shared" si="0"/>
        <v>14.303456400719938</v>
      </c>
      <c r="E32">
        <f t="shared" si="1"/>
        <v>-0.10235225200699816</v>
      </c>
    </row>
    <row r="33" spans="2:12" x14ac:dyDescent="0.25">
      <c r="B33">
        <v>1992</v>
      </c>
      <c r="C33">
        <v>1888874.1738100101</v>
      </c>
      <c r="D33">
        <f t="shared" si="0"/>
        <v>14.451491534318048</v>
      </c>
      <c r="E33">
        <f t="shared" si="1"/>
        <v>0.14803513359811049</v>
      </c>
    </row>
    <row r="34" spans="2:12" x14ac:dyDescent="0.25">
      <c r="B34">
        <v>1993</v>
      </c>
      <c r="C34">
        <v>2580049.1320489999</v>
      </c>
      <c r="D34">
        <f t="shared" si="0"/>
        <v>14.763319000146321</v>
      </c>
      <c r="E34">
        <f t="shared" si="1"/>
        <v>0.31182746582827292</v>
      </c>
    </row>
    <row r="35" spans="2:12" x14ac:dyDescent="0.25">
      <c r="B35">
        <v>1994</v>
      </c>
      <c r="C35">
        <v>1436463.3012576001</v>
      </c>
      <c r="D35">
        <f t="shared" si="0"/>
        <v>14.177694609743154</v>
      </c>
      <c r="E35">
        <f t="shared" si="1"/>
        <v>-0.58562439040316683</v>
      </c>
    </row>
    <row r="36" spans="2:12" x14ac:dyDescent="0.25">
      <c r="B36">
        <v>1995</v>
      </c>
      <c r="C36">
        <v>810994.88793319999</v>
      </c>
      <c r="D36">
        <f t="shared" si="0"/>
        <v>13.606017029666093</v>
      </c>
      <c r="E36">
        <f t="shared" si="1"/>
        <v>-0.57167758007706126</v>
      </c>
    </row>
    <row r="37" spans="2:12" x14ac:dyDescent="0.25">
      <c r="B37">
        <v>1996</v>
      </c>
      <c r="C37">
        <v>1623168.6566339999</v>
      </c>
      <c r="D37">
        <f t="shared" si="0"/>
        <v>14.299890757692967</v>
      </c>
      <c r="E37">
        <f t="shared" si="1"/>
        <v>0.6938737280268743</v>
      </c>
    </row>
    <row r="38" spans="2:12" x14ac:dyDescent="0.25">
      <c r="B38">
        <v>1997</v>
      </c>
      <c r="C38">
        <v>817646.87294084299</v>
      </c>
      <c r="D38">
        <f t="shared" si="0"/>
        <v>13.614185826706141</v>
      </c>
      <c r="E38">
        <f t="shared" si="1"/>
        <v>-0.68570493098682661</v>
      </c>
    </row>
    <row r="39" spans="2:12" x14ac:dyDescent="0.25">
      <c r="B39" s="9">
        <v>1998</v>
      </c>
      <c r="C39" s="9">
        <v>991559.91843840899</v>
      </c>
      <c r="D39" s="9">
        <f t="shared" si="0"/>
        <v>13.807034657227396</v>
      </c>
      <c r="E39" s="9">
        <f t="shared" si="1"/>
        <v>0.19284883052125501</v>
      </c>
      <c r="F39" s="9"/>
      <c r="G39" s="9"/>
      <c r="H39" s="9"/>
      <c r="I39" s="9"/>
      <c r="J39" s="9"/>
      <c r="K39" s="9"/>
      <c r="L39" s="9"/>
    </row>
    <row r="40" spans="2:12" x14ac:dyDescent="0.25">
      <c r="B40">
        <v>1999</v>
      </c>
      <c r="C40">
        <v>451807.04586900101</v>
      </c>
      <c r="D40">
        <f t="shared" si="0"/>
        <v>13.021010478000681</v>
      </c>
      <c r="E40">
        <f t="shared" si="1"/>
        <v>-0.78602417922671464</v>
      </c>
    </row>
    <row r="41" spans="2:12" x14ac:dyDescent="0.25">
      <c r="B41">
        <v>2000</v>
      </c>
      <c r="C41">
        <v>1344618.296422</v>
      </c>
      <c r="D41">
        <f t="shared" si="0"/>
        <v>14.111620736259018</v>
      </c>
      <c r="E41">
        <f t="shared" si="1"/>
        <v>1.0906102582583372</v>
      </c>
    </row>
    <row r="42" spans="2:12" x14ac:dyDescent="0.25">
      <c r="B42">
        <v>2001</v>
      </c>
      <c r="C42">
        <v>2093784.9072700101</v>
      </c>
      <c r="D42">
        <f t="shared" si="0"/>
        <v>14.554483946545496</v>
      </c>
      <c r="E42">
        <f t="shared" si="1"/>
        <v>0.44286321028647713</v>
      </c>
    </row>
    <row r="43" spans="2:12" x14ac:dyDescent="0.25">
      <c r="B43">
        <v>2002</v>
      </c>
      <c r="C43">
        <v>691785.04487100104</v>
      </c>
      <c r="D43">
        <f t="shared" si="0"/>
        <v>13.447030557545556</v>
      </c>
      <c r="E43">
        <f t="shared" si="1"/>
        <v>-1.1074533889999394</v>
      </c>
    </row>
    <row r="44" spans="2:12" x14ac:dyDescent="0.25">
      <c r="B44">
        <v>2003</v>
      </c>
      <c r="C44">
        <v>2409659.7705950001</v>
      </c>
      <c r="D44">
        <f t="shared" si="0"/>
        <v>14.694996121473876</v>
      </c>
      <c r="E44">
        <f t="shared" si="1"/>
        <v>1.2479655639283198</v>
      </c>
    </row>
    <row r="45" spans="2:12" x14ac:dyDescent="0.25">
      <c r="B45">
        <v>2004</v>
      </c>
      <c r="C45">
        <v>2062487.1220440101</v>
      </c>
      <c r="D45">
        <f t="shared" si="0"/>
        <v>14.539423153314031</v>
      </c>
      <c r="E45">
        <f t="shared" si="1"/>
        <v>-0.155572968159845</v>
      </c>
    </row>
    <row r="46" spans="2:12" x14ac:dyDescent="0.25">
      <c r="B46">
        <v>2005</v>
      </c>
      <c r="C46">
        <v>3672976.3023950099</v>
      </c>
      <c r="D46">
        <f t="shared" si="0"/>
        <v>15.116512872941898</v>
      </c>
      <c r="E46">
        <f t="shared" si="1"/>
        <v>0.57708971962786748</v>
      </c>
    </row>
    <row r="47" spans="2:12" x14ac:dyDescent="0.25">
      <c r="B47">
        <v>2006</v>
      </c>
      <c r="C47">
        <v>2731826.2706749998</v>
      </c>
      <c r="D47">
        <f t="shared" si="0"/>
        <v>14.820480907121938</v>
      </c>
      <c r="E47">
        <f t="shared" si="1"/>
        <v>-0.29603196581996016</v>
      </c>
    </row>
    <row r="48" spans="2:12" x14ac:dyDescent="0.25">
      <c r="B48">
        <v>2007</v>
      </c>
      <c r="C48">
        <v>2469463.1056679999</v>
      </c>
      <c r="D48">
        <f t="shared" si="0"/>
        <v>14.719511318850405</v>
      </c>
      <c r="E48">
        <f t="shared" si="1"/>
        <v>-0.10096958827153379</v>
      </c>
    </row>
    <row r="49" spans="2:5" x14ac:dyDescent="0.25">
      <c r="B49">
        <v>2008</v>
      </c>
      <c r="C49">
        <v>1909482.5102003</v>
      </c>
      <c r="D49">
        <f t="shared" si="0"/>
        <v>14.462342826244829</v>
      </c>
      <c r="E49">
        <f t="shared" si="1"/>
        <v>-0.25716849260557595</v>
      </c>
    </row>
    <row r="50" spans="2:5" x14ac:dyDescent="0.25">
      <c r="B50">
        <v>2009</v>
      </c>
      <c r="C50">
        <v>2077745.7673239999</v>
      </c>
      <c r="D50">
        <f t="shared" si="0"/>
        <v>14.546794098269173</v>
      </c>
      <c r="E50">
        <f t="shared" si="1"/>
        <v>8.4451272024343993E-2</v>
      </c>
    </row>
    <row r="51" spans="2:5" x14ac:dyDescent="0.25">
      <c r="B51">
        <v>2010</v>
      </c>
      <c r="C51">
        <v>1206250.660068</v>
      </c>
      <c r="D51">
        <f t="shared" si="0"/>
        <v>14.003027478841815</v>
      </c>
      <c r="E51">
        <f t="shared" si="1"/>
        <v>-0.54376661942735716</v>
      </c>
    </row>
    <row r="52" spans="2:5" x14ac:dyDescent="0.25">
      <c r="B52">
        <v>2011</v>
      </c>
      <c r="C52">
        <v>1167743.4751190001</v>
      </c>
      <c r="D52">
        <f t="shared" si="0"/>
        <v>13.970583790782056</v>
      </c>
      <c r="E52">
        <f t="shared" si="1"/>
        <v>-3.2443688059759168E-2</v>
      </c>
    </row>
    <row r="53" spans="2:5" x14ac:dyDescent="0.25">
      <c r="B53">
        <v>2012</v>
      </c>
      <c r="C53">
        <v>1038209.03834601</v>
      </c>
      <c r="D53">
        <f t="shared" si="0"/>
        <v>13.853007708122393</v>
      </c>
      <c r="E53">
        <f t="shared" si="1"/>
        <v>-0.11757608265966368</v>
      </c>
    </row>
    <row r="54" spans="2:5" x14ac:dyDescent="0.25">
      <c r="B54">
        <v>2013</v>
      </c>
      <c r="C54">
        <v>2010208.723915</v>
      </c>
      <c r="D54">
        <f t="shared" si="0"/>
        <v>14.513749117387755</v>
      </c>
      <c r="E54">
        <f t="shared" si="1"/>
        <v>0.66074140926536273</v>
      </c>
    </row>
    <row r="55" spans="2:5" x14ac:dyDescent="0.25">
      <c r="B55">
        <v>2014</v>
      </c>
      <c r="C55">
        <v>1510848.6961719999</v>
      </c>
      <c r="D55">
        <f t="shared" si="0"/>
        <v>14.228182101344947</v>
      </c>
      <c r="E55">
        <f t="shared" si="1"/>
        <v>-0.28556701604280832</v>
      </c>
    </row>
    <row r="56" spans="2:5" x14ac:dyDescent="0.25">
      <c r="B56">
        <v>2015</v>
      </c>
      <c r="C56">
        <v>2475860.1987170102</v>
      </c>
      <c r="D56">
        <f t="shared" si="0"/>
        <v>14.722098448638842</v>
      </c>
      <c r="E56">
        <f t="shared" si="1"/>
        <v>0.49391634729389544</v>
      </c>
    </row>
    <row r="57" spans="2:5" x14ac:dyDescent="0.25">
      <c r="B57">
        <v>2016</v>
      </c>
      <c r="C57">
        <v>2575667.3059958802</v>
      </c>
      <c r="D57">
        <f t="shared" si="0"/>
        <v>14.761619206466506</v>
      </c>
      <c r="E57">
        <f t="shared" si="1"/>
        <v>3.9520757827663289E-2</v>
      </c>
    </row>
    <row r="58" spans="2:5" x14ac:dyDescent="0.25">
      <c r="B58">
        <v>2017</v>
      </c>
      <c r="C58">
        <v>8199368.3829100002</v>
      </c>
      <c r="D58">
        <f t="shared" si="0"/>
        <v>15.919567682793399</v>
      </c>
      <c r="E58">
        <f t="shared" si="1"/>
        <v>1.1579484763268937</v>
      </c>
    </row>
    <row r="59" spans="2:5" x14ac:dyDescent="0.25">
      <c r="B59">
        <v>2018</v>
      </c>
      <c r="C59">
        <v>9602178.9337900206</v>
      </c>
      <c r="D59">
        <f t="shared" si="0"/>
        <v>16.077500602953549</v>
      </c>
      <c r="E59">
        <f t="shared" si="1"/>
        <v>0.15793292016014959</v>
      </c>
    </row>
    <row r="60" spans="2:5" x14ac:dyDescent="0.25">
      <c r="B60">
        <v>2019</v>
      </c>
      <c r="C60">
        <v>4306596.0692238398</v>
      </c>
      <c r="D60">
        <f t="shared" si="0"/>
        <v>15.275658374921177</v>
      </c>
      <c r="E60">
        <f t="shared" si="1"/>
        <v>-0.80184222803237226</v>
      </c>
    </row>
    <row r="61" spans="2:5" x14ac:dyDescent="0.25">
      <c r="B61">
        <v>2020</v>
      </c>
      <c r="C61">
        <v>3625516.9011630001</v>
      </c>
      <c r="D61">
        <f t="shared" si="0"/>
        <v>15.103507429529712</v>
      </c>
      <c r="E61">
        <f t="shared" si="1"/>
        <v>-0.17215094539146492</v>
      </c>
    </row>
    <row r="62" spans="2:5" x14ac:dyDescent="0.25">
      <c r="B62">
        <v>2021</v>
      </c>
      <c r="C62">
        <v>15073788.6357836</v>
      </c>
      <c r="D62">
        <f t="shared" si="0"/>
        <v>16.528467941513568</v>
      </c>
      <c r="E62">
        <f t="shared" si="1"/>
        <v>1.4249605119838566</v>
      </c>
    </row>
    <row r="63" spans="2:5" x14ac:dyDescent="0.25">
      <c r="B63">
        <v>2022</v>
      </c>
      <c r="C63">
        <v>16333545.2493775</v>
      </c>
      <c r="D63">
        <f t="shared" si="0"/>
        <v>16.608731541774308</v>
      </c>
      <c r="E63">
        <f t="shared" si="1"/>
        <v>8.026360026073931E-2</v>
      </c>
    </row>
    <row r="64" spans="2:5" x14ac:dyDescent="0.25">
      <c r="B64">
        <v>2023</v>
      </c>
      <c r="C64">
        <v>5448620.1027331697</v>
      </c>
      <c r="D64">
        <f t="shared" si="0"/>
        <v>15.510872942421829</v>
      </c>
      <c r="E64">
        <f t="shared" si="1"/>
        <v>-1.0978585993524792</v>
      </c>
    </row>
    <row r="65" spans="2:18" x14ac:dyDescent="0.25">
      <c r="B65">
        <v>2024</v>
      </c>
      <c r="C65">
        <v>5629034.7478780597</v>
      </c>
      <c r="D65">
        <f t="shared" si="0"/>
        <v>15.543448537437959</v>
      </c>
      <c r="E65">
        <f t="shared" si="1"/>
        <v>3.2575595016130166E-2</v>
      </c>
      <c r="F65">
        <f t="shared" ref="F6:F65" si="2">D64</f>
        <v>15.510872942421829</v>
      </c>
      <c r="G65">
        <f t="shared" ref="G7:G65" si="3">D63</f>
        <v>16.608731541774308</v>
      </c>
      <c r="H65">
        <f t="shared" ref="H8:H65" si="4">D62</f>
        <v>16.528467941513568</v>
      </c>
      <c r="I65">
        <f t="shared" ref="I9:I65" si="5">D61</f>
        <v>15.103507429529712</v>
      </c>
      <c r="J65">
        <f t="shared" ref="J10:J65" si="6">D60</f>
        <v>15.275658374921177</v>
      </c>
      <c r="K65">
        <f t="shared" ref="K10:K65" si="7">STDEV(F65:J65)</f>
        <v>0.71207344427587493</v>
      </c>
      <c r="L65">
        <f t="shared" ref="L10:L65" si="8">J65</f>
        <v>15.275658374921177</v>
      </c>
      <c r="N65" t="s">
        <v>50</v>
      </c>
      <c r="Q65" s="8" t="s">
        <v>51</v>
      </c>
      <c r="R65" t="s">
        <v>52</v>
      </c>
    </row>
    <row r="83" spans="2:25" x14ac:dyDescent="0.25">
      <c r="J83" t="s">
        <v>29</v>
      </c>
      <c r="K83" t="s">
        <v>30</v>
      </c>
    </row>
    <row r="84" spans="2:25" x14ac:dyDescent="0.25">
      <c r="K84" t="s">
        <v>31</v>
      </c>
      <c r="P84">
        <f>0.0854*2024-156.98</f>
        <v>15.86960000000002</v>
      </c>
      <c r="Q84" t="s">
        <v>32</v>
      </c>
      <c r="S84" s="1">
        <f>EXP(P84)</f>
        <v>7799732.529639584</v>
      </c>
      <c r="U84" t="s">
        <v>53</v>
      </c>
      <c r="W84">
        <v>5629034.7478780597</v>
      </c>
      <c r="Y84" t="s">
        <v>54</v>
      </c>
    </row>
    <row r="87" spans="2:25" x14ac:dyDescent="0.25">
      <c r="C87" t="s">
        <v>33</v>
      </c>
      <c r="D87" t="s">
        <v>34</v>
      </c>
      <c r="E87" t="s">
        <v>35</v>
      </c>
      <c r="F87" s="8" t="s">
        <v>36</v>
      </c>
      <c r="G87" t="s">
        <v>37</v>
      </c>
      <c r="H87" t="s">
        <v>38</v>
      </c>
      <c r="I87" t="s">
        <v>39</v>
      </c>
      <c r="J87" t="s">
        <v>40</v>
      </c>
      <c r="K87" t="s">
        <v>41</v>
      </c>
      <c r="L87" t="s">
        <v>42</v>
      </c>
      <c r="M87" t="s">
        <v>43</v>
      </c>
      <c r="N87" t="s">
        <v>44</v>
      </c>
    </row>
    <row r="88" spans="2:25" x14ac:dyDescent="0.25">
      <c r="B88">
        <v>311</v>
      </c>
      <c r="C88" t="s">
        <v>45</v>
      </c>
      <c r="D88" t="s">
        <v>9</v>
      </c>
      <c r="E88">
        <v>1963</v>
      </c>
      <c r="F88" s="8">
        <v>452397.67236674298</v>
      </c>
      <c r="G88" s="8">
        <v>34662.9019428623</v>
      </c>
      <c r="H88" s="19">
        <v>4.97704998202916E-7</v>
      </c>
      <c r="I88" s="8">
        <v>311993.271078413</v>
      </c>
      <c r="J88" s="19">
        <v>1.26013419591392E-8</v>
      </c>
      <c r="K88" s="19">
        <v>1.26109200527051E-7</v>
      </c>
      <c r="L88" s="8">
        <v>65871.695593170298</v>
      </c>
      <c r="M88" s="19">
        <v>3.9141568437789702E-8</v>
      </c>
      <c r="N88" s="8">
        <v>0</v>
      </c>
    </row>
    <row r="89" spans="2:25" x14ac:dyDescent="0.25">
      <c r="B89">
        <v>312</v>
      </c>
      <c r="C89" t="s">
        <v>45</v>
      </c>
      <c r="D89" t="s">
        <v>9</v>
      </c>
      <c r="E89">
        <v>1964</v>
      </c>
      <c r="F89" s="8">
        <v>266354.87931409403</v>
      </c>
      <c r="G89" s="19">
        <v>6.7569048604729303E-8</v>
      </c>
      <c r="H89" s="19">
        <v>1.24579769110065E-7</v>
      </c>
      <c r="I89" s="19">
        <v>1.42572418069264E-7</v>
      </c>
      <c r="J89" s="19">
        <v>5.4197373593253899E-9</v>
      </c>
      <c r="K89" s="8">
        <v>0</v>
      </c>
      <c r="L89" s="8">
        <v>169010.846296801</v>
      </c>
      <c r="M89" s="8">
        <v>38994.827675341498</v>
      </c>
      <c r="N89" s="8">
        <v>0</v>
      </c>
    </row>
    <row r="90" spans="2:25" x14ac:dyDescent="0.25">
      <c r="B90">
        <v>313</v>
      </c>
      <c r="C90" t="s">
        <v>45</v>
      </c>
      <c r="D90" t="s">
        <v>9</v>
      </c>
      <c r="E90">
        <v>1965</v>
      </c>
      <c r="F90" s="8">
        <v>582186.38179102098</v>
      </c>
      <c r="G90" s="8">
        <v>1451.00248237438</v>
      </c>
      <c r="H90" s="8">
        <v>210435.634814627</v>
      </c>
      <c r="I90" s="8">
        <v>213741.41412793199</v>
      </c>
      <c r="J90" s="8">
        <v>601.63183505304096</v>
      </c>
      <c r="K90" s="8">
        <v>0</v>
      </c>
      <c r="L90" s="8">
        <v>47669.842108657998</v>
      </c>
      <c r="M90" s="8">
        <v>41624.754210435101</v>
      </c>
      <c r="N90" s="8">
        <v>0</v>
      </c>
    </row>
    <row r="91" spans="2:25" x14ac:dyDescent="0.25">
      <c r="B91">
        <v>314</v>
      </c>
      <c r="C91" t="s">
        <v>45</v>
      </c>
      <c r="D91" t="s">
        <v>9</v>
      </c>
      <c r="E91">
        <v>1966</v>
      </c>
      <c r="F91" s="8">
        <v>411584.841890866</v>
      </c>
      <c r="G91" s="8">
        <v>4.59733442382781E-4</v>
      </c>
      <c r="H91" s="8">
        <v>30.808558924833399</v>
      </c>
      <c r="I91" s="8">
        <v>22240.4808150426</v>
      </c>
      <c r="J91" s="8">
        <v>2224.9236739478802</v>
      </c>
      <c r="K91" s="8">
        <v>0</v>
      </c>
      <c r="L91" s="8">
        <v>166547.305970813</v>
      </c>
      <c r="M91" s="8">
        <v>188106.892863916</v>
      </c>
      <c r="N91" s="8">
        <v>0</v>
      </c>
    </row>
    <row r="92" spans="2:25" x14ac:dyDescent="0.25">
      <c r="B92">
        <v>315</v>
      </c>
      <c r="C92" t="s">
        <v>45</v>
      </c>
      <c r="D92" t="s">
        <v>9</v>
      </c>
      <c r="E92">
        <v>1967</v>
      </c>
      <c r="F92" s="8">
        <v>139628.99251433901</v>
      </c>
      <c r="G92" s="19">
        <v>1.2002843340066901E-7</v>
      </c>
      <c r="H92" s="19">
        <v>1.4733681278750199E-7</v>
      </c>
      <c r="I92" s="19">
        <v>2.1932886343239999E-7</v>
      </c>
      <c r="J92" s="19">
        <v>2.21609672783912E-8</v>
      </c>
      <c r="K92" s="8">
        <v>0</v>
      </c>
      <c r="L92" s="8">
        <v>66347.762918813401</v>
      </c>
      <c r="M92" s="8">
        <v>8209.9633467165695</v>
      </c>
      <c r="N92" s="8">
        <v>0</v>
      </c>
    </row>
    <row r="93" spans="2:25" x14ac:dyDescent="0.25">
      <c r="B93">
        <v>316</v>
      </c>
      <c r="C93" t="s">
        <v>45</v>
      </c>
      <c r="D93" t="s">
        <v>9</v>
      </c>
      <c r="E93">
        <v>1968</v>
      </c>
      <c r="F93" s="8">
        <v>218458.35344657401</v>
      </c>
      <c r="G93" s="19">
        <v>2.6957217610036601E-5</v>
      </c>
      <c r="H93" s="19">
        <v>2.9408756990327302E-5</v>
      </c>
      <c r="I93" s="19">
        <v>4.96062425841608E-5</v>
      </c>
      <c r="J93" s="8">
        <v>22924.705108532598</v>
      </c>
      <c r="K93" s="8">
        <v>0</v>
      </c>
      <c r="L93" s="8">
        <v>124685.09936351801</v>
      </c>
      <c r="M93" s="8">
        <v>20282.034607913301</v>
      </c>
      <c r="N93" s="8">
        <v>0</v>
      </c>
    </row>
    <row r="94" spans="2:25" x14ac:dyDescent="0.25">
      <c r="B94">
        <v>317</v>
      </c>
      <c r="C94" t="s">
        <v>45</v>
      </c>
      <c r="D94" t="s">
        <v>9</v>
      </c>
      <c r="E94">
        <v>1969</v>
      </c>
      <c r="F94" s="8">
        <v>184391.565122492</v>
      </c>
      <c r="G94" s="8">
        <v>669.86804713150605</v>
      </c>
      <c r="H94" s="8">
        <v>86140.108762205797</v>
      </c>
      <c r="I94" s="8">
        <v>51330.1631088867</v>
      </c>
      <c r="J94" s="8">
        <v>226.385665918363</v>
      </c>
      <c r="K94" s="19">
        <v>7.6251740648618898E-10</v>
      </c>
      <c r="L94" s="8">
        <v>15074.1527658751</v>
      </c>
      <c r="M94" s="8">
        <v>10697.6835430093</v>
      </c>
      <c r="N94" s="8">
        <v>0</v>
      </c>
    </row>
    <row r="95" spans="2:25" x14ac:dyDescent="0.25">
      <c r="B95">
        <v>318</v>
      </c>
      <c r="C95" t="s">
        <v>45</v>
      </c>
      <c r="D95" t="s">
        <v>9</v>
      </c>
      <c r="E95">
        <v>1970</v>
      </c>
      <c r="F95" s="8">
        <v>865759.51453328598</v>
      </c>
      <c r="G95" s="8">
        <v>2290.0574437887199</v>
      </c>
      <c r="H95" s="8">
        <v>91353.332246313803</v>
      </c>
      <c r="I95" s="8">
        <v>672473.51121687097</v>
      </c>
      <c r="J95" s="8">
        <v>0</v>
      </c>
      <c r="K95" s="19">
        <v>2.6252471920034801E-9</v>
      </c>
      <c r="L95" s="8">
        <v>5088.8734200116796</v>
      </c>
      <c r="M95" s="8">
        <v>1962.8815110574701</v>
      </c>
      <c r="N95" s="8">
        <v>0</v>
      </c>
    </row>
    <row r="96" spans="2:25" x14ac:dyDescent="0.25">
      <c r="B96">
        <v>319</v>
      </c>
      <c r="C96" t="s">
        <v>45</v>
      </c>
      <c r="D96" t="s">
        <v>9</v>
      </c>
      <c r="E96">
        <v>1971</v>
      </c>
      <c r="F96" s="8">
        <v>674291.30567381904</v>
      </c>
      <c r="G96" s="19">
        <v>7.4560819640170396E-8</v>
      </c>
      <c r="H96" s="8">
        <v>118677.086274913</v>
      </c>
      <c r="I96" s="8">
        <v>520070.54610435298</v>
      </c>
      <c r="J96" s="19">
        <v>3.4484031941831E-6</v>
      </c>
      <c r="K96" s="8">
        <v>7843.4045259252098</v>
      </c>
      <c r="L96" s="19">
        <v>4.8703904938231297E-8</v>
      </c>
      <c r="M96" s="19">
        <v>1.4331336619218199E-7</v>
      </c>
      <c r="N96" s="8">
        <v>0</v>
      </c>
    </row>
    <row r="97" spans="2:14" x14ac:dyDescent="0.25">
      <c r="B97">
        <v>320</v>
      </c>
      <c r="C97" t="s">
        <v>45</v>
      </c>
      <c r="D97" t="s">
        <v>9</v>
      </c>
      <c r="E97">
        <v>1972</v>
      </c>
      <c r="F97" s="8">
        <v>87174.071285159007</v>
      </c>
      <c r="G97" s="8">
        <v>0</v>
      </c>
      <c r="H97" s="8">
        <v>35190.146612859702</v>
      </c>
      <c r="I97" s="8">
        <v>47473.7888034528</v>
      </c>
      <c r="J97" s="19">
        <v>1.78107359213406E-9</v>
      </c>
      <c r="K97" s="8">
        <v>0</v>
      </c>
      <c r="L97" s="8">
        <v>4510.1358688422097</v>
      </c>
      <c r="M97" s="19">
        <v>1.2534832601771901E-9</v>
      </c>
      <c r="N97" s="8">
        <v>0</v>
      </c>
    </row>
    <row r="98" spans="2:14" x14ac:dyDescent="0.25">
      <c r="B98">
        <v>321</v>
      </c>
      <c r="C98" t="s">
        <v>45</v>
      </c>
      <c r="D98" t="s">
        <v>9</v>
      </c>
      <c r="E98">
        <v>1973</v>
      </c>
      <c r="F98" s="8">
        <v>417125.00631485297</v>
      </c>
      <c r="G98" s="8">
        <v>0</v>
      </c>
      <c r="H98" s="8">
        <v>4814.9878786166801</v>
      </c>
      <c r="I98" s="8">
        <v>293844.57540964801</v>
      </c>
      <c r="J98" s="8">
        <v>4048.0905773438199</v>
      </c>
      <c r="K98" s="8">
        <v>0</v>
      </c>
      <c r="L98" s="19">
        <v>3.7563279166734103E-9</v>
      </c>
      <c r="M98" s="8">
        <v>6402.8887744756103</v>
      </c>
      <c r="N98" s="19">
        <v>8.2060649737185893E-9</v>
      </c>
    </row>
    <row r="99" spans="2:14" x14ac:dyDescent="0.25">
      <c r="B99">
        <v>322</v>
      </c>
      <c r="C99" t="s">
        <v>45</v>
      </c>
      <c r="D99" t="s">
        <v>9</v>
      </c>
      <c r="E99">
        <v>1974</v>
      </c>
      <c r="F99" s="8">
        <v>252194.81315336699</v>
      </c>
      <c r="G99" s="8">
        <v>3816.1418199469299</v>
      </c>
      <c r="H99" s="8">
        <v>127285.038822224</v>
      </c>
      <c r="I99" s="8">
        <v>66889.058536838696</v>
      </c>
      <c r="J99" s="8">
        <v>2760.4044678840601</v>
      </c>
      <c r="K99" s="8">
        <v>486.23050946207297</v>
      </c>
      <c r="L99" s="8">
        <v>36821.128755185797</v>
      </c>
      <c r="M99" s="8">
        <v>4530.4813349625001</v>
      </c>
      <c r="N99" s="8">
        <v>0</v>
      </c>
    </row>
    <row r="100" spans="2:14" x14ac:dyDescent="0.25">
      <c r="B100">
        <v>323</v>
      </c>
      <c r="C100" t="s">
        <v>45</v>
      </c>
      <c r="D100" t="s">
        <v>9</v>
      </c>
      <c r="E100">
        <v>1975</v>
      </c>
      <c r="F100" s="8">
        <v>1053797.8024605</v>
      </c>
      <c r="G100" s="8">
        <v>4.1150514000012897E-3</v>
      </c>
      <c r="H100" s="8">
        <v>0.98551648944821502</v>
      </c>
      <c r="I100" s="8">
        <v>12168.9357351165</v>
      </c>
      <c r="J100" s="8">
        <v>4045.3207259058499</v>
      </c>
      <c r="K100" s="8">
        <v>0.75764551116811096</v>
      </c>
      <c r="L100" s="8">
        <v>745792.84795796103</v>
      </c>
      <c r="M100" s="8">
        <v>278589.14041193901</v>
      </c>
      <c r="N100" s="8">
        <v>0</v>
      </c>
    </row>
    <row r="101" spans="2:14" x14ac:dyDescent="0.25">
      <c r="B101">
        <v>324</v>
      </c>
      <c r="C101" t="s">
        <v>45</v>
      </c>
      <c r="D101" t="s">
        <v>9</v>
      </c>
      <c r="E101">
        <v>1976</v>
      </c>
      <c r="F101" s="8">
        <v>1083587.24995388</v>
      </c>
      <c r="G101" s="8">
        <v>0</v>
      </c>
      <c r="H101" s="8">
        <v>71034.183750220298</v>
      </c>
      <c r="I101" s="8">
        <v>807916.23367005202</v>
      </c>
      <c r="J101" s="8">
        <v>3442.4951144930001</v>
      </c>
      <c r="K101" s="8">
        <v>0</v>
      </c>
      <c r="L101" s="8">
        <v>28354.8229357604</v>
      </c>
      <c r="M101" s="8">
        <v>93564.578563722098</v>
      </c>
      <c r="N101" s="8">
        <v>0</v>
      </c>
    </row>
    <row r="102" spans="2:14" x14ac:dyDescent="0.25">
      <c r="B102">
        <v>325</v>
      </c>
      <c r="C102" t="s">
        <v>45</v>
      </c>
      <c r="D102" t="s">
        <v>9</v>
      </c>
      <c r="E102">
        <v>1977</v>
      </c>
      <c r="F102" s="8">
        <v>1096783.00507405</v>
      </c>
      <c r="G102" s="8">
        <v>0</v>
      </c>
      <c r="H102" s="8">
        <v>6.5750816644809598E-3</v>
      </c>
      <c r="I102" s="8">
        <v>863254.68682851898</v>
      </c>
      <c r="J102" s="8">
        <v>2596.4900809136998</v>
      </c>
      <c r="K102" s="8">
        <v>0</v>
      </c>
      <c r="L102" s="8">
        <v>46130.074929061499</v>
      </c>
      <c r="M102" s="8">
        <v>157501.435867489</v>
      </c>
      <c r="N102" s="8">
        <v>0</v>
      </c>
    </row>
    <row r="103" spans="2:14" x14ac:dyDescent="0.25">
      <c r="B103">
        <v>326</v>
      </c>
      <c r="C103" t="s">
        <v>45</v>
      </c>
      <c r="D103" t="s">
        <v>9</v>
      </c>
      <c r="E103">
        <v>1978</v>
      </c>
      <c r="F103" s="8">
        <v>1431831.66939481</v>
      </c>
      <c r="G103" s="8">
        <v>33597.730188300397</v>
      </c>
      <c r="H103" s="19">
        <v>4.7053893377783001E-6</v>
      </c>
      <c r="I103" s="8">
        <v>1231778.4961989101</v>
      </c>
      <c r="J103" s="19">
        <v>7.4460046682511799E-6</v>
      </c>
      <c r="K103" s="19">
        <v>2.2727079094493601E-7</v>
      </c>
      <c r="L103" s="8">
        <v>61562.141200093101</v>
      </c>
      <c r="M103" s="8">
        <v>87718.044529338396</v>
      </c>
      <c r="N103" s="8">
        <v>0</v>
      </c>
    </row>
    <row r="104" spans="2:14" x14ac:dyDescent="0.25">
      <c r="B104">
        <v>327</v>
      </c>
      <c r="C104" t="s">
        <v>45</v>
      </c>
      <c r="D104" t="s">
        <v>9</v>
      </c>
      <c r="E104">
        <v>1979</v>
      </c>
      <c r="F104" s="8">
        <v>1048799.6256134701</v>
      </c>
      <c r="G104" s="8">
        <v>0</v>
      </c>
      <c r="H104" s="8">
        <v>622880.05626241001</v>
      </c>
      <c r="I104" s="8">
        <v>69.6366241857652</v>
      </c>
      <c r="J104" s="8">
        <v>12061.6407165784</v>
      </c>
      <c r="K104" s="8">
        <v>0</v>
      </c>
      <c r="L104" s="8">
        <v>347527.83385579399</v>
      </c>
      <c r="M104" s="8">
        <v>43018.867289506597</v>
      </c>
      <c r="N104" s="8">
        <v>0</v>
      </c>
    </row>
    <row r="105" spans="2:14" x14ac:dyDescent="0.25">
      <c r="B105">
        <v>328</v>
      </c>
      <c r="C105" t="s">
        <v>45</v>
      </c>
      <c r="D105" t="s">
        <v>9</v>
      </c>
      <c r="E105">
        <v>1980</v>
      </c>
      <c r="F105" s="8">
        <v>5389939.1688738</v>
      </c>
      <c r="G105" s="19">
        <v>3.0597247537723399E-9</v>
      </c>
      <c r="H105" s="8">
        <v>190046.542386955</v>
      </c>
      <c r="I105" s="8">
        <v>4934293.1841997802</v>
      </c>
      <c r="J105" s="19">
        <v>7.6494393512309206E-9</v>
      </c>
      <c r="K105" s="19">
        <v>3.8246559422154304E-9</v>
      </c>
      <c r="L105" s="8">
        <v>154757.08082338399</v>
      </c>
      <c r="M105" s="8">
        <v>34913.7490628905</v>
      </c>
      <c r="N105" s="8">
        <v>0</v>
      </c>
    </row>
    <row r="106" spans="2:14" x14ac:dyDescent="0.25">
      <c r="B106">
        <v>329</v>
      </c>
      <c r="C106" t="s">
        <v>45</v>
      </c>
      <c r="D106" t="s">
        <v>9</v>
      </c>
      <c r="E106">
        <v>1981</v>
      </c>
      <c r="F106" s="8">
        <v>3875793.5670956299</v>
      </c>
      <c r="G106" s="8">
        <v>0</v>
      </c>
      <c r="H106" s="8">
        <v>21273.979236508101</v>
      </c>
      <c r="I106" s="8">
        <v>3422922.5615098099</v>
      </c>
      <c r="J106" s="8">
        <v>95362.893785853099</v>
      </c>
      <c r="K106" s="8">
        <v>7963.62566408149</v>
      </c>
      <c r="L106" s="8">
        <v>203259.642114185</v>
      </c>
      <c r="M106" s="8">
        <v>108874.70253407001</v>
      </c>
      <c r="N106" s="8">
        <v>0</v>
      </c>
    </row>
    <row r="107" spans="2:14" x14ac:dyDescent="0.25">
      <c r="B107">
        <v>330</v>
      </c>
      <c r="C107" t="s">
        <v>45</v>
      </c>
      <c r="D107" t="s">
        <v>9</v>
      </c>
      <c r="E107">
        <v>1982</v>
      </c>
      <c r="F107" s="8">
        <v>4067177.5932999598</v>
      </c>
      <c r="G107" s="19">
        <v>9.6827093100874305E-10</v>
      </c>
      <c r="H107" s="8">
        <v>89106.417643142297</v>
      </c>
      <c r="I107" s="8">
        <v>3028330.45357446</v>
      </c>
      <c r="J107" s="8">
        <v>57970.4165934087</v>
      </c>
      <c r="K107" s="8">
        <v>0</v>
      </c>
      <c r="L107" s="19">
        <v>2.9034065551443501E-9</v>
      </c>
      <c r="M107" s="8">
        <v>406715.38263370801</v>
      </c>
      <c r="N107" s="8">
        <v>0</v>
      </c>
    </row>
    <row r="108" spans="2:14" x14ac:dyDescent="0.25">
      <c r="B108">
        <v>331</v>
      </c>
      <c r="C108" t="s">
        <v>45</v>
      </c>
      <c r="D108" t="s">
        <v>9</v>
      </c>
      <c r="E108">
        <v>1983</v>
      </c>
      <c r="F108" s="8">
        <v>2159923.6034609498</v>
      </c>
      <c r="G108" s="8">
        <v>0</v>
      </c>
      <c r="H108" s="8">
        <v>430996.66725868301</v>
      </c>
      <c r="I108" s="8">
        <v>933191.771299763</v>
      </c>
      <c r="J108" s="8">
        <v>92537.415204767196</v>
      </c>
      <c r="K108" s="8">
        <v>0</v>
      </c>
      <c r="L108" s="8">
        <v>11883.062846810401</v>
      </c>
      <c r="M108" s="8">
        <v>6076.6125155732398</v>
      </c>
      <c r="N108" s="19">
        <v>4.2849887429177298E-8</v>
      </c>
    </row>
    <row r="109" spans="2:14" x14ac:dyDescent="0.25">
      <c r="B109">
        <v>332</v>
      </c>
      <c r="C109" t="s">
        <v>45</v>
      </c>
      <c r="D109" t="s">
        <v>9</v>
      </c>
      <c r="E109">
        <v>1984</v>
      </c>
      <c r="F109" s="8">
        <v>1340820.4346709601</v>
      </c>
      <c r="G109" s="8">
        <v>0</v>
      </c>
      <c r="H109" s="8">
        <v>19768.34400461</v>
      </c>
      <c r="I109" s="8">
        <v>767683.427626758</v>
      </c>
      <c r="J109" s="19">
        <v>4.5454474443043597E-8</v>
      </c>
      <c r="K109" s="8">
        <v>0</v>
      </c>
      <c r="L109" s="19">
        <v>2.6466071140016202E-9</v>
      </c>
      <c r="M109" s="19">
        <v>3.7440688299393299E-9</v>
      </c>
      <c r="N109" s="8">
        <v>0</v>
      </c>
    </row>
    <row r="110" spans="2:14" x14ac:dyDescent="0.25">
      <c r="B110">
        <v>333</v>
      </c>
      <c r="C110" t="s">
        <v>45</v>
      </c>
      <c r="D110" t="s">
        <v>9</v>
      </c>
      <c r="E110">
        <v>1985</v>
      </c>
      <c r="F110" s="8">
        <v>995643.31309076597</v>
      </c>
      <c r="G110" s="8">
        <v>1194.6158651292001</v>
      </c>
      <c r="H110" s="8">
        <v>250006.00423637201</v>
      </c>
      <c r="I110" s="8">
        <v>312947.335906828</v>
      </c>
      <c r="J110" s="8">
        <v>45525.5038700406</v>
      </c>
      <c r="K110" s="8">
        <v>0</v>
      </c>
      <c r="L110" s="8">
        <v>167393.190781693</v>
      </c>
      <c r="M110" s="19">
        <v>5.6153345967343299E-9</v>
      </c>
      <c r="N110" s="8">
        <v>0</v>
      </c>
    </row>
    <row r="111" spans="2:14" x14ac:dyDescent="0.25">
      <c r="B111">
        <v>334</v>
      </c>
      <c r="C111" t="s">
        <v>45</v>
      </c>
      <c r="D111" t="s">
        <v>9</v>
      </c>
      <c r="E111">
        <v>1986</v>
      </c>
      <c r="F111" s="8">
        <v>2379337.9275061698</v>
      </c>
      <c r="G111" s="8">
        <v>275.840543219469</v>
      </c>
      <c r="H111" s="8">
        <v>125109.02811800101</v>
      </c>
      <c r="I111" s="8">
        <v>1576924.6566430901</v>
      </c>
      <c r="J111" s="8">
        <v>8819.9191305357199</v>
      </c>
      <c r="K111" s="8">
        <v>0</v>
      </c>
      <c r="L111" s="8">
        <v>2611.8873910790999</v>
      </c>
      <c r="M111" s="8">
        <v>121331.438567855</v>
      </c>
      <c r="N111" s="8">
        <v>0</v>
      </c>
    </row>
    <row r="112" spans="2:14" x14ac:dyDescent="0.25">
      <c r="B112">
        <v>335</v>
      </c>
      <c r="C112" t="s">
        <v>45</v>
      </c>
      <c r="D112" t="s">
        <v>9</v>
      </c>
      <c r="E112">
        <v>1987</v>
      </c>
      <c r="F112" s="8">
        <v>1380199.93065938</v>
      </c>
      <c r="G112" s="19">
        <v>1.5512875619456499E-5</v>
      </c>
      <c r="H112" s="8">
        <v>233673.059310938</v>
      </c>
      <c r="I112" s="8">
        <v>594091.30309971201</v>
      </c>
      <c r="J112" s="8">
        <v>5804.3313948142404</v>
      </c>
      <c r="K112" s="8">
        <v>0</v>
      </c>
      <c r="L112" s="19">
        <v>1.7380476946125899E-7</v>
      </c>
      <c r="M112" s="19">
        <v>4.61320123559136E-7</v>
      </c>
      <c r="N112" s="19">
        <v>6.6864421336328698E-9</v>
      </c>
    </row>
    <row r="113" spans="2:20" x14ac:dyDescent="0.25">
      <c r="B113">
        <v>336</v>
      </c>
      <c r="C113" t="s">
        <v>45</v>
      </c>
      <c r="D113" t="s">
        <v>9</v>
      </c>
      <c r="E113">
        <v>1988</v>
      </c>
      <c r="F113" s="8">
        <v>1090076.2272223199</v>
      </c>
      <c r="G113" s="8">
        <v>0</v>
      </c>
      <c r="H113" s="8">
        <v>46770.541221020598</v>
      </c>
      <c r="I113" s="8">
        <v>543194.45070362801</v>
      </c>
      <c r="J113" s="8">
        <v>71345.3274444259</v>
      </c>
      <c r="K113" s="8">
        <v>0</v>
      </c>
      <c r="L113" s="8">
        <v>5890.1411737611897</v>
      </c>
      <c r="M113" s="8">
        <v>6628.1856653226696</v>
      </c>
      <c r="N113" s="8">
        <v>572.75570291166002</v>
      </c>
    </row>
    <row r="114" spans="2:20" x14ac:dyDescent="0.25">
      <c r="B114">
        <v>337</v>
      </c>
      <c r="C114" t="s">
        <v>45</v>
      </c>
      <c r="D114" t="s">
        <v>9</v>
      </c>
      <c r="E114">
        <v>1989</v>
      </c>
      <c r="F114" s="8">
        <v>1190738.0607803101</v>
      </c>
      <c r="G114" s="8">
        <v>0</v>
      </c>
      <c r="H114" s="8">
        <v>63478.095645541704</v>
      </c>
      <c r="I114" s="8">
        <v>432522.59171638999</v>
      </c>
      <c r="J114" s="8">
        <v>17209.830130407299</v>
      </c>
      <c r="K114" s="8">
        <v>0</v>
      </c>
      <c r="L114" s="8">
        <v>3961.8201293827801</v>
      </c>
      <c r="M114" s="8">
        <v>19466.501318581901</v>
      </c>
      <c r="N114" s="8">
        <v>0</v>
      </c>
    </row>
    <row r="115" spans="2:20" x14ac:dyDescent="0.25">
      <c r="B115">
        <v>338</v>
      </c>
      <c r="C115" t="s">
        <v>45</v>
      </c>
      <c r="D115" t="s">
        <v>9</v>
      </c>
      <c r="E115">
        <v>1990</v>
      </c>
      <c r="F115" s="8">
        <v>1804526.25503149</v>
      </c>
      <c r="G115" s="8">
        <v>0</v>
      </c>
      <c r="H115" s="8">
        <v>98020.453282095506</v>
      </c>
      <c r="I115" s="8">
        <v>638819.12536292197</v>
      </c>
      <c r="J115" s="8">
        <v>20857.680801217499</v>
      </c>
      <c r="K115" s="8">
        <v>0</v>
      </c>
      <c r="L115" s="8">
        <v>2858.3973971076198</v>
      </c>
      <c r="M115" s="8">
        <v>1889.9083187861099</v>
      </c>
      <c r="N115" s="8">
        <v>0</v>
      </c>
    </row>
    <row r="116" spans="2:20" x14ac:dyDescent="0.25">
      <c r="B116">
        <v>339</v>
      </c>
      <c r="C116" t="s">
        <v>45</v>
      </c>
      <c r="D116" t="s">
        <v>9</v>
      </c>
      <c r="E116">
        <v>1991</v>
      </c>
      <c r="F116" s="8">
        <v>1628966.62721073</v>
      </c>
      <c r="G116" s="8">
        <v>0</v>
      </c>
      <c r="H116" s="8">
        <v>32993.819384177397</v>
      </c>
      <c r="I116" s="8">
        <v>791155.337996986</v>
      </c>
      <c r="J116" s="8">
        <v>18463.5061369168</v>
      </c>
      <c r="K116" s="8">
        <v>0</v>
      </c>
      <c r="L116" s="19">
        <v>2.42536906225103E-9</v>
      </c>
      <c r="M116" s="8">
        <v>10900.23944139</v>
      </c>
      <c r="N116" s="8">
        <v>0</v>
      </c>
    </row>
    <row r="117" spans="2:20" x14ac:dyDescent="0.25">
      <c r="B117">
        <v>340</v>
      </c>
      <c r="C117" t="s">
        <v>45</v>
      </c>
      <c r="D117" t="s">
        <v>9</v>
      </c>
      <c r="E117">
        <v>1992</v>
      </c>
      <c r="F117" s="8">
        <v>1888874.17384669</v>
      </c>
      <c r="G117" s="8">
        <v>0</v>
      </c>
      <c r="H117" s="8">
        <v>206199.48889464201</v>
      </c>
      <c r="I117" s="8">
        <v>660534.68819748401</v>
      </c>
      <c r="J117" s="8">
        <v>200173.72841979901</v>
      </c>
      <c r="K117" s="8">
        <v>0</v>
      </c>
      <c r="L117" s="8">
        <v>15735.1581001703</v>
      </c>
      <c r="M117" s="8">
        <v>50092.459051131598</v>
      </c>
      <c r="N117" s="19">
        <v>6.6007403124827797E-9</v>
      </c>
    </row>
    <row r="118" spans="2:20" x14ac:dyDescent="0.25">
      <c r="B118">
        <v>341</v>
      </c>
      <c r="C118" t="s">
        <v>45</v>
      </c>
      <c r="D118" t="s">
        <v>9</v>
      </c>
      <c r="E118">
        <v>1993</v>
      </c>
      <c r="F118" s="8">
        <v>2580049.1320694298</v>
      </c>
      <c r="G118" s="8">
        <v>0</v>
      </c>
      <c r="H118" s="8">
        <v>105904.23479021</v>
      </c>
      <c r="I118" s="8">
        <v>1651453.31197424</v>
      </c>
      <c r="J118" s="8">
        <v>122521.50793225</v>
      </c>
      <c r="K118" s="8">
        <v>0</v>
      </c>
      <c r="L118" s="8">
        <v>5343.4269616061501</v>
      </c>
      <c r="M118" s="8">
        <v>11516.8172206779</v>
      </c>
      <c r="N118" s="8">
        <v>819.51846696266205</v>
      </c>
    </row>
    <row r="119" spans="2:20" x14ac:dyDescent="0.25">
      <c r="B119">
        <v>342</v>
      </c>
      <c r="C119" t="s">
        <v>45</v>
      </c>
      <c r="D119" t="s">
        <v>9</v>
      </c>
      <c r="E119">
        <v>1994</v>
      </c>
      <c r="F119" s="8">
        <v>1436463.30122359</v>
      </c>
      <c r="G119" s="8">
        <v>400.64115560008702</v>
      </c>
      <c r="H119" s="8">
        <v>37828.355425862203</v>
      </c>
      <c r="I119" s="8">
        <v>693606.13589403895</v>
      </c>
      <c r="J119" s="8">
        <v>72228.529194318398</v>
      </c>
      <c r="K119" s="8">
        <v>0</v>
      </c>
      <c r="L119" s="8">
        <v>1126.0230264721399</v>
      </c>
      <c r="M119" s="8">
        <v>7213.8563917929496</v>
      </c>
      <c r="N119" s="8">
        <v>1954.9261644678199</v>
      </c>
    </row>
    <row r="120" spans="2:20" x14ac:dyDescent="0.25">
      <c r="B120">
        <v>343</v>
      </c>
      <c r="C120" t="s">
        <v>45</v>
      </c>
      <c r="D120" t="s">
        <v>9</v>
      </c>
      <c r="E120">
        <v>1995</v>
      </c>
      <c r="F120" s="8">
        <v>810994.88802611094</v>
      </c>
      <c r="G120" s="8">
        <v>0</v>
      </c>
      <c r="H120" s="8">
        <v>124515.362637432</v>
      </c>
      <c r="I120" s="8">
        <v>292042.13512485899</v>
      </c>
      <c r="J120" s="8">
        <v>22474.676456001602</v>
      </c>
      <c r="K120" s="8">
        <v>188.80399053768301</v>
      </c>
      <c r="L120" s="8">
        <v>13238.502494554201</v>
      </c>
      <c r="M120" s="8">
        <v>3919.9506970123398</v>
      </c>
      <c r="N120" s="8">
        <v>0</v>
      </c>
    </row>
    <row r="121" spans="2:20" x14ac:dyDescent="0.25">
      <c r="B121">
        <v>344</v>
      </c>
      <c r="C121" t="s">
        <v>45</v>
      </c>
      <c r="D121" t="s">
        <v>9</v>
      </c>
      <c r="E121">
        <v>1996</v>
      </c>
      <c r="F121" s="8">
        <v>1623168.65684845</v>
      </c>
      <c r="G121" s="8">
        <v>0</v>
      </c>
      <c r="H121" s="8">
        <v>130535.065050283</v>
      </c>
      <c r="I121" s="8">
        <v>1073214.7442236501</v>
      </c>
      <c r="J121" s="8">
        <v>8432.6696091447102</v>
      </c>
      <c r="K121" s="8">
        <v>0</v>
      </c>
      <c r="L121" s="8">
        <v>2430.0113691964202</v>
      </c>
      <c r="M121" s="8">
        <v>21790.5066473849</v>
      </c>
      <c r="N121" s="8">
        <v>0</v>
      </c>
    </row>
    <row r="122" spans="2:20" x14ac:dyDescent="0.25">
      <c r="B122">
        <v>345</v>
      </c>
      <c r="C122" t="s">
        <v>45</v>
      </c>
      <c r="D122" t="s">
        <v>9</v>
      </c>
      <c r="E122">
        <v>1997</v>
      </c>
      <c r="F122" s="8">
        <v>817646.872974928</v>
      </c>
      <c r="G122" s="8">
        <v>207.10690754808701</v>
      </c>
      <c r="H122" s="8">
        <v>48386.281254993803</v>
      </c>
      <c r="I122" s="8">
        <v>567660.16353802499</v>
      </c>
      <c r="J122" s="8">
        <v>124084.28818822899</v>
      </c>
      <c r="K122" s="8">
        <v>0</v>
      </c>
      <c r="L122" s="8">
        <v>9026.6055842040405</v>
      </c>
      <c r="M122" s="8">
        <v>10371.383731047899</v>
      </c>
      <c r="N122" s="8">
        <v>5910.2379465444701</v>
      </c>
      <c r="S122" t="s">
        <v>55</v>
      </c>
      <c r="T122" t="s">
        <v>46</v>
      </c>
    </row>
    <row r="123" spans="2:20" x14ac:dyDescent="0.25">
      <c r="B123">
        <v>346</v>
      </c>
      <c r="C123" t="s">
        <v>45</v>
      </c>
      <c r="D123" t="s">
        <v>9</v>
      </c>
      <c r="E123">
        <v>1998</v>
      </c>
      <c r="F123" s="8">
        <v>991559.918390668</v>
      </c>
      <c r="G123" s="8">
        <v>563.01279756458496</v>
      </c>
      <c r="H123" s="8">
        <v>70182.155690435102</v>
      </c>
      <c r="I123" s="8">
        <v>828614.67895322503</v>
      </c>
      <c r="J123" s="8">
        <v>56241.8938024046</v>
      </c>
      <c r="K123" s="19">
        <v>1.8472331753189801E-9</v>
      </c>
      <c r="L123" s="8">
        <v>772.89449780223003</v>
      </c>
      <c r="M123" s="8">
        <v>4492.9533560057898</v>
      </c>
      <c r="N123" s="19">
        <v>2.1550192587155501E-9</v>
      </c>
    </row>
    <row r="124" spans="2:20" x14ac:dyDescent="0.25">
      <c r="B124">
        <v>347</v>
      </c>
      <c r="C124" t="s">
        <v>45</v>
      </c>
      <c r="D124" t="s">
        <v>9</v>
      </c>
      <c r="E124">
        <v>1999</v>
      </c>
      <c r="F124" s="8">
        <v>451807.045806223</v>
      </c>
      <c r="G124" s="8">
        <v>0</v>
      </c>
      <c r="H124" s="8">
        <v>62890.7641215736</v>
      </c>
      <c r="I124" s="8">
        <v>277738.12817388098</v>
      </c>
      <c r="J124" s="8">
        <v>102421.804362105</v>
      </c>
      <c r="K124" s="8">
        <v>0</v>
      </c>
      <c r="L124" s="8">
        <v>5624.8434166338802</v>
      </c>
      <c r="M124" s="8">
        <v>3131.5057320279202</v>
      </c>
      <c r="N124" s="19">
        <v>1.08732589138028E-9</v>
      </c>
      <c r="S124">
        <f>LN(F124)</f>
        <v>13.021010477861733</v>
      </c>
      <c r="T124">
        <f>LN(H124)</f>
        <v>11.049154597592114</v>
      </c>
    </row>
    <row r="125" spans="2:20" x14ac:dyDescent="0.25">
      <c r="B125">
        <v>348</v>
      </c>
      <c r="C125" t="s">
        <v>45</v>
      </c>
      <c r="D125" t="s">
        <v>9</v>
      </c>
      <c r="E125">
        <v>2000</v>
      </c>
      <c r="F125" s="8">
        <v>1344618.2963997701</v>
      </c>
      <c r="G125" s="8">
        <v>0</v>
      </c>
      <c r="H125" s="8">
        <v>363788.39088727097</v>
      </c>
      <c r="I125" s="8">
        <v>925448.81908918999</v>
      </c>
      <c r="J125" s="8">
        <v>7773.9810123273201</v>
      </c>
      <c r="K125" s="8">
        <v>0</v>
      </c>
      <c r="L125" s="8">
        <v>13338.3822432371</v>
      </c>
      <c r="M125" s="8">
        <v>34268.7231677444</v>
      </c>
      <c r="N125" s="8">
        <v>0</v>
      </c>
      <c r="S125">
        <f t="shared" ref="S125:S149" si="9">LN(F125)</f>
        <v>14.111620736242486</v>
      </c>
      <c r="T125">
        <f t="shared" ref="T125:T149" si="10">LN(H125)</f>
        <v>12.804327633856811</v>
      </c>
    </row>
    <row r="126" spans="2:20" x14ac:dyDescent="0.25">
      <c r="B126">
        <v>349</v>
      </c>
      <c r="C126" t="s">
        <v>45</v>
      </c>
      <c r="D126" t="s">
        <v>9</v>
      </c>
      <c r="E126">
        <v>2001</v>
      </c>
      <c r="F126" s="8">
        <v>2093784.9069405501</v>
      </c>
      <c r="G126" s="19">
        <v>5.3108953394383603E-9</v>
      </c>
      <c r="H126" s="8">
        <v>37572.189405969199</v>
      </c>
      <c r="I126" s="8">
        <v>1857241.2856884999</v>
      </c>
      <c r="J126" s="8">
        <v>186961.53538555701</v>
      </c>
      <c r="K126" s="8">
        <v>0</v>
      </c>
      <c r="L126" s="8">
        <v>4811.3578610907598</v>
      </c>
      <c r="M126" s="8">
        <v>7198.5385994328999</v>
      </c>
      <c r="N126" s="8">
        <v>0</v>
      </c>
      <c r="S126">
        <f t="shared" si="9"/>
        <v>14.554483946388144</v>
      </c>
      <c r="T126">
        <f t="shared" si="10"/>
        <v>10.534019412248544</v>
      </c>
    </row>
    <row r="127" spans="2:20" x14ac:dyDescent="0.25">
      <c r="B127">
        <v>350</v>
      </c>
      <c r="C127" t="s">
        <v>45</v>
      </c>
      <c r="D127" t="s">
        <v>9</v>
      </c>
      <c r="E127">
        <v>2002</v>
      </c>
      <c r="F127" s="8">
        <v>691785.04488041298</v>
      </c>
      <c r="G127" s="8">
        <v>0</v>
      </c>
      <c r="H127" s="8">
        <v>154933.59319850101</v>
      </c>
      <c r="I127" s="8">
        <v>423104.90551122499</v>
      </c>
      <c r="J127" s="8">
        <v>99273.382185371403</v>
      </c>
      <c r="K127" s="19">
        <v>9.2622829445624297E-10</v>
      </c>
      <c r="L127" s="8">
        <v>4075.1461714203901</v>
      </c>
      <c r="M127" s="8">
        <v>10398.017813894499</v>
      </c>
      <c r="N127" s="8">
        <v>0</v>
      </c>
      <c r="S127">
        <f t="shared" si="9"/>
        <v>13.447030557559161</v>
      </c>
      <c r="T127">
        <f t="shared" si="10"/>
        <v>11.950751873121199</v>
      </c>
    </row>
    <row r="128" spans="2:20" x14ac:dyDescent="0.25">
      <c r="B128">
        <v>351</v>
      </c>
      <c r="C128" t="s">
        <v>45</v>
      </c>
      <c r="D128" t="s">
        <v>9</v>
      </c>
      <c r="E128">
        <v>2003</v>
      </c>
      <c r="F128" s="8">
        <v>2409659.7705857898</v>
      </c>
      <c r="G128" s="19">
        <v>1.0020466081966601E-9</v>
      </c>
      <c r="H128" s="8">
        <v>88030.569574061301</v>
      </c>
      <c r="I128" s="8">
        <v>2237868.8569821799</v>
      </c>
      <c r="J128" s="8">
        <v>27111.8720733679</v>
      </c>
      <c r="K128" s="19">
        <v>1.0020466081966601E-9</v>
      </c>
      <c r="L128" s="8">
        <v>7352.3003047667098</v>
      </c>
      <c r="M128" s="8">
        <v>49296.171651410703</v>
      </c>
      <c r="N128" s="8">
        <v>0</v>
      </c>
      <c r="S128">
        <f t="shared" si="9"/>
        <v>14.694996121470053</v>
      </c>
      <c r="T128">
        <f t="shared" si="10"/>
        <v>11.385439414660775</v>
      </c>
    </row>
    <row r="129" spans="2:20" x14ac:dyDescent="0.25">
      <c r="B129">
        <v>352</v>
      </c>
      <c r="C129" t="s">
        <v>45</v>
      </c>
      <c r="D129" t="s">
        <v>9</v>
      </c>
      <c r="E129">
        <v>2004</v>
      </c>
      <c r="F129" s="8">
        <v>2062487.12260245</v>
      </c>
      <c r="G129" s="8">
        <v>0</v>
      </c>
      <c r="H129" s="8">
        <v>240487.491933777</v>
      </c>
      <c r="I129" s="8">
        <v>1540416.4174776799</v>
      </c>
      <c r="J129" s="8">
        <v>207962.95924141101</v>
      </c>
      <c r="K129" s="8">
        <v>0</v>
      </c>
      <c r="L129" s="8">
        <v>13097.9929440343</v>
      </c>
      <c r="M129" s="8">
        <v>57380.6326212477</v>
      </c>
      <c r="N129" s="19">
        <v>2.4120357260542601E-9</v>
      </c>
      <c r="S129">
        <f t="shared" si="9"/>
        <v>14.53942315358479</v>
      </c>
      <c r="T129">
        <f t="shared" si="10"/>
        <v>12.390423358584096</v>
      </c>
    </row>
    <row r="130" spans="2:20" x14ac:dyDescent="0.25">
      <c r="B130">
        <v>353</v>
      </c>
      <c r="C130" t="s">
        <v>45</v>
      </c>
      <c r="D130" t="s">
        <v>9</v>
      </c>
      <c r="E130">
        <v>2005</v>
      </c>
      <c r="F130" s="8">
        <v>3672976.30209629</v>
      </c>
      <c r="G130" s="19">
        <v>1.71084071656003E-9</v>
      </c>
      <c r="H130" s="8">
        <v>256405.37522942899</v>
      </c>
      <c r="I130" s="8">
        <v>3299219.83466898</v>
      </c>
      <c r="J130" s="8">
        <v>77948.242541011597</v>
      </c>
      <c r="K130" s="8">
        <v>0</v>
      </c>
      <c r="L130" s="8">
        <v>5166.5204946720096</v>
      </c>
      <c r="M130" s="8">
        <v>34236.329162187198</v>
      </c>
      <c r="N130" s="19">
        <v>5.1253470016199399E-9</v>
      </c>
      <c r="S130">
        <f t="shared" si="9"/>
        <v>15.116512872860568</v>
      </c>
      <c r="T130">
        <f t="shared" si="10"/>
        <v>12.454514968042249</v>
      </c>
    </row>
    <row r="131" spans="2:20" x14ac:dyDescent="0.25">
      <c r="B131">
        <v>354</v>
      </c>
      <c r="C131" t="s">
        <v>45</v>
      </c>
      <c r="D131" t="s">
        <v>9</v>
      </c>
      <c r="E131">
        <v>2006</v>
      </c>
      <c r="F131" s="8">
        <v>2731826.27073122</v>
      </c>
      <c r="G131" s="19">
        <v>1.76773704071167E-9</v>
      </c>
      <c r="H131" s="8">
        <v>179949.038081643</v>
      </c>
      <c r="I131" s="8">
        <v>2113325.0861248798</v>
      </c>
      <c r="J131" s="8">
        <v>374845.07415825198</v>
      </c>
      <c r="K131" s="8">
        <v>0</v>
      </c>
      <c r="L131" s="8">
        <v>4763.3446321256897</v>
      </c>
      <c r="M131" s="8">
        <v>13639.521966120699</v>
      </c>
      <c r="N131" s="8">
        <v>0</v>
      </c>
      <c r="S131">
        <f t="shared" si="9"/>
        <v>14.820480907142517</v>
      </c>
      <c r="T131">
        <f t="shared" si="10"/>
        <v>12.100428968017162</v>
      </c>
    </row>
    <row r="132" spans="2:20" x14ac:dyDescent="0.25">
      <c r="B132">
        <v>355</v>
      </c>
      <c r="C132" t="s">
        <v>45</v>
      </c>
      <c r="D132" t="s">
        <v>9</v>
      </c>
      <c r="E132">
        <v>2007</v>
      </c>
      <c r="F132" s="8">
        <v>2469463.1055957801</v>
      </c>
      <c r="G132" s="19">
        <v>1.2261401766206599E-9</v>
      </c>
      <c r="H132" s="8">
        <v>388618.20292044902</v>
      </c>
      <c r="I132" s="8">
        <v>1763507.7178889599</v>
      </c>
      <c r="J132" s="8">
        <v>257535.38521912301</v>
      </c>
      <c r="K132" s="8">
        <v>0</v>
      </c>
      <c r="L132" s="8">
        <v>30293.1040794289</v>
      </c>
      <c r="M132" s="8">
        <v>24209.8880194185</v>
      </c>
      <c r="N132" s="8">
        <v>4214.5979262599303</v>
      </c>
      <c r="S132">
        <f t="shared" si="9"/>
        <v>14.719511318821159</v>
      </c>
      <c r="T132">
        <f t="shared" si="10"/>
        <v>12.870352657135278</v>
      </c>
    </row>
    <row r="133" spans="2:20" x14ac:dyDescent="0.25">
      <c r="B133">
        <v>356</v>
      </c>
      <c r="C133" t="s">
        <v>45</v>
      </c>
      <c r="D133" t="s">
        <v>9</v>
      </c>
      <c r="E133">
        <v>2008</v>
      </c>
      <c r="F133" s="8">
        <v>1909482.51005245</v>
      </c>
      <c r="G133" s="8">
        <v>2409.3837203227199</v>
      </c>
      <c r="H133" s="8">
        <v>194650.117400438</v>
      </c>
      <c r="I133" s="8">
        <v>1543092.12084198</v>
      </c>
      <c r="J133" s="8">
        <v>68339.571203594896</v>
      </c>
      <c r="K133" s="8">
        <v>0</v>
      </c>
      <c r="L133" s="19">
        <v>1.1399383123591601E-9</v>
      </c>
      <c r="M133" s="8">
        <v>9871.03234950566</v>
      </c>
      <c r="N133" s="8">
        <v>0</v>
      </c>
      <c r="S133">
        <f t="shared" si="9"/>
        <v>14.462342826167399</v>
      </c>
      <c r="T133">
        <f t="shared" si="10"/>
        <v>12.178958956174499</v>
      </c>
    </row>
    <row r="134" spans="2:20" x14ac:dyDescent="0.25">
      <c r="B134">
        <v>357</v>
      </c>
      <c r="C134" t="s">
        <v>45</v>
      </c>
      <c r="D134" t="s">
        <v>9</v>
      </c>
      <c r="E134">
        <v>2009</v>
      </c>
      <c r="F134" s="8">
        <v>2077745.76725557</v>
      </c>
      <c r="G134" s="19">
        <v>1.1127352646166501E-9</v>
      </c>
      <c r="H134" s="8">
        <v>359162.58897683298</v>
      </c>
      <c r="I134" s="8">
        <v>1474123.8619773299</v>
      </c>
      <c r="J134" s="8">
        <v>216438.590179294</v>
      </c>
      <c r="K134" s="8">
        <v>0</v>
      </c>
      <c r="L134" s="8">
        <v>5760.2646635430101</v>
      </c>
      <c r="M134" s="8">
        <v>22260.461458572601</v>
      </c>
      <c r="N134" s="8">
        <v>0</v>
      </c>
      <c r="S134">
        <f t="shared" si="9"/>
        <v>14.546794098236237</v>
      </c>
      <c r="T134">
        <f t="shared" si="10"/>
        <v>12.79153045903073</v>
      </c>
    </row>
    <row r="135" spans="2:20" x14ac:dyDescent="0.25">
      <c r="B135">
        <v>358</v>
      </c>
      <c r="C135" t="s">
        <v>45</v>
      </c>
      <c r="D135" t="s">
        <v>9</v>
      </c>
      <c r="E135">
        <v>2010</v>
      </c>
      <c r="F135" s="8">
        <v>1206250.6600049799</v>
      </c>
      <c r="G135" s="8">
        <v>1034.0165974638201</v>
      </c>
      <c r="H135" s="8">
        <v>104739.84738397</v>
      </c>
      <c r="I135" s="8">
        <v>975338.19625787996</v>
      </c>
      <c r="J135" s="8">
        <v>79377.859057518697</v>
      </c>
      <c r="K135" s="8">
        <v>0</v>
      </c>
      <c r="L135" s="8">
        <v>8747.6806334703506</v>
      </c>
      <c r="M135" s="8">
        <v>15494.382177573299</v>
      </c>
      <c r="N135" s="8">
        <v>0</v>
      </c>
      <c r="S135">
        <f t="shared" si="9"/>
        <v>14.003027478789571</v>
      </c>
      <c r="T135">
        <f t="shared" si="10"/>
        <v>11.559234910738375</v>
      </c>
    </row>
    <row r="136" spans="2:20" x14ac:dyDescent="0.25">
      <c r="B136">
        <v>359</v>
      </c>
      <c r="C136" t="s">
        <v>45</v>
      </c>
      <c r="D136" t="s">
        <v>9</v>
      </c>
      <c r="E136">
        <v>2011</v>
      </c>
      <c r="F136" s="8">
        <v>1167743.4754290499</v>
      </c>
      <c r="G136" s="8">
        <v>1273.49879457973</v>
      </c>
      <c r="H136" s="8">
        <v>30883.239598652199</v>
      </c>
      <c r="I136" s="8">
        <v>1017213.6463072899</v>
      </c>
      <c r="J136" s="8">
        <v>37100.341179745803</v>
      </c>
      <c r="K136" s="8">
        <v>0</v>
      </c>
      <c r="L136" s="8">
        <v>5282.2139016813699</v>
      </c>
      <c r="M136" s="8">
        <v>20912.984194636101</v>
      </c>
      <c r="N136" s="8">
        <v>0</v>
      </c>
      <c r="S136">
        <f t="shared" si="9"/>
        <v>13.970583791047568</v>
      </c>
      <c r="T136">
        <f t="shared" si="10"/>
        <v>10.337968907918897</v>
      </c>
    </row>
    <row r="137" spans="2:20" x14ac:dyDescent="0.25">
      <c r="B137">
        <v>360</v>
      </c>
      <c r="C137" t="s">
        <v>45</v>
      </c>
      <c r="D137" t="s">
        <v>9</v>
      </c>
      <c r="E137">
        <v>2012</v>
      </c>
      <c r="F137" s="8">
        <v>1038209.0383284501</v>
      </c>
      <c r="G137" s="8">
        <v>627.39722064777504</v>
      </c>
      <c r="H137" s="8">
        <v>163624.600123549</v>
      </c>
      <c r="I137" s="8">
        <v>750618.31045124703</v>
      </c>
      <c r="J137" s="8">
        <v>94243.826283585702</v>
      </c>
      <c r="K137" s="8">
        <v>0</v>
      </c>
      <c r="L137" s="19">
        <v>2.3200266364961401E-9</v>
      </c>
      <c r="M137" s="8">
        <v>7392.8996554649802</v>
      </c>
      <c r="N137" s="19">
        <v>3.16367413795912E-9</v>
      </c>
      <c r="S137">
        <f t="shared" si="9"/>
        <v>13.85300770810548</v>
      </c>
      <c r="T137">
        <f t="shared" si="10"/>
        <v>12.005330059350079</v>
      </c>
    </row>
    <row r="138" spans="2:20" x14ac:dyDescent="0.25">
      <c r="B138">
        <v>361</v>
      </c>
      <c r="C138" t="s">
        <v>45</v>
      </c>
      <c r="D138" t="s">
        <v>9</v>
      </c>
      <c r="E138">
        <v>2013</v>
      </c>
      <c r="F138" s="8">
        <v>2010208.72414432</v>
      </c>
      <c r="G138" s="19">
        <v>1.6205857209318E-9</v>
      </c>
      <c r="H138" s="8">
        <v>97921.869386464503</v>
      </c>
      <c r="I138" s="8">
        <v>1834715.0312349601</v>
      </c>
      <c r="J138" s="8">
        <v>54932.900595453902</v>
      </c>
      <c r="K138" s="8">
        <v>0</v>
      </c>
      <c r="L138" s="8">
        <v>4819.4460149490897</v>
      </c>
      <c r="M138" s="8">
        <v>6510.0356304249199</v>
      </c>
      <c r="N138" s="8">
        <v>0</v>
      </c>
      <c r="S138">
        <f t="shared" si="9"/>
        <v>14.513749117501833</v>
      </c>
      <c r="T138">
        <f t="shared" si="10"/>
        <v>11.491925188520463</v>
      </c>
    </row>
    <row r="139" spans="2:20" x14ac:dyDescent="0.25">
      <c r="B139" s="9">
        <v>362</v>
      </c>
      <c r="C139" s="9" t="s">
        <v>45</v>
      </c>
      <c r="D139" s="9" t="s">
        <v>9</v>
      </c>
      <c r="E139" s="9">
        <v>2014</v>
      </c>
      <c r="F139" s="10">
        <v>1510848.69621363</v>
      </c>
      <c r="G139" s="20">
        <v>1.04496144584564E-9</v>
      </c>
      <c r="H139" s="10">
        <v>203130.29587496299</v>
      </c>
      <c r="I139" s="10">
        <v>1140499.8160729001</v>
      </c>
      <c r="J139" s="10">
        <v>142272.260393701</v>
      </c>
      <c r="K139" s="20">
        <v>1.04496144584564E-9</v>
      </c>
      <c r="L139" s="10">
        <v>4715.28214582489</v>
      </c>
      <c r="M139" s="10">
        <v>12285.691560929899</v>
      </c>
      <c r="N139" s="10">
        <v>0</v>
      </c>
      <c r="P139" t="s">
        <v>56</v>
      </c>
      <c r="S139">
        <f t="shared" si="9"/>
        <v>14.228182101372502</v>
      </c>
      <c r="T139">
        <f t="shared" si="10"/>
        <v>12.221602903726088</v>
      </c>
    </row>
    <row r="140" spans="2:20" x14ac:dyDescent="0.25">
      <c r="B140">
        <v>363</v>
      </c>
      <c r="C140" t="s">
        <v>45</v>
      </c>
      <c r="D140" t="s">
        <v>9</v>
      </c>
      <c r="E140">
        <v>2015</v>
      </c>
      <c r="F140" s="8">
        <v>2475860.1983151999</v>
      </c>
      <c r="G140" s="19">
        <v>9.4933365846939806E-10</v>
      </c>
      <c r="H140" s="8">
        <v>206783.84127602601</v>
      </c>
      <c r="I140" s="8">
        <v>2223040.27062009</v>
      </c>
      <c r="J140" s="8">
        <v>25691.453442153201</v>
      </c>
      <c r="K140" s="8">
        <v>0</v>
      </c>
      <c r="L140" s="8">
        <v>2100.8782770897301</v>
      </c>
      <c r="M140" s="19">
        <v>3.32218757486339E-9</v>
      </c>
      <c r="N140" s="19">
        <v>3.7968065525691804E-9</v>
      </c>
      <c r="P140" s="8">
        <f>F140-I140</f>
        <v>252819.92769510997</v>
      </c>
      <c r="S140">
        <f t="shared" si="9"/>
        <v>14.722098448476551</v>
      </c>
      <c r="T140">
        <f t="shared" si="10"/>
        <v>12.239429281600437</v>
      </c>
    </row>
    <row r="141" spans="2:20" x14ac:dyDescent="0.25">
      <c r="B141">
        <v>364</v>
      </c>
      <c r="C141" t="s">
        <v>45</v>
      </c>
      <c r="D141" t="s">
        <v>9</v>
      </c>
      <c r="E141">
        <v>2016</v>
      </c>
      <c r="F141" s="8">
        <v>2575667.3057219</v>
      </c>
      <c r="G141" s="8">
        <v>5632.1054659479596</v>
      </c>
      <c r="H141" s="8">
        <v>486257.72017826099</v>
      </c>
      <c r="I141" s="8">
        <v>2060681.7457447301</v>
      </c>
      <c r="J141" s="8">
        <v>16029.995172368899</v>
      </c>
      <c r="K141" s="8">
        <v>0</v>
      </c>
      <c r="L141" s="8">
        <v>3339.2688382183001</v>
      </c>
      <c r="M141" s="8">
        <v>3717.3696744930899</v>
      </c>
      <c r="N141" s="19">
        <v>3.3241508787789798E-9</v>
      </c>
      <c r="P141" s="8">
        <f t="shared" ref="P141:P149" si="11">F141-I141</f>
        <v>514985.55997716985</v>
      </c>
      <c r="S141">
        <f t="shared" si="9"/>
        <v>14.761619206360134</v>
      </c>
      <c r="T141">
        <f t="shared" si="10"/>
        <v>13.094494050762043</v>
      </c>
    </row>
    <row r="142" spans="2:20" x14ac:dyDescent="0.25">
      <c r="B142">
        <v>365</v>
      </c>
      <c r="C142" t="s">
        <v>45</v>
      </c>
      <c r="D142" t="s">
        <v>9</v>
      </c>
      <c r="E142">
        <v>2017</v>
      </c>
      <c r="F142" s="8">
        <v>8199368.3826631503</v>
      </c>
      <c r="G142" s="8">
        <v>12587.6821715444</v>
      </c>
      <c r="H142" s="8">
        <v>3586570.8502291199</v>
      </c>
      <c r="I142" s="8">
        <v>4407859.5175308399</v>
      </c>
      <c r="J142" s="8">
        <v>103137.538084117</v>
      </c>
      <c r="K142" s="8">
        <v>0</v>
      </c>
      <c r="L142" s="8">
        <v>52482.214412748501</v>
      </c>
      <c r="M142" s="8">
        <v>36730.580234775902</v>
      </c>
      <c r="N142" s="8">
        <v>0</v>
      </c>
      <c r="P142" s="8">
        <f t="shared" si="11"/>
        <v>3791508.8651323104</v>
      </c>
      <c r="S142">
        <f t="shared" si="9"/>
        <v>15.919567682763294</v>
      </c>
      <c r="T142">
        <f t="shared" si="10"/>
        <v>15.092707109052828</v>
      </c>
    </row>
    <row r="143" spans="2:20" x14ac:dyDescent="0.25">
      <c r="B143">
        <v>366</v>
      </c>
      <c r="C143" t="s">
        <v>45</v>
      </c>
      <c r="D143" t="s">
        <v>9</v>
      </c>
      <c r="E143">
        <v>2018</v>
      </c>
      <c r="F143" s="8">
        <v>9602178.9340497702</v>
      </c>
      <c r="G143" s="8">
        <v>10214.1695964636</v>
      </c>
      <c r="H143" s="8">
        <v>1124540.61726678</v>
      </c>
      <c r="I143" s="8">
        <v>8286002.1409901502</v>
      </c>
      <c r="J143" s="8">
        <v>70631.021691061294</v>
      </c>
      <c r="K143" s="19">
        <v>3.6382459278812201E-9</v>
      </c>
      <c r="L143" s="8">
        <v>13701.7140705113</v>
      </c>
      <c r="M143" s="8">
        <v>97089.270434792095</v>
      </c>
      <c r="N143" s="8">
        <v>0</v>
      </c>
      <c r="P143" s="8">
        <f t="shared" si="11"/>
        <v>1316176.7930596201</v>
      </c>
      <c r="S143">
        <f t="shared" si="9"/>
        <v>16.077500602980599</v>
      </c>
      <c r="T143">
        <f t="shared" si="10"/>
        <v>13.932885170019786</v>
      </c>
    </row>
    <row r="144" spans="2:20" x14ac:dyDescent="0.25">
      <c r="B144">
        <v>367</v>
      </c>
      <c r="C144" t="s">
        <v>45</v>
      </c>
      <c r="D144" t="s">
        <v>9</v>
      </c>
      <c r="E144">
        <v>2019</v>
      </c>
      <c r="F144" s="8">
        <v>4306596.0689208303</v>
      </c>
      <c r="G144" s="8">
        <v>7129.2280872129604</v>
      </c>
      <c r="H144" s="8">
        <v>504879.84823239897</v>
      </c>
      <c r="I144" s="8">
        <v>3630434.3776666699</v>
      </c>
      <c r="J144" s="8">
        <v>38717.885189544999</v>
      </c>
      <c r="K144" s="8">
        <v>30.894866837858999</v>
      </c>
      <c r="L144" s="8">
        <v>65786.948371726903</v>
      </c>
      <c r="M144" s="8">
        <v>59616.886506435898</v>
      </c>
      <c r="N144" s="8">
        <v>0</v>
      </c>
      <c r="P144" s="8">
        <f t="shared" si="11"/>
        <v>676161.69125416037</v>
      </c>
      <c r="S144">
        <f t="shared" si="9"/>
        <v>15.275658374850817</v>
      </c>
      <c r="T144">
        <f t="shared" si="10"/>
        <v>13.132075755656743</v>
      </c>
    </row>
    <row r="145" spans="2:20" x14ac:dyDescent="0.25">
      <c r="B145">
        <v>368</v>
      </c>
      <c r="C145" t="s">
        <v>45</v>
      </c>
      <c r="D145" t="s">
        <v>9</v>
      </c>
      <c r="E145">
        <v>2020</v>
      </c>
      <c r="F145" s="8">
        <v>3625516.9006801601</v>
      </c>
      <c r="G145" s="8">
        <v>6001.9891053477604</v>
      </c>
      <c r="H145" s="8">
        <v>1701541.7486520701</v>
      </c>
      <c r="I145" s="8">
        <v>1871659.8818636399</v>
      </c>
      <c r="J145" s="8">
        <v>23052.627080194899</v>
      </c>
      <c r="K145" s="8">
        <v>0</v>
      </c>
      <c r="L145" s="8">
        <v>9783.4180482264201</v>
      </c>
      <c r="M145" s="8">
        <v>13477.2359306779</v>
      </c>
      <c r="N145" s="8">
        <v>0</v>
      </c>
      <c r="P145" s="8">
        <f t="shared" si="11"/>
        <v>1753857.0188165202</v>
      </c>
      <c r="S145">
        <f t="shared" si="9"/>
        <v>15.103507429396533</v>
      </c>
      <c r="T145">
        <f t="shared" si="10"/>
        <v>14.347045309002967</v>
      </c>
    </row>
    <row r="146" spans="2:20" x14ac:dyDescent="0.25">
      <c r="B146">
        <v>369</v>
      </c>
      <c r="C146" t="s">
        <v>45</v>
      </c>
      <c r="D146" t="s">
        <v>9</v>
      </c>
      <c r="E146">
        <v>2021</v>
      </c>
      <c r="F146" s="8">
        <v>15073788.635665501</v>
      </c>
      <c r="G146" s="8">
        <v>4749.0864001873497</v>
      </c>
      <c r="H146" s="8">
        <v>8584678.5385688208</v>
      </c>
      <c r="I146" s="8">
        <v>6222453.5193613004</v>
      </c>
      <c r="J146" s="8">
        <v>38872.3033914353</v>
      </c>
      <c r="K146" s="19">
        <v>1.05502852028377E-6</v>
      </c>
      <c r="L146" s="8">
        <v>179594.78225314501</v>
      </c>
      <c r="M146" s="8">
        <v>34035.754427464402</v>
      </c>
      <c r="N146" s="8">
        <v>9404.6512515341292</v>
      </c>
      <c r="P146" s="8">
        <f t="shared" si="11"/>
        <v>8851335.1163042001</v>
      </c>
      <c r="S146">
        <f t="shared" si="9"/>
        <v>16.528467941505735</v>
      </c>
      <c r="T146">
        <f t="shared" si="10"/>
        <v>15.965489607066209</v>
      </c>
    </row>
    <row r="147" spans="2:20" x14ac:dyDescent="0.25">
      <c r="B147">
        <v>370</v>
      </c>
      <c r="C147" t="s">
        <v>45</v>
      </c>
      <c r="D147" t="s">
        <v>9</v>
      </c>
      <c r="E147">
        <v>2022</v>
      </c>
      <c r="F147" s="8">
        <v>16333545.245447</v>
      </c>
      <c r="G147" s="8">
        <v>2781.5773455440899</v>
      </c>
      <c r="H147" s="8">
        <v>1676444.6817325901</v>
      </c>
      <c r="I147" s="8">
        <v>14079471.9263673</v>
      </c>
      <c r="J147" s="8">
        <v>111158.791387262</v>
      </c>
      <c r="K147" s="19">
        <v>1.0479555633527501E-6</v>
      </c>
      <c r="L147" s="8">
        <v>366809.93597996398</v>
      </c>
      <c r="M147" s="8">
        <v>95186.758742446007</v>
      </c>
      <c r="N147" s="19">
        <v>1.0480244233681501E-6</v>
      </c>
      <c r="P147" s="8">
        <f t="shared" si="11"/>
        <v>2254073.3190797009</v>
      </c>
      <c r="S147">
        <f t="shared" si="9"/>
        <v>16.608731541533668</v>
      </c>
      <c r="T147">
        <f t="shared" si="10"/>
        <v>14.33218584806165</v>
      </c>
    </row>
    <row r="148" spans="2:20" x14ac:dyDescent="0.25">
      <c r="B148">
        <v>371</v>
      </c>
      <c r="C148" t="s">
        <v>45</v>
      </c>
      <c r="D148" t="s">
        <v>9</v>
      </c>
      <c r="E148">
        <v>2023</v>
      </c>
      <c r="F148" s="8">
        <v>5448620.1026451699</v>
      </c>
      <c r="G148" s="8">
        <v>14671.2110044814</v>
      </c>
      <c r="H148" s="8">
        <v>297019.88997896999</v>
      </c>
      <c r="I148" s="8">
        <v>4660214.2768947398</v>
      </c>
      <c r="J148" s="8">
        <v>112653.644738492</v>
      </c>
      <c r="K148" s="8">
        <v>1311.6338462889601</v>
      </c>
      <c r="L148" s="8">
        <v>49533.086944797396</v>
      </c>
      <c r="M148" s="8">
        <v>309663.88308973802</v>
      </c>
      <c r="N148" s="8">
        <v>3552.4761374910499</v>
      </c>
      <c r="P148" s="8">
        <f t="shared" si="11"/>
        <v>788405.82575043011</v>
      </c>
      <c r="S148">
        <f t="shared" si="9"/>
        <v>15.510872942405678</v>
      </c>
      <c r="T148">
        <f t="shared" si="10"/>
        <v>12.601554385168633</v>
      </c>
    </row>
    <row r="149" spans="2:20" x14ac:dyDescent="0.25">
      <c r="B149">
        <v>372</v>
      </c>
      <c r="C149" t="s">
        <v>45</v>
      </c>
      <c r="D149" t="s">
        <v>9</v>
      </c>
      <c r="E149">
        <v>2024</v>
      </c>
      <c r="F149" s="8">
        <v>5629034.7478780597</v>
      </c>
      <c r="G149" s="8">
        <v>7082.9675948021804</v>
      </c>
      <c r="H149" s="8">
        <v>4400723.2324607596</v>
      </c>
      <c r="I149" s="8">
        <v>1031403.9831281099</v>
      </c>
      <c r="J149" s="8">
        <v>96006.8331958903</v>
      </c>
      <c r="K149" s="8">
        <v>782.26969277722799</v>
      </c>
      <c r="L149" s="8">
        <v>46113.8431891457</v>
      </c>
      <c r="M149" s="8">
        <v>42723.2292662728</v>
      </c>
      <c r="N149" s="8">
        <v>4198.3893400756997</v>
      </c>
      <c r="P149" s="8">
        <f t="shared" si="11"/>
        <v>4597630.7647499498</v>
      </c>
      <c r="S149">
        <f t="shared" si="9"/>
        <v>15.543448537437959</v>
      </c>
      <c r="T149">
        <f t="shared" si="10"/>
        <v>15.297279456394863</v>
      </c>
    </row>
    <row r="151" spans="2:20" x14ac:dyDescent="0.25">
      <c r="D151" t="s">
        <v>57</v>
      </c>
      <c r="F151" s="8">
        <f>AVERAGE(F140:F149)</f>
        <v>7327017.6521986742</v>
      </c>
      <c r="G151" s="8">
        <f t="shared" ref="G151:N151" si="12">AVERAGE(G140:G149)</f>
        <v>7085.0016771532655</v>
      </c>
      <c r="H151" s="8">
        <f t="shared" si="12"/>
        <v>2256944.0968575799</v>
      </c>
      <c r="I151" s="8">
        <f t="shared" si="12"/>
        <v>4847322.1640167562</v>
      </c>
      <c r="J151" s="8">
        <f t="shared" si="12"/>
        <v>63595.209337251996</v>
      </c>
      <c r="K151" s="8">
        <f t="shared" si="12"/>
        <v>212.47984080106693</v>
      </c>
      <c r="L151" s="8">
        <f t="shared" si="12"/>
        <v>78924.609038557319</v>
      </c>
      <c r="M151" s="8">
        <f t="shared" si="12"/>
        <v>69224.096830709954</v>
      </c>
      <c r="N151" s="8">
        <f t="shared" si="12"/>
        <v>1715.5516730156025</v>
      </c>
      <c r="O151" s="8"/>
      <c r="P151" s="8">
        <f t="shared" ref="P151" si="13">AVERAGE(P140:P149)</f>
        <v>2479695.4881819175</v>
      </c>
      <c r="R151" t="s">
        <v>58</v>
      </c>
      <c r="S151" s="2">
        <f>SUM(J151:N151)+G151</f>
        <v>220756.94839748921</v>
      </c>
    </row>
    <row r="152" spans="2:20" x14ac:dyDescent="0.25">
      <c r="D152" t="s">
        <v>59</v>
      </c>
      <c r="G152" s="11">
        <f>G151/$F$151</f>
        <v>9.6696937464415893E-4</v>
      </c>
      <c r="H152" s="11">
        <f t="shared" ref="H152:N152" si="14">H151/$F$151</f>
        <v>0.30803038889640472</v>
      </c>
      <c r="I152" s="11">
        <f t="shared" si="14"/>
        <v>0.66156823882663685</v>
      </c>
      <c r="J152" s="11">
        <f t="shared" si="14"/>
        <v>8.6795490820427458E-3</v>
      </c>
      <c r="K152" s="11">
        <f t="shared" si="14"/>
        <v>2.8999498962215066E-5</v>
      </c>
      <c r="L152" s="11">
        <f t="shared" si="14"/>
        <v>1.077172361047524E-2</v>
      </c>
      <c r="M152" s="11">
        <f t="shared" si="14"/>
        <v>9.4477862776729295E-3</v>
      </c>
      <c r="N152" s="11">
        <f t="shared" si="14"/>
        <v>2.3414051315964878E-4</v>
      </c>
      <c r="O152" s="11"/>
      <c r="P152" s="11">
        <f t="shared" ref="P152" si="15">P151/$F$151</f>
        <v>0.3384317611733631</v>
      </c>
    </row>
    <row r="153" spans="2:20" x14ac:dyDescent="0.25">
      <c r="O153" t="s">
        <v>60</v>
      </c>
      <c r="P153" s="2">
        <f>GEOMEAN(P140:P149)</f>
        <v>1494871.3356195495</v>
      </c>
      <c r="Q153" t="s">
        <v>61</v>
      </c>
    </row>
    <row r="154" spans="2:20" x14ac:dyDescent="0.25">
      <c r="H154" t="s">
        <v>62</v>
      </c>
      <c r="L154" t="s">
        <v>63</v>
      </c>
    </row>
    <row r="166" spans="3:29" ht="15.75" thickBot="1" x14ac:dyDescent="0.3"/>
    <row r="167" spans="3:29" x14ac:dyDescent="0.25">
      <c r="W167" s="12" t="s">
        <v>64</v>
      </c>
      <c r="X167" s="13"/>
      <c r="Y167" s="13"/>
      <c r="Z167" s="13"/>
      <c r="AA167" s="13" t="s">
        <v>65</v>
      </c>
      <c r="AB167" s="13"/>
      <c r="AC167" s="14"/>
    </row>
    <row r="168" spans="3:29" x14ac:dyDescent="0.25">
      <c r="W168" s="15">
        <v>1.2</v>
      </c>
      <c r="X168" s="2">
        <v>254948.28508885007</v>
      </c>
      <c r="Y168" t="s">
        <v>48</v>
      </c>
      <c r="AA168" t="s">
        <v>66</v>
      </c>
      <c r="AB168" t="s">
        <v>67</v>
      </c>
      <c r="AC168" s="16"/>
    </row>
    <row r="169" spans="3:29" x14ac:dyDescent="0.25">
      <c r="W169" s="15">
        <v>1.3</v>
      </c>
      <c r="X169" s="1">
        <v>9059647.210892735</v>
      </c>
      <c r="Y169" t="s">
        <v>68</v>
      </c>
      <c r="AA169" t="s">
        <v>69</v>
      </c>
      <c r="AC169" s="16"/>
    </row>
    <row r="170" spans="3:29" x14ac:dyDescent="0.25">
      <c r="W170" s="15" t="s">
        <v>47</v>
      </c>
      <c r="X170" s="2">
        <v>220756.94839748921</v>
      </c>
      <c r="Y170" t="s">
        <v>70</v>
      </c>
      <c r="AA170" t="s">
        <v>71</v>
      </c>
      <c r="AC170" s="16"/>
    </row>
    <row r="171" spans="3:29" ht="15.75" thickBot="1" x14ac:dyDescent="0.3">
      <c r="K171" t="s">
        <v>72</v>
      </c>
      <c r="W171" s="17" t="s">
        <v>49</v>
      </c>
      <c r="X171" s="21">
        <f>SUM(X168:X170)</f>
        <v>9535352.4443790745</v>
      </c>
      <c r="Y171" s="6"/>
      <c r="Z171" s="6"/>
      <c r="AA171" s="6" t="s">
        <v>73</v>
      </c>
      <c r="AB171" s="6"/>
      <c r="AC171" s="18"/>
    </row>
    <row r="173" spans="3:29" x14ac:dyDescent="0.25">
      <c r="K173" t="s">
        <v>74</v>
      </c>
      <c r="M173" s="8">
        <v>4400723.2324607596</v>
      </c>
      <c r="N173">
        <v>1740.7</v>
      </c>
      <c r="O173">
        <v>0.55940000000000001</v>
      </c>
      <c r="P173" s="2">
        <f>N173*M173^O173</f>
        <v>9059647.210892735</v>
      </c>
      <c r="R173" t="s">
        <v>75</v>
      </c>
    </row>
    <row r="174" spans="3:29" x14ac:dyDescent="0.25">
      <c r="C174" t="s">
        <v>76</v>
      </c>
    </row>
    <row r="191" spans="11:14" x14ac:dyDescent="0.25">
      <c r="K191" t="s">
        <v>77</v>
      </c>
    </row>
    <row r="192" spans="11:14" x14ac:dyDescent="0.25">
      <c r="N192" t="s">
        <v>78</v>
      </c>
    </row>
    <row r="193" spans="14:18" x14ac:dyDescent="0.25">
      <c r="N193" s="8" t="s">
        <v>79</v>
      </c>
      <c r="P193" s="2">
        <f>P173+P153</f>
        <v>10554518.546512285</v>
      </c>
      <c r="R193" t="s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Cors</vt:lpstr>
      <vt:lpstr>ENVIRO</vt:lpstr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2025-05-20T15:58:02Z</dcterms:modified>
</cp:coreProperties>
</file>