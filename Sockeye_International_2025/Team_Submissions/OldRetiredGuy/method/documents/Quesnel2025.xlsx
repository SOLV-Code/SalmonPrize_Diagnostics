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13_ncr:1_{AC65E2E6-4854-40B4-98E6-358A86333023}" xr6:coauthVersionLast="47" xr6:coauthVersionMax="47" xr10:uidLastSave="{00000000-0000-0000-0000-000000000000}"/>
  <bookViews>
    <workbookView xWindow="-120" yWindow="-120" windowWidth="29040" windowHeight="15720" xr2:uid="{ADC57791-F1B1-4FA0-8126-4E9926F9C358}"/>
  </bookViews>
  <sheets>
    <sheet name="MainPre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3" i="1" l="1"/>
  <c r="G213" i="1"/>
  <c r="F213" i="1"/>
  <c r="E213" i="1"/>
  <c r="H213" i="1" s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Q169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28" i="1"/>
  <c r="L130" i="1" s="1"/>
  <c r="L131" i="1" s="1"/>
  <c r="S172" i="1" s="1"/>
  <c r="T172" i="1" s="1"/>
  <c r="S116" i="1"/>
  <c r="U116" i="1" s="1"/>
  <c r="L109" i="1"/>
  <c r="D76" i="1"/>
  <c r="E76" i="1" s="1"/>
  <c r="D75" i="1"/>
  <c r="E75" i="1" s="1"/>
  <c r="E74" i="1"/>
  <c r="D74" i="1"/>
  <c r="D73" i="1"/>
  <c r="D72" i="1"/>
  <c r="E72" i="1" s="1"/>
  <c r="D71" i="1"/>
  <c r="E70" i="1"/>
  <c r="D70" i="1"/>
  <c r="D69" i="1"/>
  <c r="D68" i="1"/>
  <c r="E68" i="1" s="1"/>
  <c r="D67" i="1"/>
  <c r="D66" i="1"/>
  <c r="E66" i="1" s="1"/>
  <c r="D65" i="1"/>
  <c r="D64" i="1"/>
  <c r="E64" i="1" s="1"/>
  <c r="D63" i="1"/>
  <c r="D62" i="1"/>
  <c r="D61" i="1"/>
  <c r="D60" i="1"/>
  <c r="D59" i="1"/>
  <c r="D58" i="1"/>
  <c r="E58" i="1" s="1"/>
  <c r="D57" i="1"/>
  <c r="D56" i="1"/>
  <c r="D55" i="1"/>
  <c r="D54" i="1"/>
  <c r="D53" i="1"/>
  <c r="E52" i="1"/>
  <c r="D52" i="1"/>
  <c r="D51" i="1"/>
  <c r="D50" i="1"/>
  <c r="D49" i="1"/>
  <c r="E48" i="1"/>
  <c r="D48" i="1"/>
  <c r="D47" i="1"/>
  <c r="D46" i="1"/>
  <c r="D45" i="1"/>
  <c r="D44" i="1"/>
  <c r="D43" i="1"/>
  <c r="D42" i="1"/>
  <c r="D41" i="1"/>
  <c r="D40" i="1"/>
  <c r="E40" i="1" s="1"/>
  <c r="D39" i="1"/>
  <c r="D38" i="1"/>
  <c r="E38" i="1" s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E22" i="1"/>
  <c r="D22" i="1"/>
  <c r="D21" i="1"/>
  <c r="D20" i="1"/>
  <c r="D19" i="1"/>
  <c r="E18" i="1"/>
  <c r="D18" i="1"/>
  <c r="D17" i="1"/>
  <c r="D16" i="1"/>
  <c r="E16" i="1" s="1"/>
  <c r="D15" i="1"/>
  <c r="D14" i="1"/>
  <c r="D13" i="1"/>
  <c r="D12" i="1"/>
  <c r="D11" i="1"/>
  <c r="D10" i="1"/>
  <c r="D9" i="1"/>
  <c r="D8" i="1"/>
  <c r="D7" i="1"/>
  <c r="D6" i="1"/>
  <c r="D5" i="1"/>
  <c r="D4" i="1"/>
  <c r="E30" i="1" l="1"/>
  <c r="E32" i="1"/>
  <c r="E54" i="1"/>
  <c r="E62" i="1"/>
  <c r="E34" i="1"/>
  <c r="E20" i="1"/>
  <c r="E50" i="1"/>
  <c r="E14" i="1"/>
  <c r="E60" i="1"/>
  <c r="E10" i="1"/>
  <c r="E24" i="1"/>
  <c r="E46" i="1"/>
  <c r="E12" i="1"/>
  <c r="E56" i="1"/>
  <c r="E26" i="1"/>
  <c r="L108" i="1"/>
  <c r="O108" i="1" s="1"/>
  <c r="E42" i="1"/>
  <c r="E5" i="1"/>
  <c r="E28" i="1"/>
  <c r="E36" i="1"/>
  <c r="E8" i="1"/>
  <c r="E44" i="1"/>
  <c r="E9" i="1"/>
  <c r="E13" i="1"/>
  <c r="E17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6" i="1"/>
  <c r="E11" i="1"/>
  <c r="E15" i="1"/>
  <c r="E19" i="1"/>
  <c r="E23" i="1"/>
  <c r="E27" i="1"/>
  <c r="E31" i="1"/>
  <c r="E39" i="1"/>
  <c r="E43" i="1"/>
  <c r="E47" i="1"/>
  <c r="E51" i="1"/>
  <c r="E55" i="1"/>
  <c r="E59" i="1"/>
  <c r="E63" i="1"/>
  <c r="E67" i="1"/>
  <c r="E71" i="1"/>
  <c r="E35" i="1"/>
  <c r="E7" i="1"/>
</calcChain>
</file>

<file path=xl/sharedStrings.xml><?xml version="1.0" encoding="utf-8"?>
<sst xmlns="http://schemas.openxmlformats.org/spreadsheetml/2006/main" count="201" uniqueCount="53">
  <si>
    <t>Case:</t>
  </si>
  <si>
    <t>Quesnel</t>
  </si>
  <si>
    <t>observations</t>
  </si>
  <si>
    <t>Year</t>
  </si>
  <si>
    <t>Xt</t>
  </si>
  <si>
    <t>ln Rects</t>
  </si>
  <si>
    <t>deltaLnR</t>
  </si>
  <si>
    <t>Comment on patterns:</t>
  </si>
  <si>
    <t>Overall periodicity is about 5 years peak to peak, i.e., compare value with t-4</t>
  </si>
  <si>
    <t>Looking mainly at years since 2005, which appear to be stationary</t>
  </si>
  <si>
    <t>2016 was both an El Nino year and a low point in the cycle--doesn't show any sign of an extra decrease due to El Nino</t>
  </si>
  <si>
    <t>2024 should also be a low point in the cycle</t>
  </si>
  <si>
    <t>For prediction, just use mean logs from similar years, 2012, 2016 and 2020</t>
  </si>
  <si>
    <t xml:space="preserve">Mean is </t>
  </si>
  <si>
    <t xml:space="preserve">pred is </t>
  </si>
  <si>
    <t>for 2024 prize</t>
  </si>
  <si>
    <t>Actual was</t>
  </si>
  <si>
    <t>2016 value would have been very close! (but was higher than other 2 similar years)</t>
  </si>
  <si>
    <t>2025 Prize calcs</t>
  </si>
  <si>
    <t xml:space="preserve">History of log N suggest bounce up to </t>
  </si>
  <si>
    <t xml:space="preserve">or </t>
  </si>
  <si>
    <t xml:space="preserve">mean is </t>
  </si>
  <si>
    <t>antilog</t>
  </si>
  <si>
    <t>Another view is trend of lnN values for 2013, 2017 and 2021, all high, but slowly declining</t>
  </si>
  <si>
    <t>lnN in 2021 comes from a very low 2020, probably more similar to 2016-17</t>
  </si>
  <si>
    <t>If a repeat of 2017</t>
  </si>
  <si>
    <t>DeltaLogN suggests a large increase, based on the last two similar cycles, 2015-17 and 2019-21</t>
  </si>
  <si>
    <t>year</t>
  </si>
  <si>
    <t>deltalogN</t>
  </si>
  <si>
    <t>avg</t>
  </si>
  <si>
    <t>from 2024</t>
  </si>
  <si>
    <t>pred</t>
  </si>
  <si>
    <t>coming off a little higher lnN in 2024</t>
  </si>
  <si>
    <t>any help from brood table?</t>
  </si>
  <si>
    <t>System</t>
  </si>
  <si>
    <t>River</t>
  </si>
  <si>
    <t>ReturnYear</t>
  </si>
  <si>
    <t>Total_Returns</t>
  </si>
  <si>
    <t>AC_1.1</t>
  </si>
  <si>
    <t>AC_1.2</t>
  </si>
  <si>
    <t>AC_1.3</t>
  </si>
  <si>
    <t>AC_2.2</t>
  </si>
  <si>
    <t>prevyr1.1</t>
  </si>
  <si>
    <t>ln tot run</t>
  </si>
  <si>
    <t>Fraser River</t>
  </si>
  <si>
    <t>seems to have some use if the zero values are deleted</t>
  </si>
  <si>
    <t xml:space="preserve">prediction is </t>
  </si>
  <si>
    <t>high but very imprecise</t>
  </si>
  <si>
    <t>Best guess if avg of deltaN and brood table est</t>
  </si>
  <si>
    <t>correlations of ln totrun to PC1 at lags</t>
  </si>
  <si>
    <t>regime shift is apparent blue=old red=recent</t>
  </si>
  <si>
    <t>there are no useful correlations in the recent results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</si>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</sst>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0" fillId="0" borderId="1" xfId="0" applyBorder="1"/>
    <xf numFmtId="0" fontId="4" fillId="0" borderId="0" xfId="0" applyFont="1"/>
    <xf numFmtId="0" fontId="2" fillId="0" borderId="0" xfId="0" applyFont="1"/>
    <xf numFmtId="0" fontId="5" fillId="0" borderId="0" xfId="0" applyFont="1"/>
    <xf numFmtId="1" fontId="2" fillId="0" borderId="0" xfId="0" applyNumberFormat="1" applyFont="1"/>
    <xf numFmtId="1" fontId="0" fillId="0" borderId="0" xfId="0" applyNumberFormat="1"/>
    <xf numFmtId="0" fontId="4" fillId="0" borderId="2" xfId="0" applyFont="1" applyBorder="1"/>
    <xf numFmtId="0" fontId="4" fillId="0" borderId="3" xfId="0" applyFont="1" applyBorder="1"/>
    <xf numFmtId="0" fontId="2" fillId="0" borderId="3" xfId="0" applyFont="1" applyBorder="1"/>
    <xf numFmtId="1" fontId="2" fillId="0" borderId="4" xfId="0" applyNumberFormat="1" applyFont="1" applyBorder="1"/>
    <xf numFmtId="164" fontId="0" fillId="0" borderId="0" xfId="1" applyNumberFormat="1" applyFon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[1]Quesnel!$B$4:$B$76</c:f>
              <c:numCache>
                <c:formatCode>General</c:formatCode>
                <c:ptCount val="73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</c:numCache>
            </c:numRef>
          </c:xVal>
          <c:yVal>
            <c:numRef>
              <c:f>[1]Quesnel!$C$4:$C$76</c:f>
              <c:numCache>
                <c:formatCode>General</c:formatCode>
                <c:ptCount val="73"/>
                <c:pt idx="0">
                  <c:v>23587</c:v>
                </c:pt>
                <c:pt idx="1">
                  <c:v>463443</c:v>
                </c:pt>
                <c:pt idx="2">
                  <c:v>2014</c:v>
                </c:pt>
                <c:pt idx="3">
                  <c:v>413</c:v>
                </c:pt>
                <c:pt idx="4">
                  <c:v>6464</c:v>
                </c:pt>
                <c:pt idx="5">
                  <c:v>604123</c:v>
                </c:pt>
                <c:pt idx="6">
                  <c:v>10912</c:v>
                </c:pt>
                <c:pt idx="7">
                  <c:v>198</c:v>
                </c:pt>
                <c:pt idx="8">
                  <c:v>10894</c:v>
                </c:pt>
                <c:pt idx="9">
                  <c:v>989607</c:v>
                </c:pt>
                <c:pt idx="10">
                  <c:v>3536</c:v>
                </c:pt>
                <c:pt idx="11">
                  <c:v>194</c:v>
                </c:pt>
                <c:pt idx="12">
                  <c:v>45950</c:v>
                </c:pt>
                <c:pt idx="13">
                  <c:v>1195837</c:v>
                </c:pt>
                <c:pt idx="14">
                  <c:v>7859</c:v>
                </c:pt>
                <c:pt idx="15">
                  <c:v>956</c:v>
                </c:pt>
                <c:pt idx="16">
                  <c:v>16973</c:v>
                </c:pt>
                <c:pt idx="17">
                  <c:v>1652135</c:v>
                </c:pt>
                <c:pt idx="18">
                  <c:v>7953</c:v>
                </c:pt>
                <c:pt idx="19">
                  <c:v>2146</c:v>
                </c:pt>
                <c:pt idx="20">
                  <c:v>6910</c:v>
                </c:pt>
                <c:pt idx="21">
                  <c:v>1626582</c:v>
                </c:pt>
                <c:pt idx="22">
                  <c:v>28107</c:v>
                </c:pt>
                <c:pt idx="23">
                  <c:v>756</c:v>
                </c:pt>
                <c:pt idx="24">
                  <c:v>6497</c:v>
                </c:pt>
                <c:pt idx="25">
                  <c:v>2326885</c:v>
                </c:pt>
                <c:pt idx="26">
                  <c:v>33233</c:v>
                </c:pt>
                <c:pt idx="27">
                  <c:v>3564</c:v>
                </c:pt>
                <c:pt idx="28">
                  <c:v>9679</c:v>
                </c:pt>
                <c:pt idx="29">
                  <c:v>3810928</c:v>
                </c:pt>
                <c:pt idx="30">
                  <c:v>245363</c:v>
                </c:pt>
                <c:pt idx="31">
                  <c:v>12612</c:v>
                </c:pt>
                <c:pt idx="32">
                  <c:v>25962</c:v>
                </c:pt>
                <c:pt idx="33">
                  <c:v>9553856</c:v>
                </c:pt>
                <c:pt idx="34">
                  <c:v>712295</c:v>
                </c:pt>
                <c:pt idx="35">
                  <c:v>87912</c:v>
                </c:pt>
                <c:pt idx="36">
                  <c:v>46893</c:v>
                </c:pt>
                <c:pt idx="37">
                  <c:v>12161405</c:v>
                </c:pt>
                <c:pt idx="38">
                  <c:v>2716516</c:v>
                </c:pt>
                <c:pt idx="39">
                  <c:v>288545</c:v>
                </c:pt>
                <c:pt idx="40">
                  <c:v>96025</c:v>
                </c:pt>
                <c:pt idx="41">
                  <c:v>10340080</c:v>
                </c:pt>
                <c:pt idx="42">
                  <c:v>3236300</c:v>
                </c:pt>
                <c:pt idx="43">
                  <c:v>436433</c:v>
                </c:pt>
                <c:pt idx="44">
                  <c:v>82090</c:v>
                </c:pt>
                <c:pt idx="45">
                  <c:v>6446284</c:v>
                </c:pt>
                <c:pt idx="46">
                  <c:v>2666551</c:v>
                </c:pt>
                <c:pt idx="47">
                  <c:v>332450</c:v>
                </c:pt>
                <c:pt idx="48">
                  <c:v>117802</c:v>
                </c:pt>
                <c:pt idx="49">
                  <c:v>4381602</c:v>
                </c:pt>
                <c:pt idx="50">
                  <c:v>4800147</c:v>
                </c:pt>
                <c:pt idx="51">
                  <c:v>853991</c:v>
                </c:pt>
                <c:pt idx="52">
                  <c:v>271722</c:v>
                </c:pt>
                <c:pt idx="53">
                  <c:v>3592160</c:v>
                </c:pt>
                <c:pt idx="54">
                  <c:v>723165</c:v>
                </c:pt>
                <c:pt idx="55">
                  <c:v>119068</c:v>
                </c:pt>
                <c:pt idx="56">
                  <c:v>68161</c:v>
                </c:pt>
                <c:pt idx="57">
                  <c:v>203934</c:v>
                </c:pt>
                <c:pt idx="58">
                  <c:v>604146</c:v>
                </c:pt>
                <c:pt idx="59">
                  <c:v>121801</c:v>
                </c:pt>
                <c:pt idx="60">
                  <c:v>1416</c:v>
                </c:pt>
                <c:pt idx="61">
                  <c:v>306977</c:v>
                </c:pt>
                <c:pt idx="62">
                  <c:v>2519390</c:v>
                </c:pt>
                <c:pt idx="63">
                  <c:v>67128</c:v>
                </c:pt>
                <c:pt idx="64">
                  <c:v>4761</c:v>
                </c:pt>
                <c:pt idx="65">
                  <c:v>145779</c:v>
                </c:pt>
                <c:pt idx="66">
                  <c:v>2138731</c:v>
                </c:pt>
                <c:pt idx="67">
                  <c:v>45495</c:v>
                </c:pt>
                <c:pt idx="68">
                  <c:v>1475</c:v>
                </c:pt>
                <c:pt idx="69">
                  <c:v>121552</c:v>
                </c:pt>
                <c:pt idx="70">
                  <c:v>1501863</c:v>
                </c:pt>
                <c:pt idx="71">
                  <c:v>122000</c:v>
                </c:pt>
                <c:pt idx="72">
                  <c:v>5430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7-422E-994F-A952C59B0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04224"/>
        <c:axId val="224441856"/>
      </c:scatterChart>
      <c:valAx>
        <c:axId val="22440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441856"/>
        <c:crosses val="autoZero"/>
        <c:crossBetween val="midCat"/>
      </c:valAx>
      <c:valAx>
        <c:axId val="22444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404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Quesnel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[1]Quesnel!$B$62:$B$76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[1]Quesnel!$D$62:$D$76</c:f>
              <c:numCache>
                <c:formatCode>General</c:formatCode>
                <c:ptCount val="15"/>
                <c:pt idx="0">
                  <c:v>13.311571169561237</c:v>
                </c:pt>
                <c:pt idx="1">
                  <c:v>11.710143844404854</c:v>
                </c:pt>
                <c:pt idx="2">
                  <c:v>7.255591274253665</c:v>
                </c:pt>
                <c:pt idx="3">
                  <c:v>12.634528105196022</c:v>
                </c:pt>
                <c:pt idx="4">
                  <c:v>14.739527366693446</c:v>
                </c:pt>
                <c:pt idx="5">
                  <c:v>11.114356523549905</c:v>
                </c:pt>
                <c:pt idx="6">
                  <c:v>8.4682130091945194</c:v>
                </c:pt>
                <c:pt idx="7">
                  <c:v>11.889847055261146</c:v>
                </c:pt>
                <c:pt idx="8">
                  <c:v>14.575723220455334</c:v>
                </c:pt>
                <c:pt idx="9">
                  <c:v>10.72535770879079</c:v>
                </c:pt>
                <c:pt idx="10">
                  <c:v>7.2964132687739198</c:v>
                </c:pt>
                <c:pt idx="11">
                  <c:v>11.708097433743003</c:v>
                </c:pt>
                <c:pt idx="12">
                  <c:v>14.222216895428465</c:v>
                </c:pt>
                <c:pt idx="13">
                  <c:v>11.711776323715394</c:v>
                </c:pt>
                <c:pt idx="14">
                  <c:v>8.5996944129279811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D-48F2-80A6-8260D9294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297152"/>
        <c:axId val="249449856"/>
      </c:scatterChart>
      <c:valAx>
        <c:axId val="24929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9449856"/>
        <c:crosses val="autoZero"/>
        <c:crossBetween val="midCat"/>
      </c:valAx>
      <c:valAx>
        <c:axId val="249449856"/>
        <c:scaling>
          <c:orientation val="minMax"/>
          <c:max val="16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297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[1]Quesnel!$B$4:$B$76</c:f>
              <c:numCache>
                <c:formatCode>General</c:formatCode>
                <c:ptCount val="73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</c:numCache>
            </c:numRef>
          </c:xVal>
          <c:yVal>
            <c:numRef>
              <c:f>[1]Quesnel!$D$4:$D$76</c:f>
              <c:numCache>
                <c:formatCode>General</c:formatCode>
                <c:ptCount val="73"/>
                <c:pt idx="0">
                  <c:v>10.068450991783875</c:v>
                </c:pt>
                <c:pt idx="1">
                  <c:v>13.046438679079435</c:v>
                </c:pt>
                <c:pt idx="2">
                  <c:v>7.6078780732785072</c:v>
                </c:pt>
                <c:pt idx="3">
                  <c:v>6.0234475929610332</c:v>
                </c:pt>
                <c:pt idx="4">
                  <c:v>8.7740036002009312</c:v>
                </c:pt>
                <c:pt idx="5">
                  <c:v>13.311533098568763</c:v>
                </c:pt>
                <c:pt idx="6">
                  <c:v>9.297618380083243</c:v>
                </c:pt>
                <c:pt idx="7">
                  <c:v>5.2882670306945352</c:v>
                </c:pt>
                <c:pt idx="8">
                  <c:v>9.29596745794362</c:v>
                </c:pt>
                <c:pt idx="9">
                  <c:v>13.805063173600475</c:v>
                </c:pt>
                <c:pt idx="10">
                  <c:v>8.1707514237575349</c:v>
                </c:pt>
                <c:pt idx="11">
                  <c:v>5.2678581590633282</c:v>
                </c:pt>
                <c:pt idx="12">
                  <c:v>10.735309127783832</c:v>
                </c:pt>
                <c:pt idx="13">
                  <c:v>13.994356916579294</c:v>
                </c:pt>
                <c:pt idx="14">
                  <c:v>8.9694146508661756</c:v>
                </c:pt>
                <c:pt idx="15">
                  <c:v>6.8627579130514009</c:v>
                </c:pt>
                <c:pt idx="16">
                  <c:v>9.7393791251615323</c:v>
                </c:pt>
                <c:pt idx="17">
                  <c:v>14.317578948852564</c:v>
                </c:pt>
                <c:pt idx="18">
                  <c:v>8.9813044949571346</c:v>
                </c:pt>
                <c:pt idx="19">
                  <c:v>7.6713609231906439</c:v>
                </c:pt>
                <c:pt idx="20">
                  <c:v>8.8407249167617152</c:v>
                </c:pt>
                <c:pt idx="21">
                  <c:v>14.301991438626287</c:v>
                </c:pt>
                <c:pt idx="22">
                  <c:v>10.243773934619298</c:v>
                </c:pt>
                <c:pt idx="23">
                  <c:v>6.6280413761795334</c:v>
                </c:pt>
                <c:pt idx="24">
                  <c:v>8.7790958108805306</c:v>
                </c:pt>
                <c:pt idx="25">
                  <c:v>14.660041021209338</c:v>
                </c:pt>
                <c:pt idx="26">
                  <c:v>10.411298637141247</c:v>
                </c:pt>
                <c:pt idx="27">
                  <c:v>8.1786387885906997</c:v>
                </c:pt>
                <c:pt idx="28">
                  <c:v>9.1777138691490894</c:v>
                </c:pt>
                <c:pt idx="29">
                  <c:v>15.153383286998441</c:v>
                </c:pt>
                <c:pt idx="30">
                  <c:v>12.410494025645241</c:v>
                </c:pt>
                <c:pt idx="31">
                  <c:v>9.4424040206649522</c:v>
                </c:pt>
                <c:pt idx="32">
                  <c:v>10.16438920945294</c:v>
                </c:pt>
                <c:pt idx="33">
                  <c:v>16.072455400597399</c:v>
                </c:pt>
                <c:pt idx="34">
                  <c:v>13.476247430427559</c:v>
                </c:pt>
                <c:pt idx="35">
                  <c:v>11.38409159312676</c:v>
                </c:pt>
                <c:pt idx="36">
                  <c:v>10.755623689563581</c:v>
                </c:pt>
                <c:pt idx="37">
                  <c:v>16.313777970590902</c:v>
                </c:pt>
                <c:pt idx="38">
                  <c:v>14.814860734888267</c:v>
                </c:pt>
                <c:pt idx="39">
                  <c:v>12.572606331969574</c:v>
                </c:pt>
                <c:pt idx="40">
                  <c:v>11.472363853214105</c:v>
                </c:pt>
                <c:pt idx="41">
                  <c:v>16.151538163958534</c:v>
                </c:pt>
                <c:pt idx="42">
                  <c:v>14.989941259909223</c:v>
                </c:pt>
                <c:pt idx="43">
                  <c:v>12.986390148780545</c:v>
                </c:pt>
                <c:pt idx="44">
                  <c:v>11.315571485342312</c:v>
                </c:pt>
                <c:pt idx="45">
                  <c:v>15.679014398717728</c:v>
                </c:pt>
                <c:pt idx="46">
                  <c:v>14.796296435035277</c:v>
                </c:pt>
                <c:pt idx="47">
                  <c:v>12.7142447518306</c:v>
                </c:pt>
                <c:pt idx="48">
                  <c:v>11.676760527984193</c:v>
                </c:pt>
                <c:pt idx="49">
                  <c:v>15.292924968905808</c:v>
                </c:pt>
                <c:pt idx="50">
                  <c:v>15.384157100409183</c:v>
                </c:pt>
                <c:pt idx="51">
                  <c:v>13.657675934073488</c:v>
                </c:pt>
                <c:pt idx="52">
                  <c:v>12.51253476379633</c:v>
                </c:pt>
                <c:pt idx="53">
                  <c:v>15.094264250842043</c:v>
                </c:pt>
                <c:pt idx="54">
                  <c:v>13.49139269087128</c:v>
                </c:pt>
                <c:pt idx="55">
                  <c:v>11.687450037461959</c:v>
                </c:pt>
                <c:pt idx="56">
                  <c:v>11.129627832757077</c:v>
                </c:pt>
                <c:pt idx="57">
                  <c:v>12.225551691067658</c:v>
                </c:pt>
                <c:pt idx="58">
                  <c:v>13.311571169561237</c:v>
                </c:pt>
                <c:pt idx="59">
                  <c:v>11.710143844404854</c:v>
                </c:pt>
                <c:pt idx="60">
                  <c:v>7.255591274253665</c:v>
                </c:pt>
                <c:pt idx="61">
                  <c:v>12.634528105196022</c:v>
                </c:pt>
                <c:pt idx="62">
                  <c:v>14.739527366693446</c:v>
                </c:pt>
                <c:pt idx="63">
                  <c:v>11.114356523549905</c:v>
                </c:pt>
                <c:pt idx="64">
                  <c:v>8.4682130091945194</c:v>
                </c:pt>
                <c:pt idx="65">
                  <c:v>11.889847055261146</c:v>
                </c:pt>
                <c:pt idx="66">
                  <c:v>14.575723220455334</c:v>
                </c:pt>
                <c:pt idx="67">
                  <c:v>10.72535770879079</c:v>
                </c:pt>
                <c:pt idx="68">
                  <c:v>7.2964132687739198</c:v>
                </c:pt>
                <c:pt idx="69">
                  <c:v>11.708097433743003</c:v>
                </c:pt>
                <c:pt idx="70">
                  <c:v>14.222216895428465</c:v>
                </c:pt>
                <c:pt idx="71">
                  <c:v>11.711776323715394</c:v>
                </c:pt>
                <c:pt idx="72">
                  <c:v>8.5996944129279811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F-4667-A68F-DAFEF2932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04224"/>
        <c:axId val="224441856"/>
      </c:scatterChart>
      <c:valAx>
        <c:axId val="22440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441856"/>
        <c:crosses val="autoZero"/>
        <c:crossBetween val="midCat"/>
      </c:valAx>
      <c:valAx>
        <c:axId val="22444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404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Quesnel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[1]Quesnel!$B$62:$B$76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[1]Quesnel!$E$62:$E$76</c:f>
              <c:numCache>
                <c:formatCode>General</c:formatCode>
                <c:ptCount val="15"/>
                <c:pt idx="0">
                  <c:v>1.0860194784935793</c:v>
                </c:pt>
                <c:pt idx="1">
                  <c:v>-1.6014273251563829</c:v>
                </c:pt>
                <c:pt idx="2">
                  <c:v>-4.454552570151189</c:v>
                </c:pt>
                <c:pt idx="3">
                  <c:v>5.3789368309423571</c:v>
                </c:pt>
                <c:pt idx="4">
                  <c:v>2.104999261497424</c:v>
                </c:pt>
                <c:pt idx="5">
                  <c:v>-3.6251708431435414</c:v>
                </c:pt>
                <c:pt idx="6">
                  <c:v>-2.6461435143553853</c:v>
                </c:pt>
                <c:pt idx="7">
                  <c:v>3.421634046066627</c:v>
                </c:pt>
                <c:pt idx="8">
                  <c:v>2.6858761651941876</c:v>
                </c:pt>
                <c:pt idx="9">
                  <c:v>-3.8503655116645437</c:v>
                </c:pt>
                <c:pt idx="10">
                  <c:v>-3.4289444400168705</c:v>
                </c:pt>
                <c:pt idx="11">
                  <c:v>4.411684164969083</c:v>
                </c:pt>
                <c:pt idx="12">
                  <c:v>2.5141194616854623</c:v>
                </c:pt>
                <c:pt idx="13">
                  <c:v>-2.5104405717130707</c:v>
                </c:pt>
                <c:pt idx="14">
                  <c:v>-3.1120819107874134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76-4161-8982-A506AEBAF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297152"/>
        <c:axId val="249449856"/>
      </c:scatterChart>
      <c:valAx>
        <c:axId val="24929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9449856"/>
        <c:crosses val="autoZero"/>
        <c:crossBetween val="midCat"/>
      </c:valAx>
      <c:valAx>
        <c:axId val="249449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9297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9136264216972877E-2"/>
                  <c:y val="0.235694444444444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[1]Quesnel!$O$159:$O$166</c:f>
              <c:numCache>
                <c:formatCode>General</c:formatCode>
                <c:ptCount val="8"/>
                <c:pt idx="0">
                  <c:v>67</c:v>
                </c:pt>
                <c:pt idx="1">
                  <c:v>23</c:v>
                </c:pt>
                <c:pt idx="2">
                  <c:v>24</c:v>
                </c:pt>
                <c:pt idx="3">
                  <c:v>3986</c:v>
                </c:pt>
                <c:pt idx="4">
                  <c:v>41</c:v>
                </c:pt>
                <c:pt idx="5">
                  <c:v>482</c:v>
                </c:pt>
                <c:pt idx="6">
                  <c:v>1846</c:v>
                </c:pt>
                <c:pt idx="7">
                  <c:v>493</c:v>
                </c:pt>
              </c:numCache>
            </c:numRef>
          </c:xVal>
          <c:yVal>
            <c:numRef>
              <c:f>[1]Quesnel!$N$159:$N$166</c:f>
              <c:numCache>
                <c:formatCode>General</c:formatCode>
                <c:ptCount val="8"/>
                <c:pt idx="0">
                  <c:v>604146</c:v>
                </c:pt>
                <c:pt idx="1">
                  <c:v>121801</c:v>
                </c:pt>
                <c:pt idx="2">
                  <c:v>306977</c:v>
                </c:pt>
                <c:pt idx="3">
                  <c:v>2519390</c:v>
                </c:pt>
                <c:pt idx="4">
                  <c:v>67128</c:v>
                </c:pt>
                <c:pt idx="5">
                  <c:v>145779</c:v>
                </c:pt>
                <c:pt idx="6">
                  <c:v>2138731</c:v>
                </c:pt>
                <c:pt idx="7">
                  <c:v>1501863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A0-47F7-85A0-DAA43C8BD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883648"/>
        <c:axId val="1798867808"/>
      </c:scatterChart>
      <c:valAx>
        <c:axId val="17988836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preceding year AC1.1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67808"/>
        <c:crosses val="autoZero"/>
        <c:crossBetween val="midCat"/>
      </c:valAx>
      <c:valAx>
        <c:axId val="17988678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9136264216972877E-2"/>
                  <c:y val="0.235694444444444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[1]Quesnel!$O$159:$O$166</c:f>
              <c:numCache>
                <c:formatCode>General</c:formatCode>
                <c:ptCount val="8"/>
                <c:pt idx="0">
                  <c:v>67</c:v>
                </c:pt>
                <c:pt idx="1">
                  <c:v>23</c:v>
                </c:pt>
                <c:pt idx="2">
                  <c:v>24</c:v>
                </c:pt>
                <c:pt idx="3">
                  <c:v>3986</c:v>
                </c:pt>
                <c:pt idx="4">
                  <c:v>41</c:v>
                </c:pt>
                <c:pt idx="5">
                  <c:v>482</c:v>
                </c:pt>
                <c:pt idx="6">
                  <c:v>1846</c:v>
                </c:pt>
                <c:pt idx="7">
                  <c:v>493</c:v>
                </c:pt>
              </c:numCache>
            </c:numRef>
          </c:xVal>
          <c:yVal>
            <c:numRef>
              <c:f>[1]Quesnel!$N$159:$N$166</c:f>
              <c:numCache>
                <c:formatCode>General</c:formatCode>
                <c:ptCount val="8"/>
                <c:pt idx="0">
                  <c:v>604146</c:v>
                </c:pt>
                <c:pt idx="1">
                  <c:v>121801</c:v>
                </c:pt>
                <c:pt idx="2">
                  <c:v>306977</c:v>
                </c:pt>
                <c:pt idx="3">
                  <c:v>2519390</c:v>
                </c:pt>
                <c:pt idx="4">
                  <c:v>67128</c:v>
                </c:pt>
                <c:pt idx="5">
                  <c:v>145779</c:v>
                </c:pt>
                <c:pt idx="6">
                  <c:v>2138731</c:v>
                </c:pt>
                <c:pt idx="7">
                  <c:v>1501863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58-4AE1-8F94-F500E1BF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883648"/>
        <c:axId val="1798867808"/>
      </c:scatterChart>
      <c:valAx>
        <c:axId val="17988836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preceding year AC1.1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67808"/>
        <c:crosses val="autoZero"/>
        <c:crossBetween val="midCat"/>
      </c:valAx>
      <c:valAx>
        <c:axId val="17988678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81</xdr:row>
      <xdr:rowOff>118110</xdr:rowOff>
    </xdr:from>
    <xdr:to>
      <xdr:col>8</xdr:col>
      <xdr:colOff>327660</xdr:colOff>
      <xdr:row>96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E3F2C-A10F-42F2-A326-BEF773D48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</xdr:colOff>
      <xdr:row>98</xdr:row>
      <xdr:rowOff>11430</xdr:rowOff>
    </xdr:from>
    <xdr:to>
      <xdr:col>8</xdr:col>
      <xdr:colOff>350520</xdr:colOff>
      <xdr:row>113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6B988C-06E4-48BA-B262-71303B63C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81</xdr:row>
      <xdr:rowOff>0</xdr:rowOff>
    </xdr:from>
    <xdr:to>
      <xdr:col>17</xdr:col>
      <xdr:colOff>304800</xdr:colOff>
      <xdr:row>96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C6C80-42E7-45A3-A902-6C9E54AD8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116</xdr:row>
      <xdr:rowOff>0</xdr:rowOff>
    </xdr:from>
    <xdr:to>
      <xdr:col>8</xdr:col>
      <xdr:colOff>304800</xdr:colOff>
      <xdr:row>131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1BF090-9599-436F-BC20-5963F6E9C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552450</xdr:colOff>
      <xdr:row>139</xdr:row>
      <xdr:rowOff>147637</xdr:rowOff>
    </xdr:from>
    <xdr:to>
      <xdr:col>20</xdr:col>
      <xdr:colOff>247650</xdr:colOff>
      <xdr:row>154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921017-6E54-4111-9839-569E68B17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140</xdr:row>
      <xdr:rowOff>0</xdr:rowOff>
    </xdr:from>
    <xdr:to>
      <xdr:col>29</xdr:col>
      <xdr:colOff>304800</xdr:colOff>
      <xdr:row>154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7CD0D2-0C0A-40EC-80D0-8E99A89CE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176</xdr:row>
      <xdr:rowOff>0</xdr:rowOff>
    </xdr:from>
    <xdr:to>
      <xdr:col>20</xdr:col>
      <xdr:colOff>311293</xdr:colOff>
      <xdr:row>190</xdr:row>
      <xdr:rowOff>88631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5CDAAAD-5B53-4581-8C5E-72A341A4E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53375" y="33556575"/>
          <a:ext cx="4578493" cy="27556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fraser\Fraser2025.xlsx" TargetMode="External"/><Relationship Id="rId1" Type="http://schemas.openxmlformats.org/officeDocument/2006/relationships/externalLinkPath" Target="/Alec&amp;BarbsFiles/Alec/AlecScience/SalmonPrize/2025Prize/fraser/Fraser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Chilko"/>
      <sheetName val="LateStuart"/>
      <sheetName val="Quesnel"/>
      <sheetName val="Raft"/>
      <sheetName val="Stellako"/>
    </sheetNames>
    <sheetDataSet>
      <sheetData sheetId="0"/>
      <sheetData sheetId="1"/>
      <sheetData sheetId="2"/>
      <sheetData sheetId="3">
        <row r="4">
          <cell r="B4">
            <v>1952</v>
          </cell>
          <cell r="C4">
            <v>23587</v>
          </cell>
          <cell r="D4">
            <v>10.068450991783875</v>
          </cell>
        </row>
        <row r="5">
          <cell r="B5">
            <v>1953</v>
          </cell>
          <cell r="C5">
            <v>463443</v>
          </cell>
          <cell r="D5">
            <v>13.046438679079435</v>
          </cell>
        </row>
        <row r="6">
          <cell r="B6">
            <v>1954</v>
          </cell>
          <cell r="C6">
            <v>2014</v>
          </cell>
          <cell r="D6">
            <v>7.6078780732785072</v>
          </cell>
        </row>
        <row r="7">
          <cell r="B7">
            <v>1955</v>
          </cell>
          <cell r="C7">
            <v>413</v>
          </cell>
          <cell r="D7">
            <v>6.0234475929610332</v>
          </cell>
        </row>
        <row r="8">
          <cell r="B8">
            <v>1956</v>
          </cell>
          <cell r="C8">
            <v>6464</v>
          </cell>
          <cell r="D8">
            <v>8.7740036002009312</v>
          </cell>
        </row>
        <row r="9">
          <cell r="B9">
            <v>1957</v>
          </cell>
          <cell r="C9">
            <v>604123</v>
          </cell>
          <cell r="D9">
            <v>13.311533098568763</v>
          </cell>
        </row>
        <row r="10">
          <cell r="B10">
            <v>1958</v>
          </cell>
          <cell r="C10">
            <v>10912</v>
          </cell>
          <cell r="D10">
            <v>9.297618380083243</v>
          </cell>
        </row>
        <row r="11">
          <cell r="B11">
            <v>1959</v>
          </cell>
          <cell r="C11">
            <v>198</v>
          </cell>
          <cell r="D11">
            <v>5.2882670306945352</v>
          </cell>
        </row>
        <row r="12">
          <cell r="B12">
            <v>1960</v>
          </cell>
          <cell r="C12">
            <v>10894</v>
          </cell>
          <cell r="D12">
            <v>9.29596745794362</v>
          </cell>
        </row>
        <row r="13">
          <cell r="B13">
            <v>1961</v>
          </cell>
          <cell r="C13">
            <v>989607</v>
          </cell>
          <cell r="D13">
            <v>13.805063173600475</v>
          </cell>
        </row>
        <row r="14">
          <cell r="B14">
            <v>1962</v>
          </cell>
          <cell r="C14">
            <v>3536</v>
          </cell>
          <cell r="D14">
            <v>8.1707514237575349</v>
          </cell>
        </row>
        <row r="15">
          <cell r="B15">
            <v>1963</v>
          </cell>
          <cell r="C15">
            <v>194</v>
          </cell>
          <cell r="D15">
            <v>5.2678581590633282</v>
          </cell>
        </row>
        <row r="16">
          <cell r="B16">
            <v>1964</v>
          </cell>
          <cell r="C16">
            <v>45950</v>
          </cell>
          <cell r="D16">
            <v>10.735309127783832</v>
          </cell>
        </row>
        <row r="17">
          <cell r="B17">
            <v>1965</v>
          </cell>
          <cell r="C17">
            <v>1195837</v>
          </cell>
          <cell r="D17">
            <v>13.994356916579294</v>
          </cell>
        </row>
        <row r="18">
          <cell r="B18">
            <v>1966</v>
          </cell>
          <cell r="C18">
            <v>7859</v>
          </cell>
          <cell r="D18">
            <v>8.9694146508661756</v>
          </cell>
        </row>
        <row r="19">
          <cell r="B19">
            <v>1967</v>
          </cell>
          <cell r="C19">
            <v>956</v>
          </cell>
          <cell r="D19">
            <v>6.8627579130514009</v>
          </cell>
        </row>
        <row r="20">
          <cell r="B20">
            <v>1968</v>
          </cell>
          <cell r="C20">
            <v>16973</v>
          </cell>
          <cell r="D20">
            <v>9.7393791251615323</v>
          </cell>
        </row>
        <row r="21">
          <cell r="B21">
            <v>1969</v>
          </cell>
          <cell r="C21">
            <v>1652135</v>
          </cell>
          <cell r="D21">
            <v>14.317578948852564</v>
          </cell>
        </row>
        <row r="22">
          <cell r="B22">
            <v>1970</v>
          </cell>
          <cell r="C22">
            <v>7953</v>
          </cell>
          <cell r="D22">
            <v>8.9813044949571346</v>
          </cell>
        </row>
        <row r="23">
          <cell r="B23">
            <v>1971</v>
          </cell>
          <cell r="C23">
            <v>2146</v>
          </cell>
          <cell r="D23">
            <v>7.6713609231906439</v>
          </cell>
        </row>
        <row r="24">
          <cell r="B24">
            <v>1972</v>
          </cell>
          <cell r="C24">
            <v>6910</v>
          </cell>
          <cell r="D24">
            <v>8.8407249167617152</v>
          </cell>
        </row>
        <row r="25">
          <cell r="B25">
            <v>1973</v>
          </cell>
          <cell r="C25">
            <v>1626582</v>
          </cell>
          <cell r="D25">
            <v>14.301991438626287</v>
          </cell>
        </row>
        <row r="26">
          <cell r="B26">
            <v>1974</v>
          </cell>
          <cell r="C26">
            <v>28107</v>
          </cell>
          <cell r="D26">
            <v>10.243773934619298</v>
          </cell>
        </row>
        <row r="27">
          <cell r="B27">
            <v>1975</v>
          </cell>
          <cell r="C27">
            <v>756</v>
          </cell>
          <cell r="D27">
            <v>6.6280413761795334</v>
          </cell>
        </row>
        <row r="28">
          <cell r="B28">
            <v>1976</v>
          </cell>
          <cell r="C28">
            <v>6497</v>
          </cell>
          <cell r="D28">
            <v>8.7790958108805306</v>
          </cell>
        </row>
        <row r="29">
          <cell r="B29">
            <v>1977</v>
          </cell>
          <cell r="C29">
            <v>2326885</v>
          </cell>
          <cell r="D29">
            <v>14.660041021209338</v>
          </cell>
        </row>
        <row r="30">
          <cell r="B30">
            <v>1978</v>
          </cell>
          <cell r="C30">
            <v>33233</v>
          </cell>
          <cell r="D30">
            <v>10.411298637141247</v>
          </cell>
        </row>
        <row r="31">
          <cell r="B31">
            <v>1979</v>
          </cell>
          <cell r="C31">
            <v>3564</v>
          </cell>
          <cell r="D31">
            <v>8.1786387885906997</v>
          </cell>
        </row>
        <row r="32">
          <cell r="B32">
            <v>1980</v>
          </cell>
          <cell r="C32">
            <v>9679</v>
          </cell>
          <cell r="D32">
            <v>9.1777138691490894</v>
          </cell>
        </row>
        <row r="33">
          <cell r="B33">
            <v>1981</v>
          </cell>
          <cell r="C33">
            <v>3810928</v>
          </cell>
          <cell r="D33">
            <v>15.153383286998441</v>
          </cell>
        </row>
        <row r="34">
          <cell r="B34">
            <v>1982</v>
          </cell>
          <cell r="C34">
            <v>245363</v>
          </cell>
          <cell r="D34">
            <v>12.410494025645241</v>
          </cell>
        </row>
        <row r="35">
          <cell r="B35">
            <v>1983</v>
          </cell>
          <cell r="C35">
            <v>12612</v>
          </cell>
          <cell r="D35">
            <v>9.4424040206649522</v>
          </cell>
        </row>
        <row r="36">
          <cell r="B36">
            <v>1984</v>
          </cell>
          <cell r="C36">
            <v>25962</v>
          </cell>
          <cell r="D36">
            <v>10.16438920945294</v>
          </cell>
        </row>
        <row r="37">
          <cell r="B37">
            <v>1985</v>
          </cell>
          <cell r="C37">
            <v>9553856</v>
          </cell>
          <cell r="D37">
            <v>16.072455400597399</v>
          </cell>
        </row>
        <row r="38">
          <cell r="B38">
            <v>1986</v>
          </cell>
          <cell r="C38">
            <v>712295</v>
          </cell>
          <cell r="D38">
            <v>13.476247430427559</v>
          </cell>
        </row>
        <row r="39">
          <cell r="B39">
            <v>1987</v>
          </cell>
          <cell r="C39">
            <v>87912</v>
          </cell>
          <cell r="D39">
            <v>11.38409159312676</v>
          </cell>
        </row>
        <row r="40">
          <cell r="B40">
            <v>1988</v>
          </cell>
          <cell r="C40">
            <v>46893</v>
          </cell>
          <cell r="D40">
            <v>10.755623689563581</v>
          </cell>
        </row>
        <row r="41">
          <cell r="B41">
            <v>1989</v>
          </cell>
          <cell r="C41">
            <v>12161405</v>
          </cell>
          <cell r="D41">
            <v>16.313777970590902</v>
          </cell>
        </row>
        <row r="42">
          <cell r="B42">
            <v>1990</v>
          </cell>
          <cell r="C42">
            <v>2716516</v>
          </cell>
          <cell r="D42">
            <v>14.814860734888267</v>
          </cell>
        </row>
        <row r="43">
          <cell r="B43">
            <v>1991</v>
          </cell>
          <cell r="C43">
            <v>288545</v>
          </cell>
          <cell r="D43">
            <v>12.572606331969574</v>
          </cell>
        </row>
        <row r="44">
          <cell r="B44">
            <v>1992</v>
          </cell>
          <cell r="C44">
            <v>96025</v>
          </cell>
          <cell r="D44">
            <v>11.472363853214105</v>
          </cell>
        </row>
        <row r="45">
          <cell r="B45">
            <v>1993</v>
          </cell>
          <cell r="C45">
            <v>10340080</v>
          </cell>
          <cell r="D45">
            <v>16.151538163958534</v>
          </cell>
        </row>
        <row r="46">
          <cell r="B46">
            <v>1994</v>
          </cell>
          <cell r="C46">
            <v>3236300</v>
          </cell>
          <cell r="D46">
            <v>14.989941259909223</v>
          </cell>
        </row>
        <row r="47">
          <cell r="B47">
            <v>1995</v>
          </cell>
          <cell r="C47">
            <v>436433</v>
          </cell>
          <cell r="D47">
            <v>12.986390148780545</v>
          </cell>
        </row>
        <row r="48">
          <cell r="B48">
            <v>1996</v>
          </cell>
          <cell r="C48">
            <v>82090</v>
          </cell>
          <cell r="D48">
            <v>11.315571485342312</v>
          </cell>
        </row>
        <row r="49">
          <cell r="B49">
            <v>1997</v>
          </cell>
          <cell r="C49">
            <v>6446284</v>
          </cell>
          <cell r="D49">
            <v>15.679014398717728</v>
          </cell>
        </row>
        <row r="50">
          <cell r="B50">
            <v>1998</v>
          </cell>
          <cell r="C50">
            <v>2666551</v>
          </cell>
          <cell r="D50">
            <v>14.796296435035277</v>
          </cell>
        </row>
        <row r="51">
          <cell r="B51">
            <v>1999</v>
          </cell>
          <cell r="C51">
            <v>332450</v>
          </cell>
          <cell r="D51">
            <v>12.7142447518306</v>
          </cell>
        </row>
        <row r="52">
          <cell r="B52">
            <v>2000</v>
          </cell>
          <cell r="C52">
            <v>117802</v>
          </cell>
          <cell r="D52">
            <v>11.676760527984193</v>
          </cell>
        </row>
        <row r="53">
          <cell r="B53">
            <v>2001</v>
          </cell>
          <cell r="C53">
            <v>4381602</v>
          </cell>
          <cell r="D53">
            <v>15.292924968905808</v>
          </cell>
        </row>
        <row r="54">
          <cell r="B54">
            <v>2002</v>
          </cell>
          <cell r="C54">
            <v>4800147</v>
          </cell>
          <cell r="D54">
            <v>15.384157100409183</v>
          </cell>
        </row>
        <row r="55">
          <cell r="B55">
            <v>2003</v>
          </cell>
          <cell r="C55">
            <v>853991</v>
          </cell>
          <cell r="D55">
            <v>13.657675934073488</v>
          </cell>
        </row>
        <row r="56">
          <cell r="B56">
            <v>2004</v>
          </cell>
          <cell r="C56">
            <v>271722</v>
          </cell>
          <cell r="D56">
            <v>12.51253476379633</v>
          </cell>
        </row>
        <row r="57">
          <cell r="B57">
            <v>2005</v>
          </cell>
          <cell r="C57">
            <v>3592160</v>
          </cell>
          <cell r="D57">
            <v>15.094264250842043</v>
          </cell>
        </row>
        <row r="58">
          <cell r="B58">
            <v>2006</v>
          </cell>
          <cell r="C58">
            <v>723165</v>
          </cell>
          <cell r="D58">
            <v>13.49139269087128</v>
          </cell>
        </row>
        <row r="59">
          <cell r="B59">
            <v>2007</v>
          </cell>
          <cell r="C59">
            <v>119068</v>
          </cell>
          <cell r="D59">
            <v>11.687450037461959</v>
          </cell>
        </row>
        <row r="60">
          <cell r="B60">
            <v>2008</v>
          </cell>
          <cell r="C60">
            <v>68161</v>
          </cell>
          <cell r="D60">
            <v>11.129627832757077</v>
          </cell>
        </row>
        <row r="61">
          <cell r="B61">
            <v>2009</v>
          </cell>
          <cell r="C61">
            <v>203934</v>
          </cell>
          <cell r="D61">
            <v>12.225551691067658</v>
          </cell>
        </row>
        <row r="62">
          <cell r="B62">
            <v>2010</v>
          </cell>
          <cell r="C62">
            <v>604146</v>
          </cell>
          <cell r="D62">
            <v>13.311571169561237</v>
          </cell>
          <cell r="E62">
            <v>1.0860194784935793</v>
          </cell>
        </row>
        <row r="63">
          <cell r="B63">
            <v>2011</v>
          </cell>
          <cell r="C63">
            <v>121801</v>
          </cell>
          <cell r="D63">
            <v>11.710143844404854</v>
          </cell>
          <cell r="E63">
            <v>-1.6014273251563829</v>
          </cell>
        </row>
        <row r="64">
          <cell r="B64">
            <v>2012</v>
          </cell>
          <cell r="C64">
            <v>1416</v>
          </cell>
          <cell r="D64">
            <v>7.255591274253665</v>
          </cell>
          <cell r="E64">
            <v>-4.454552570151189</v>
          </cell>
        </row>
        <row r="65">
          <cell r="B65">
            <v>2013</v>
          </cell>
          <cell r="C65">
            <v>306977</v>
          </cell>
          <cell r="D65">
            <v>12.634528105196022</v>
          </cell>
          <cell r="E65">
            <v>5.3789368309423571</v>
          </cell>
        </row>
        <row r="66">
          <cell r="B66">
            <v>2014</v>
          </cell>
          <cell r="C66">
            <v>2519390</v>
          </cell>
          <cell r="D66">
            <v>14.739527366693446</v>
          </cell>
          <cell r="E66">
            <v>2.104999261497424</v>
          </cell>
        </row>
        <row r="67">
          <cell r="B67">
            <v>2015</v>
          </cell>
          <cell r="C67">
            <v>67128</v>
          </cell>
          <cell r="D67">
            <v>11.114356523549905</v>
          </cell>
          <cell r="E67">
            <v>-3.6251708431435414</v>
          </cell>
        </row>
        <row r="68">
          <cell r="B68">
            <v>2016</v>
          </cell>
          <cell r="C68">
            <v>4761</v>
          </cell>
          <cell r="D68">
            <v>8.4682130091945194</v>
          </cell>
          <cell r="E68">
            <v>-2.6461435143553853</v>
          </cell>
        </row>
        <row r="69">
          <cell r="B69">
            <v>2017</v>
          </cell>
          <cell r="C69">
            <v>145779</v>
          </cell>
          <cell r="D69">
            <v>11.889847055261146</v>
          </cell>
          <cell r="E69">
            <v>3.421634046066627</v>
          </cell>
        </row>
        <row r="70">
          <cell r="B70">
            <v>2018</v>
          </cell>
          <cell r="C70">
            <v>2138731</v>
          </cell>
          <cell r="D70">
            <v>14.575723220455334</v>
          </cell>
          <cell r="E70">
            <v>2.6858761651941876</v>
          </cell>
        </row>
        <row r="71">
          <cell r="B71">
            <v>2019</v>
          </cell>
          <cell r="C71">
            <v>45495</v>
          </cell>
          <cell r="D71">
            <v>10.72535770879079</v>
          </cell>
          <cell r="E71">
            <v>-3.8503655116645437</v>
          </cell>
        </row>
        <row r="72">
          <cell r="B72">
            <v>2020</v>
          </cell>
          <cell r="C72">
            <v>1475</v>
          </cell>
          <cell r="D72">
            <v>7.2964132687739198</v>
          </cell>
          <cell r="E72">
            <v>-3.4289444400168705</v>
          </cell>
        </row>
        <row r="73">
          <cell r="B73">
            <v>2021</v>
          </cell>
          <cell r="C73">
            <v>121552</v>
          </cell>
          <cell r="D73">
            <v>11.708097433743003</v>
          </cell>
          <cell r="E73">
            <v>4.411684164969083</v>
          </cell>
        </row>
        <row r="74">
          <cell r="B74">
            <v>2022</v>
          </cell>
          <cell r="C74">
            <v>1501863</v>
          </cell>
          <cell r="D74">
            <v>14.222216895428465</v>
          </cell>
          <cell r="E74">
            <v>2.5141194616854623</v>
          </cell>
        </row>
        <row r="75">
          <cell r="B75">
            <v>2023</v>
          </cell>
          <cell r="C75">
            <v>122000</v>
          </cell>
          <cell r="D75">
            <v>11.711776323715394</v>
          </cell>
          <cell r="E75">
            <v>-2.5104405717130707</v>
          </cell>
        </row>
        <row r="76">
          <cell r="B76">
            <v>2024</v>
          </cell>
          <cell r="C76">
            <v>5430</v>
          </cell>
          <cell r="D76">
            <v>8.5996944129279811</v>
          </cell>
          <cell r="E76">
            <v>-3.1120819107874134</v>
          </cell>
        </row>
        <row r="159">
          <cell r="N159">
            <v>604146</v>
          </cell>
          <cell r="O159">
            <v>67</v>
          </cell>
        </row>
        <row r="160">
          <cell r="N160">
            <v>121801</v>
          </cell>
          <cell r="O160">
            <v>23</v>
          </cell>
        </row>
        <row r="161">
          <cell r="N161">
            <v>306977</v>
          </cell>
          <cell r="O161">
            <v>24</v>
          </cell>
        </row>
        <row r="162">
          <cell r="N162">
            <v>2519390</v>
          </cell>
          <cell r="O162">
            <v>3986</v>
          </cell>
        </row>
        <row r="163">
          <cell r="N163">
            <v>67128</v>
          </cell>
          <cell r="O163">
            <v>41</v>
          </cell>
        </row>
        <row r="164">
          <cell r="N164">
            <v>145779</v>
          </cell>
          <cell r="O164">
            <v>482</v>
          </cell>
        </row>
        <row r="165">
          <cell r="N165">
            <v>2138731</v>
          </cell>
          <cell r="O165">
            <v>1846</v>
          </cell>
        </row>
        <row r="166">
          <cell r="N166">
            <v>1501863</v>
          </cell>
          <cell r="O166">
            <v>493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7165-007A-413E-9E66-C401958A41F8}">
  <dimension ref="A1:U216"/>
  <sheetViews>
    <sheetView tabSelected="1" topLeftCell="A39" workbookViewId="0">
      <selection activeCell="X181" sqref="X181"/>
    </sheetView>
  </sheetViews>
  <sheetFormatPr defaultRowHeight="15" x14ac:dyDescent="0.25"/>
  <cols>
    <col min="11" max="11" width="9.570312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B2" s="1"/>
      <c r="C2" s="1" t="s">
        <v>2</v>
      </c>
    </row>
    <row r="3" spans="1:10" x14ac:dyDescent="0.25">
      <c r="B3" s="1" t="s">
        <v>3</v>
      </c>
      <c r="C3" s="1" t="s">
        <v>4</v>
      </c>
      <c r="D3" t="s">
        <v>5</v>
      </c>
      <c r="E3" t="s">
        <v>6</v>
      </c>
    </row>
    <row r="4" spans="1:10" x14ac:dyDescent="0.25">
      <c r="B4">
        <v>1952</v>
      </c>
      <c r="C4">
        <v>23587</v>
      </c>
      <c r="D4">
        <f t="shared" ref="D4:D67" si="0">LN(C4)</f>
        <v>10.068450991783875</v>
      </c>
    </row>
    <row r="5" spans="1:10" x14ac:dyDescent="0.25">
      <c r="B5">
        <v>1953</v>
      </c>
      <c r="C5">
        <v>463443</v>
      </c>
      <c r="D5">
        <f t="shared" si="0"/>
        <v>13.046438679079435</v>
      </c>
      <c r="E5">
        <f>D5-D4</f>
        <v>2.9779876872955597</v>
      </c>
    </row>
    <row r="6" spans="1:10" x14ac:dyDescent="0.25">
      <c r="B6">
        <v>1954</v>
      </c>
      <c r="C6">
        <v>2014</v>
      </c>
      <c r="D6">
        <f t="shared" si="0"/>
        <v>7.6078780732785072</v>
      </c>
      <c r="E6">
        <f t="shared" ref="E6:E69" si="1">D6-D5</f>
        <v>-5.4385606058009275</v>
      </c>
    </row>
    <row r="7" spans="1:10" x14ac:dyDescent="0.25">
      <c r="B7">
        <v>1955</v>
      </c>
      <c r="C7">
        <v>413</v>
      </c>
      <c r="D7">
        <f t="shared" si="0"/>
        <v>6.0234475929610332</v>
      </c>
      <c r="E7">
        <f t="shared" si="1"/>
        <v>-1.584430480317474</v>
      </c>
    </row>
    <row r="8" spans="1:10" ht="15.75" thickBot="1" x14ac:dyDescent="0.3">
      <c r="B8">
        <v>1956</v>
      </c>
      <c r="C8">
        <v>6464</v>
      </c>
      <c r="D8" s="2">
        <f t="shared" si="0"/>
        <v>8.7740036002009312</v>
      </c>
      <c r="E8" s="2">
        <f t="shared" si="1"/>
        <v>2.750556007239898</v>
      </c>
      <c r="F8" s="2"/>
      <c r="G8" s="2"/>
      <c r="H8" s="2"/>
      <c r="I8" s="2"/>
      <c r="J8" s="2"/>
    </row>
    <row r="9" spans="1:10" x14ac:dyDescent="0.25">
      <c r="B9">
        <v>1957</v>
      </c>
      <c r="C9">
        <v>604123</v>
      </c>
      <c r="D9">
        <f t="shared" si="0"/>
        <v>13.311533098568763</v>
      </c>
      <c r="E9">
        <f t="shared" si="1"/>
        <v>4.5375294983678316</v>
      </c>
    </row>
    <row r="10" spans="1:10" x14ac:dyDescent="0.25">
      <c r="B10">
        <v>1958</v>
      </c>
      <c r="C10">
        <v>10912</v>
      </c>
      <c r="D10">
        <f t="shared" si="0"/>
        <v>9.297618380083243</v>
      </c>
      <c r="E10">
        <f t="shared" si="1"/>
        <v>-4.0139147184855197</v>
      </c>
    </row>
    <row r="11" spans="1:10" x14ac:dyDescent="0.25">
      <c r="B11">
        <v>1959</v>
      </c>
      <c r="C11">
        <v>198</v>
      </c>
      <c r="D11">
        <f t="shared" si="0"/>
        <v>5.2882670306945352</v>
      </c>
      <c r="E11">
        <f t="shared" si="1"/>
        <v>-4.0093513493887079</v>
      </c>
    </row>
    <row r="12" spans="1:10" x14ac:dyDescent="0.25">
      <c r="B12">
        <v>1960</v>
      </c>
      <c r="C12">
        <v>10894</v>
      </c>
      <c r="D12">
        <f t="shared" si="0"/>
        <v>9.29596745794362</v>
      </c>
      <c r="E12">
        <f t="shared" si="1"/>
        <v>4.0077004272490848</v>
      </c>
    </row>
    <row r="13" spans="1:10" x14ac:dyDescent="0.25">
      <c r="B13">
        <v>1961</v>
      </c>
      <c r="C13">
        <v>989607</v>
      </c>
      <c r="D13">
        <f t="shared" si="0"/>
        <v>13.805063173600475</v>
      </c>
      <c r="E13">
        <f t="shared" si="1"/>
        <v>4.509095715656855</v>
      </c>
    </row>
    <row r="14" spans="1:10" x14ac:dyDescent="0.25">
      <c r="B14">
        <v>1962</v>
      </c>
      <c r="C14">
        <v>3536</v>
      </c>
      <c r="D14">
        <f t="shared" si="0"/>
        <v>8.1707514237575349</v>
      </c>
      <c r="E14">
        <f t="shared" si="1"/>
        <v>-5.63431174984294</v>
      </c>
    </row>
    <row r="15" spans="1:10" x14ac:dyDescent="0.25">
      <c r="B15">
        <v>1963</v>
      </c>
      <c r="C15">
        <v>194</v>
      </c>
      <c r="D15">
        <f t="shared" si="0"/>
        <v>5.2678581590633282</v>
      </c>
      <c r="E15">
        <f t="shared" si="1"/>
        <v>-2.9028932646942067</v>
      </c>
    </row>
    <row r="16" spans="1:10" x14ac:dyDescent="0.25">
      <c r="B16">
        <v>1964</v>
      </c>
      <c r="C16">
        <v>45950</v>
      </c>
      <c r="D16">
        <f t="shared" si="0"/>
        <v>10.735309127783832</v>
      </c>
      <c r="E16">
        <f t="shared" si="1"/>
        <v>5.4674509687205042</v>
      </c>
    </row>
    <row r="17" spans="2:11" x14ac:dyDescent="0.25">
      <c r="B17">
        <v>1965</v>
      </c>
      <c r="C17">
        <v>1195837</v>
      </c>
      <c r="D17">
        <f t="shared" si="0"/>
        <v>13.994356916579294</v>
      </c>
      <c r="E17">
        <f t="shared" si="1"/>
        <v>3.2590477887954616</v>
      </c>
    </row>
    <row r="18" spans="2:11" x14ac:dyDescent="0.25">
      <c r="B18">
        <v>1966</v>
      </c>
      <c r="C18">
        <v>7859</v>
      </c>
      <c r="D18">
        <f t="shared" si="0"/>
        <v>8.9694146508661756</v>
      </c>
      <c r="E18">
        <f t="shared" si="1"/>
        <v>-5.0249422657131184</v>
      </c>
    </row>
    <row r="19" spans="2:11" x14ac:dyDescent="0.25">
      <c r="B19">
        <v>1967</v>
      </c>
      <c r="C19">
        <v>956</v>
      </c>
      <c r="D19">
        <f t="shared" si="0"/>
        <v>6.8627579130514009</v>
      </c>
      <c r="E19">
        <f t="shared" si="1"/>
        <v>-2.1066567378147747</v>
      </c>
    </row>
    <row r="20" spans="2:11" x14ac:dyDescent="0.25">
      <c r="B20">
        <v>1968</v>
      </c>
      <c r="C20">
        <v>16973</v>
      </c>
      <c r="D20" s="3">
        <f t="shared" si="0"/>
        <v>9.7393791251615323</v>
      </c>
      <c r="E20" s="3">
        <f t="shared" si="1"/>
        <v>2.8766212121101313</v>
      </c>
      <c r="F20" s="3"/>
      <c r="G20" s="3"/>
      <c r="H20" s="3"/>
      <c r="I20" s="3"/>
      <c r="J20" s="3"/>
      <c r="K20" s="4"/>
    </row>
    <row r="21" spans="2:11" x14ac:dyDescent="0.25">
      <c r="B21">
        <v>1969</v>
      </c>
      <c r="C21">
        <v>1652135</v>
      </c>
      <c r="D21">
        <f t="shared" si="0"/>
        <v>14.317578948852564</v>
      </c>
      <c r="E21">
        <f t="shared" si="1"/>
        <v>4.5781998236910315</v>
      </c>
    </row>
    <row r="22" spans="2:11" x14ac:dyDescent="0.25">
      <c r="B22">
        <v>1970</v>
      </c>
      <c r="C22">
        <v>7953</v>
      </c>
      <c r="D22">
        <f t="shared" si="0"/>
        <v>8.9813044949571346</v>
      </c>
      <c r="E22">
        <f t="shared" si="1"/>
        <v>-5.3362744538954292</v>
      </c>
    </row>
    <row r="23" spans="2:11" x14ac:dyDescent="0.25">
      <c r="B23">
        <v>1971</v>
      </c>
      <c r="C23">
        <v>2146</v>
      </c>
      <c r="D23">
        <f t="shared" si="0"/>
        <v>7.6713609231906439</v>
      </c>
      <c r="E23">
        <f t="shared" si="1"/>
        <v>-1.3099435717664907</v>
      </c>
    </row>
    <row r="24" spans="2:11" x14ac:dyDescent="0.25">
      <c r="B24">
        <v>1972</v>
      </c>
      <c r="C24">
        <v>6910</v>
      </c>
      <c r="D24">
        <f t="shared" si="0"/>
        <v>8.8407249167617152</v>
      </c>
      <c r="E24">
        <f t="shared" si="1"/>
        <v>1.1693639935710713</v>
      </c>
    </row>
    <row r="25" spans="2:11" x14ac:dyDescent="0.25">
      <c r="B25">
        <v>1973</v>
      </c>
      <c r="C25">
        <v>1626582</v>
      </c>
      <c r="D25">
        <f t="shared" si="0"/>
        <v>14.301991438626287</v>
      </c>
      <c r="E25">
        <f t="shared" si="1"/>
        <v>5.4612665218645713</v>
      </c>
    </row>
    <row r="26" spans="2:11" x14ac:dyDescent="0.25">
      <c r="B26">
        <v>1974</v>
      </c>
      <c r="C26">
        <v>28107</v>
      </c>
      <c r="D26">
        <f t="shared" si="0"/>
        <v>10.243773934619298</v>
      </c>
      <c r="E26">
        <f t="shared" si="1"/>
        <v>-4.0582175040069881</v>
      </c>
    </row>
    <row r="27" spans="2:11" x14ac:dyDescent="0.25">
      <c r="B27">
        <v>1975</v>
      </c>
      <c r="C27">
        <v>756</v>
      </c>
      <c r="D27">
        <f t="shared" si="0"/>
        <v>6.6280413761795334</v>
      </c>
      <c r="E27">
        <f t="shared" si="1"/>
        <v>-3.615732558439765</v>
      </c>
    </row>
    <row r="28" spans="2:11" x14ac:dyDescent="0.25">
      <c r="B28">
        <v>1976</v>
      </c>
      <c r="C28">
        <v>6497</v>
      </c>
      <c r="D28">
        <f t="shared" si="0"/>
        <v>8.7790958108805306</v>
      </c>
      <c r="E28">
        <f t="shared" si="1"/>
        <v>2.1510544347009972</v>
      </c>
    </row>
    <row r="29" spans="2:11" x14ac:dyDescent="0.25">
      <c r="B29">
        <v>1977</v>
      </c>
      <c r="C29">
        <v>2326885</v>
      </c>
      <c r="D29">
        <f t="shared" si="0"/>
        <v>14.660041021209338</v>
      </c>
      <c r="E29">
        <f t="shared" si="1"/>
        <v>5.8809452103288073</v>
      </c>
    </row>
    <row r="30" spans="2:11" x14ac:dyDescent="0.25">
      <c r="B30">
        <v>1978</v>
      </c>
      <c r="C30">
        <v>33233</v>
      </c>
      <c r="D30">
        <f t="shared" si="0"/>
        <v>10.411298637141247</v>
      </c>
      <c r="E30">
        <f t="shared" si="1"/>
        <v>-4.2487423840680911</v>
      </c>
    </row>
    <row r="31" spans="2:11" x14ac:dyDescent="0.25">
      <c r="B31">
        <v>1979</v>
      </c>
      <c r="C31">
        <v>3564</v>
      </c>
      <c r="D31">
        <f t="shared" si="0"/>
        <v>8.1786387885906997</v>
      </c>
      <c r="E31">
        <f t="shared" si="1"/>
        <v>-2.2326598485505471</v>
      </c>
    </row>
    <row r="32" spans="2:11" x14ac:dyDescent="0.25">
      <c r="B32">
        <v>1980</v>
      </c>
      <c r="C32">
        <v>9679</v>
      </c>
      <c r="D32">
        <f t="shared" si="0"/>
        <v>9.1777138691490894</v>
      </c>
      <c r="E32">
        <f t="shared" si="1"/>
        <v>0.99907508055838967</v>
      </c>
    </row>
    <row r="33" spans="2:5" x14ac:dyDescent="0.25">
      <c r="B33">
        <v>1981</v>
      </c>
      <c r="C33">
        <v>3810928</v>
      </c>
      <c r="D33">
        <f t="shared" si="0"/>
        <v>15.153383286998441</v>
      </c>
      <c r="E33">
        <f t="shared" si="1"/>
        <v>5.9756694178493515</v>
      </c>
    </row>
    <row r="34" spans="2:5" x14ac:dyDescent="0.25">
      <c r="B34">
        <v>1982</v>
      </c>
      <c r="C34">
        <v>245363</v>
      </c>
      <c r="D34">
        <f t="shared" si="0"/>
        <v>12.410494025645241</v>
      </c>
      <c r="E34">
        <f t="shared" si="1"/>
        <v>-2.7428892613532003</v>
      </c>
    </row>
    <row r="35" spans="2:5" x14ac:dyDescent="0.25">
      <c r="B35">
        <v>1983</v>
      </c>
      <c r="C35">
        <v>12612</v>
      </c>
      <c r="D35">
        <f t="shared" si="0"/>
        <v>9.4424040206649522</v>
      </c>
      <c r="E35">
        <f t="shared" si="1"/>
        <v>-2.9680900049802883</v>
      </c>
    </row>
    <row r="36" spans="2:5" x14ac:dyDescent="0.25">
      <c r="B36">
        <v>1984</v>
      </c>
      <c r="C36">
        <v>25962</v>
      </c>
      <c r="D36">
        <f t="shared" si="0"/>
        <v>10.16438920945294</v>
      </c>
      <c r="E36">
        <f t="shared" si="1"/>
        <v>0.72198518878798801</v>
      </c>
    </row>
    <row r="37" spans="2:5" x14ac:dyDescent="0.25">
      <c r="B37">
        <v>1985</v>
      </c>
      <c r="C37">
        <v>9553856</v>
      </c>
      <c r="D37">
        <f t="shared" si="0"/>
        <v>16.072455400597399</v>
      </c>
      <c r="E37">
        <f t="shared" si="1"/>
        <v>5.9080661911444583</v>
      </c>
    </row>
    <row r="38" spans="2:5" x14ac:dyDescent="0.25">
      <c r="B38">
        <v>1986</v>
      </c>
      <c r="C38">
        <v>712295</v>
      </c>
      <c r="D38">
        <f t="shared" si="0"/>
        <v>13.476247430427559</v>
      </c>
      <c r="E38">
        <f t="shared" si="1"/>
        <v>-2.5962079701698393</v>
      </c>
    </row>
    <row r="39" spans="2:5" x14ac:dyDescent="0.25">
      <c r="B39">
        <v>1987</v>
      </c>
      <c r="C39">
        <v>87912</v>
      </c>
      <c r="D39">
        <f t="shared" si="0"/>
        <v>11.38409159312676</v>
      </c>
      <c r="E39">
        <f t="shared" si="1"/>
        <v>-2.0921558373007993</v>
      </c>
    </row>
    <row r="40" spans="2:5" x14ac:dyDescent="0.25">
      <c r="B40">
        <v>1988</v>
      </c>
      <c r="C40">
        <v>46893</v>
      </c>
      <c r="D40">
        <f t="shared" si="0"/>
        <v>10.755623689563581</v>
      </c>
      <c r="E40">
        <f t="shared" si="1"/>
        <v>-0.62846790356317861</v>
      </c>
    </row>
    <row r="41" spans="2:5" x14ac:dyDescent="0.25">
      <c r="B41">
        <v>1989</v>
      </c>
      <c r="C41">
        <v>12161405</v>
      </c>
      <c r="D41">
        <f t="shared" si="0"/>
        <v>16.313777970590902</v>
      </c>
      <c r="E41">
        <f t="shared" si="1"/>
        <v>5.5581542810273206</v>
      </c>
    </row>
    <row r="42" spans="2:5" x14ac:dyDescent="0.25">
      <c r="B42">
        <v>1990</v>
      </c>
      <c r="C42">
        <v>2716516</v>
      </c>
      <c r="D42">
        <f t="shared" si="0"/>
        <v>14.814860734888267</v>
      </c>
      <c r="E42">
        <f t="shared" si="1"/>
        <v>-1.4989172357026348</v>
      </c>
    </row>
    <row r="43" spans="2:5" x14ac:dyDescent="0.25">
      <c r="B43">
        <v>1991</v>
      </c>
      <c r="C43">
        <v>288545</v>
      </c>
      <c r="D43">
        <f t="shared" si="0"/>
        <v>12.572606331969574</v>
      </c>
      <c r="E43">
        <f t="shared" si="1"/>
        <v>-2.242254402918693</v>
      </c>
    </row>
    <row r="44" spans="2:5" x14ac:dyDescent="0.25">
      <c r="B44">
        <v>1992</v>
      </c>
      <c r="C44">
        <v>96025</v>
      </c>
      <c r="D44">
        <f t="shared" si="0"/>
        <v>11.472363853214105</v>
      </c>
      <c r="E44">
        <f t="shared" si="1"/>
        <v>-1.1002424787554688</v>
      </c>
    </row>
    <row r="45" spans="2:5" x14ac:dyDescent="0.25">
      <c r="B45">
        <v>1993</v>
      </c>
      <c r="C45">
        <v>10340080</v>
      </c>
      <c r="D45">
        <f t="shared" si="0"/>
        <v>16.151538163958534</v>
      </c>
      <c r="E45">
        <f t="shared" si="1"/>
        <v>4.679174310744429</v>
      </c>
    </row>
    <row r="46" spans="2:5" x14ac:dyDescent="0.25">
      <c r="B46">
        <v>1994</v>
      </c>
      <c r="C46">
        <v>3236300</v>
      </c>
      <c r="D46">
        <f t="shared" si="0"/>
        <v>14.989941259909223</v>
      </c>
      <c r="E46">
        <f t="shared" si="1"/>
        <v>-1.1615969040493113</v>
      </c>
    </row>
    <row r="47" spans="2:5" x14ac:dyDescent="0.25">
      <c r="B47">
        <v>1995</v>
      </c>
      <c r="C47">
        <v>436433</v>
      </c>
      <c r="D47">
        <f t="shared" si="0"/>
        <v>12.986390148780545</v>
      </c>
      <c r="E47">
        <f t="shared" si="1"/>
        <v>-2.0035511111286777</v>
      </c>
    </row>
    <row r="48" spans="2:5" x14ac:dyDescent="0.25">
      <c r="B48">
        <v>1996</v>
      </c>
      <c r="C48">
        <v>82090</v>
      </c>
      <c r="D48">
        <f t="shared" si="0"/>
        <v>11.315571485342312</v>
      </c>
      <c r="E48">
        <f t="shared" si="1"/>
        <v>-1.6708186634382329</v>
      </c>
    </row>
    <row r="49" spans="1:5" x14ac:dyDescent="0.25">
      <c r="B49">
        <v>1997</v>
      </c>
      <c r="C49">
        <v>6446284</v>
      </c>
      <c r="D49">
        <f t="shared" si="0"/>
        <v>15.679014398717728</v>
      </c>
      <c r="E49">
        <f t="shared" si="1"/>
        <v>4.3634429133754153</v>
      </c>
    </row>
    <row r="50" spans="1:5" x14ac:dyDescent="0.25">
      <c r="B50">
        <v>1998</v>
      </c>
      <c r="C50">
        <v>2666551</v>
      </c>
      <c r="D50">
        <f t="shared" si="0"/>
        <v>14.796296435035277</v>
      </c>
      <c r="E50">
        <f t="shared" si="1"/>
        <v>-0.8827179636824507</v>
      </c>
    </row>
    <row r="51" spans="1:5" x14ac:dyDescent="0.25">
      <c r="B51">
        <v>1999</v>
      </c>
      <c r="C51">
        <v>332450</v>
      </c>
      <c r="D51">
        <f t="shared" si="0"/>
        <v>12.7142447518306</v>
      </c>
      <c r="E51">
        <f t="shared" si="1"/>
        <v>-2.0820516832046767</v>
      </c>
    </row>
    <row r="52" spans="1:5" x14ac:dyDescent="0.25">
      <c r="B52">
        <v>2000</v>
      </c>
      <c r="C52">
        <v>117802</v>
      </c>
      <c r="D52">
        <f t="shared" si="0"/>
        <v>11.676760527984193</v>
      </c>
      <c r="E52">
        <f t="shared" si="1"/>
        <v>-1.0374842238464073</v>
      </c>
    </row>
    <row r="53" spans="1:5" x14ac:dyDescent="0.25">
      <c r="B53">
        <v>2001</v>
      </c>
      <c r="C53">
        <v>4381602</v>
      </c>
      <c r="D53">
        <f t="shared" si="0"/>
        <v>15.292924968905808</v>
      </c>
      <c r="E53">
        <f t="shared" si="1"/>
        <v>3.6161644409216152</v>
      </c>
    </row>
    <row r="54" spans="1:5" x14ac:dyDescent="0.25">
      <c r="B54">
        <v>2002</v>
      </c>
      <c r="C54">
        <v>4800147</v>
      </c>
      <c r="D54">
        <f t="shared" si="0"/>
        <v>15.384157100409183</v>
      </c>
      <c r="E54">
        <f t="shared" si="1"/>
        <v>9.1232131503375058E-2</v>
      </c>
    </row>
    <row r="55" spans="1:5" x14ac:dyDescent="0.25">
      <c r="B55">
        <v>2003</v>
      </c>
      <c r="C55">
        <v>853991</v>
      </c>
      <c r="D55">
        <f t="shared" si="0"/>
        <v>13.657675934073488</v>
      </c>
      <c r="E55">
        <f t="shared" si="1"/>
        <v>-1.7264811663356951</v>
      </c>
    </row>
    <row r="56" spans="1:5" x14ac:dyDescent="0.25">
      <c r="B56">
        <v>2004</v>
      </c>
      <c r="C56">
        <v>271722</v>
      </c>
      <c r="D56">
        <f t="shared" si="0"/>
        <v>12.51253476379633</v>
      </c>
      <c r="E56">
        <f t="shared" si="1"/>
        <v>-1.1451411702771583</v>
      </c>
    </row>
    <row r="57" spans="1:5" x14ac:dyDescent="0.25">
      <c r="B57">
        <v>2005</v>
      </c>
      <c r="C57">
        <v>3592160</v>
      </c>
      <c r="D57">
        <f t="shared" si="0"/>
        <v>15.094264250842043</v>
      </c>
      <c r="E57">
        <f t="shared" si="1"/>
        <v>2.5817294870457133</v>
      </c>
    </row>
    <row r="58" spans="1:5" x14ac:dyDescent="0.25">
      <c r="B58">
        <v>2006</v>
      </c>
      <c r="C58">
        <v>723165</v>
      </c>
      <c r="D58">
        <f t="shared" si="0"/>
        <v>13.49139269087128</v>
      </c>
      <c r="E58">
        <f t="shared" si="1"/>
        <v>-1.6028715599707635</v>
      </c>
    </row>
    <row r="59" spans="1:5" x14ac:dyDescent="0.25">
      <c r="B59">
        <v>2007</v>
      </c>
      <c r="C59">
        <v>119068</v>
      </c>
      <c r="D59">
        <f t="shared" si="0"/>
        <v>11.687450037461959</v>
      </c>
      <c r="E59">
        <f t="shared" si="1"/>
        <v>-1.8039426534093206</v>
      </c>
    </row>
    <row r="60" spans="1:5" x14ac:dyDescent="0.25">
      <c r="B60">
        <v>2008</v>
      </c>
      <c r="C60">
        <v>68161</v>
      </c>
      <c r="D60">
        <f t="shared" si="0"/>
        <v>11.129627832757077</v>
      </c>
      <c r="E60">
        <f t="shared" si="1"/>
        <v>-0.5578222047048822</v>
      </c>
    </row>
    <row r="61" spans="1:5" x14ac:dyDescent="0.25">
      <c r="B61">
        <v>2009</v>
      </c>
      <c r="C61">
        <v>203934</v>
      </c>
      <c r="D61">
        <f t="shared" si="0"/>
        <v>12.225551691067658</v>
      </c>
      <c r="E61">
        <f t="shared" si="1"/>
        <v>1.0959238583105808</v>
      </c>
    </row>
    <row r="62" spans="1:5" x14ac:dyDescent="0.25">
      <c r="A62">
        <v>604146</v>
      </c>
      <c r="B62">
        <v>2010</v>
      </c>
      <c r="C62">
        <v>604146</v>
      </c>
      <c r="D62">
        <f t="shared" si="0"/>
        <v>13.311571169561237</v>
      </c>
      <c r="E62">
        <f t="shared" si="1"/>
        <v>1.0860194784935793</v>
      </c>
    </row>
    <row r="63" spans="1:5" x14ac:dyDescent="0.25">
      <c r="A63">
        <v>121801</v>
      </c>
      <c r="B63">
        <v>2011</v>
      </c>
      <c r="C63">
        <v>121801</v>
      </c>
      <c r="D63">
        <f t="shared" si="0"/>
        <v>11.710143844404854</v>
      </c>
      <c r="E63">
        <f t="shared" si="1"/>
        <v>-1.6014273251563829</v>
      </c>
    </row>
    <row r="64" spans="1:5" x14ac:dyDescent="0.25">
      <c r="A64">
        <v>1416</v>
      </c>
      <c r="B64">
        <v>2012</v>
      </c>
      <c r="C64">
        <v>1416</v>
      </c>
      <c r="D64">
        <f t="shared" si="0"/>
        <v>7.255591274253665</v>
      </c>
      <c r="E64">
        <f t="shared" si="1"/>
        <v>-4.454552570151189</v>
      </c>
    </row>
    <row r="65" spans="1:5" x14ac:dyDescent="0.25">
      <c r="A65">
        <v>306977</v>
      </c>
      <c r="B65">
        <v>2013</v>
      </c>
      <c r="C65">
        <v>306977</v>
      </c>
      <c r="D65">
        <f t="shared" si="0"/>
        <v>12.634528105196022</v>
      </c>
      <c r="E65">
        <f t="shared" si="1"/>
        <v>5.3789368309423571</v>
      </c>
    </row>
    <row r="66" spans="1:5" x14ac:dyDescent="0.25">
      <c r="A66">
        <v>2519390</v>
      </c>
      <c r="B66">
        <v>2014</v>
      </c>
      <c r="C66">
        <v>2519390</v>
      </c>
      <c r="D66">
        <f t="shared" si="0"/>
        <v>14.739527366693446</v>
      </c>
      <c r="E66">
        <f t="shared" si="1"/>
        <v>2.104999261497424</v>
      </c>
    </row>
    <row r="67" spans="1:5" x14ac:dyDescent="0.25">
      <c r="A67">
        <v>67128</v>
      </c>
      <c r="B67">
        <v>2015</v>
      </c>
      <c r="C67">
        <v>67128</v>
      </c>
      <c r="D67">
        <f t="shared" si="0"/>
        <v>11.114356523549905</v>
      </c>
      <c r="E67">
        <f t="shared" si="1"/>
        <v>-3.6251708431435414</v>
      </c>
    </row>
    <row r="68" spans="1:5" s="3" customFormat="1" x14ac:dyDescent="0.25">
      <c r="A68">
        <v>4761</v>
      </c>
      <c r="B68" s="3">
        <v>2016</v>
      </c>
      <c r="C68" s="3">
        <v>4761</v>
      </c>
      <c r="D68" s="3">
        <f t="shared" ref="D68:D76" si="2">LN(C68)</f>
        <v>8.4682130091945194</v>
      </c>
      <c r="E68" s="3">
        <f t="shared" si="1"/>
        <v>-2.6461435143553853</v>
      </c>
    </row>
    <row r="69" spans="1:5" x14ac:dyDescent="0.25">
      <c r="A69">
        <v>145779</v>
      </c>
      <c r="B69">
        <v>2017</v>
      </c>
      <c r="C69">
        <v>145779</v>
      </c>
      <c r="D69">
        <f t="shared" si="2"/>
        <v>11.889847055261146</v>
      </c>
      <c r="E69">
        <f t="shared" si="1"/>
        <v>3.421634046066627</v>
      </c>
    </row>
    <row r="70" spans="1:5" x14ac:dyDescent="0.25">
      <c r="A70">
        <v>2138731</v>
      </c>
      <c r="B70">
        <v>2018</v>
      </c>
      <c r="C70">
        <v>2138731</v>
      </c>
      <c r="D70">
        <f t="shared" si="2"/>
        <v>14.575723220455334</v>
      </c>
      <c r="E70">
        <f t="shared" ref="E70:E76" si="3">D70-D69</f>
        <v>2.6858761651941876</v>
      </c>
    </row>
    <row r="71" spans="1:5" x14ac:dyDescent="0.25">
      <c r="A71">
        <v>45495</v>
      </c>
      <c r="B71">
        <v>2019</v>
      </c>
      <c r="C71">
        <v>45495</v>
      </c>
      <c r="D71">
        <f t="shared" si="2"/>
        <v>10.72535770879079</v>
      </c>
      <c r="E71">
        <f t="shared" si="3"/>
        <v>-3.8503655116645437</v>
      </c>
    </row>
    <row r="72" spans="1:5" x14ac:dyDescent="0.25">
      <c r="A72">
        <v>1475</v>
      </c>
      <c r="B72" s="3">
        <v>2020</v>
      </c>
      <c r="C72" s="5">
        <v>1475</v>
      </c>
      <c r="D72">
        <f t="shared" si="2"/>
        <v>7.2964132687739198</v>
      </c>
      <c r="E72">
        <f t="shared" si="3"/>
        <v>-3.4289444400168705</v>
      </c>
    </row>
    <row r="73" spans="1:5" x14ac:dyDescent="0.25">
      <c r="A73">
        <v>121552</v>
      </c>
      <c r="B73">
        <v>2021</v>
      </c>
      <c r="C73">
        <v>121552</v>
      </c>
      <c r="D73">
        <f t="shared" si="2"/>
        <v>11.708097433743003</v>
      </c>
      <c r="E73">
        <f t="shared" si="3"/>
        <v>4.411684164969083</v>
      </c>
    </row>
    <row r="74" spans="1:5" x14ac:dyDescent="0.25">
      <c r="A74">
        <v>1501863</v>
      </c>
      <c r="B74">
        <v>2022</v>
      </c>
      <c r="C74">
        <v>1501863</v>
      </c>
      <c r="D74">
        <f t="shared" si="2"/>
        <v>14.222216895428465</v>
      </c>
      <c r="E74">
        <f t="shared" si="3"/>
        <v>2.5141194616854623</v>
      </c>
    </row>
    <row r="75" spans="1:5" x14ac:dyDescent="0.25">
      <c r="A75">
        <v>122000</v>
      </c>
      <c r="B75">
        <v>2023</v>
      </c>
      <c r="C75">
        <v>122000</v>
      </c>
      <c r="D75">
        <f t="shared" si="2"/>
        <v>11.711776323715394</v>
      </c>
      <c r="E75">
        <f t="shared" si="3"/>
        <v>-2.5104405717130707</v>
      </c>
    </row>
    <row r="76" spans="1:5" x14ac:dyDescent="0.25">
      <c r="A76">
        <v>5430</v>
      </c>
      <c r="B76">
        <v>2024</v>
      </c>
      <c r="C76">
        <v>5430</v>
      </c>
      <c r="D76">
        <f t="shared" si="2"/>
        <v>8.5996944129279811</v>
      </c>
      <c r="E76">
        <f t="shared" si="3"/>
        <v>-3.1120819107874134</v>
      </c>
    </row>
    <row r="77" spans="1:5" x14ac:dyDescent="0.25">
      <c r="B77">
        <v>2025</v>
      </c>
    </row>
    <row r="101" spans="10:16" x14ac:dyDescent="0.25">
      <c r="J101" t="s">
        <v>7</v>
      </c>
      <c r="M101" t="s">
        <v>8</v>
      </c>
    </row>
    <row r="102" spans="10:16" x14ac:dyDescent="0.25">
      <c r="J102" t="s">
        <v>9</v>
      </c>
    </row>
    <row r="104" spans="10:16" x14ac:dyDescent="0.25">
      <c r="J104" t="s">
        <v>10</v>
      </c>
    </row>
    <row r="105" spans="10:16" x14ac:dyDescent="0.25">
      <c r="J105" t="s">
        <v>11</v>
      </c>
    </row>
    <row r="107" spans="10:16" x14ac:dyDescent="0.25">
      <c r="J107" t="s">
        <v>12</v>
      </c>
    </row>
    <row r="108" spans="10:16" x14ac:dyDescent="0.25">
      <c r="K108" t="s">
        <v>13</v>
      </c>
      <c r="L108">
        <f>(D64+D68+D72)/3</f>
        <v>7.6734058507407026</v>
      </c>
      <c r="N108" t="s">
        <v>14</v>
      </c>
      <c r="O108" s="6">
        <f>EXP(L108)</f>
        <v>2150.3929045773957</v>
      </c>
      <c r="P108" t="s">
        <v>15</v>
      </c>
    </row>
    <row r="109" spans="10:16" x14ac:dyDescent="0.25">
      <c r="K109" t="s">
        <v>16</v>
      </c>
      <c r="L109">
        <f>LN(O109)</f>
        <v>8.5996944129279811</v>
      </c>
      <c r="O109">
        <v>5430</v>
      </c>
      <c r="P109" s="3"/>
    </row>
    <row r="110" spans="10:16" x14ac:dyDescent="0.25">
      <c r="K110" t="s">
        <v>17</v>
      </c>
    </row>
    <row r="114" spans="10:21" x14ac:dyDescent="0.25">
      <c r="J114" t="s">
        <v>18</v>
      </c>
      <c r="R114" s="3"/>
    </row>
    <row r="115" spans="10:21" x14ac:dyDescent="0.25">
      <c r="O115" s="6"/>
    </row>
    <row r="116" spans="10:21" x14ac:dyDescent="0.25">
      <c r="K116" t="s">
        <v>19</v>
      </c>
      <c r="O116">
        <v>11.89</v>
      </c>
      <c r="P116" t="s">
        <v>20</v>
      </c>
      <c r="Q116">
        <v>11.708</v>
      </c>
      <c r="R116" t="s">
        <v>21</v>
      </c>
      <c r="S116">
        <f>AVERAGE(O116,Q116)</f>
        <v>11.798999999999999</v>
      </c>
      <c r="T116" t="s">
        <v>22</v>
      </c>
      <c r="U116" s="6">
        <f>EXP(S116)</f>
        <v>133119.16719655864</v>
      </c>
    </row>
    <row r="117" spans="10:21" x14ac:dyDescent="0.25">
      <c r="U117" s="6"/>
    </row>
    <row r="118" spans="10:21" x14ac:dyDescent="0.25">
      <c r="K118" t="s">
        <v>23</v>
      </c>
      <c r="U118" s="6"/>
    </row>
    <row r="119" spans="10:21" x14ac:dyDescent="0.25">
      <c r="K119" t="s">
        <v>24</v>
      </c>
      <c r="U119" s="6"/>
    </row>
    <row r="120" spans="10:21" x14ac:dyDescent="0.25">
      <c r="R120" t="s">
        <v>25</v>
      </c>
      <c r="U120" s="6">
        <v>145779</v>
      </c>
    </row>
    <row r="121" spans="10:21" x14ac:dyDescent="0.25">
      <c r="U121" s="6"/>
    </row>
    <row r="122" spans="10:21" x14ac:dyDescent="0.25">
      <c r="R122" s="3"/>
    </row>
    <row r="123" spans="10:21" x14ac:dyDescent="0.25">
      <c r="K123" t="s">
        <v>26</v>
      </c>
    </row>
    <row r="125" spans="10:21" x14ac:dyDescent="0.25">
      <c r="K125" t="s">
        <v>27</v>
      </c>
      <c r="L125" t="s">
        <v>28</v>
      </c>
    </row>
    <row r="126" spans="10:21" x14ac:dyDescent="0.25">
      <c r="K126">
        <v>2017</v>
      </c>
      <c r="L126">
        <v>3.421634046066627</v>
      </c>
    </row>
    <row r="127" spans="10:21" x14ac:dyDescent="0.25">
      <c r="K127">
        <v>2021</v>
      </c>
      <c r="L127">
        <v>4.411684164969083</v>
      </c>
    </row>
    <row r="128" spans="10:21" x14ac:dyDescent="0.25">
      <c r="K128" t="s">
        <v>29</v>
      </c>
      <c r="L128">
        <f>AVERAGE(L126:L127)</f>
        <v>3.916659105517855</v>
      </c>
    </row>
    <row r="129" spans="1:15" x14ac:dyDescent="0.25">
      <c r="K129" t="s">
        <v>30</v>
      </c>
      <c r="L129">
        <v>8.5996944129279811</v>
      </c>
    </row>
    <row r="130" spans="1:15" x14ac:dyDescent="0.25">
      <c r="K130" t="s">
        <v>31</v>
      </c>
      <c r="L130">
        <f>L128+L129</f>
        <v>12.516353518445836</v>
      </c>
    </row>
    <row r="131" spans="1:15" x14ac:dyDescent="0.25">
      <c r="K131" t="s">
        <v>22</v>
      </c>
      <c r="L131" s="6">
        <f>EXP(L130)</f>
        <v>272761.62342086685</v>
      </c>
      <c r="M131" t="s">
        <v>32</v>
      </c>
    </row>
    <row r="135" spans="1:15" x14ac:dyDescent="0.25">
      <c r="A135" t="s">
        <v>33</v>
      </c>
      <c r="O135" s="7"/>
    </row>
    <row r="137" spans="1:15" x14ac:dyDescent="0.25">
      <c r="B137" t="s">
        <v>34</v>
      </c>
      <c r="C137" t="s">
        <v>35</v>
      </c>
      <c r="D137" t="s">
        <v>36</v>
      </c>
      <c r="E137" t="s">
        <v>37</v>
      </c>
      <c r="F137" t="s">
        <v>38</v>
      </c>
      <c r="G137" t="s">
        <v>39</v>
      </c>
      <c r="H137" t="s">
        <v>40</v>
      </c>
      <c r="I137" t="s">
        <v>41</v>
      </c>
      <c r="K137" t="s">
        <v>42</v>
      </c>
      <c r="L137" t="s">
        <v>43</v>
      </c>
    </row>
    <row r="138" spans="1:15" x14ac:dyDescent="0.25">
      <c r="A138">
        <v>149</v>
      </c>
      <c r="B138" t="s">
        <v>44</v>
      </c>
      <c r="C138" t="s">
        <v>1</v>
      </c>
      <c r="D138">
        <v>1951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15" x14ac:dyDescent="0.25">
      <c r="A139">
        <v>150</v>
      </c>
      <c r="B139" t="s">
        <v>44</v>
      </c>
      <c r="C139" t="s">
        <v>1</v>
      </c>
      <c r="D139">
        <v>1952</v>
      </c>
      <c r="E139">
        <v>23587</v>
      </c>
      <c r="F139">
        <v>22455</v>
      </c>
      <c r="G139">
        <v>618</v>
      </c>
      <c r="H139">
        <v>0</v>
      </c>
      <c r="I139">
        <v>0</v>
      </c>
      <c r="K139">
        <f>F138</f>
        <v>0</v>
      </c>
      <c r="L139">
        <f>LN(E139)</f>
        <v>10.068450991783875</v>
      </c>
    </row>
    <row r="140" spans="1:15" x14ac:dyDescent="0.25">
      <c r="A140">
        <v>151</v>
      </c>
      <c r="B140" t="s">
        <v>44</v>
      </c>
      <c r="C140" t="s">
        <v>1</v>
      </c>
      <c r="D140">
        <v>1953</v>
      </c>
      <c r="E140">
        <v>463443</v>
      </c>
      <c r="F140">
        <v>34</v>
      </c>
      <c r="G140">
        <v>463409</v>
      </c>
      <c r="H140">
        <v>0</v>
      </c>
      <c r="I140">
        <v>0</v>
      </c>
      <c r="K140">
        <f t="shared" ref="K140:K203" si="4">F139</f>
        <v>22455</v>
      </c>
      <c r="L140">
        <f t="shared" ref="L140:L203" si="5">LN(E140)</f>
        <v>13.046438679079435</v>
      </c>
    </row>
    <row r="141" spans="1:15" x14ac:dyDescent="0.25">
      <c r="A141">
        <v>152</v>
      </c>
      <c r="B141" t="s">
        <v>44</v>
      </c>
      <c r="C141" t="s">
        <v>1</v>
      </c>
      <c r="D141">
        <v>1954</v>
      </c>
      <c r="E141">
        <v>2014</v>
      </c>
      <c r="F141">
        <v>0</v>
      </c>
      <c r="G141">
        <v>2014</v>
      </c>
      <c r="H141">
        <v>0</v>
      </c>
      <c r="I141">
        <v>0</v>
      </c>
      <c r="K141">
        <f t="shared" si="4"/>
        <v>34</v>
      </c>
      <c r="L141">
        <f t="shared" si="5"/>
        <v>7.6078780732785072</v>
      </c>
    </row>
    <row r="142" spans="1:15" x14ac:dyDescent="0.25">
      <c r="A142">
        <v>153</v>
      </c>
      <c r="B142" t="s">
        <v>44</v>
      </c>
      <c r="C142" t="s">
        <v>1</v>
      </c>
      <c r="D142">
        <v>1955</v>
      </c>
      <c r="E142">
        <v>413</v>
      </c>
      <c r="F142">
        <v>0</v>
      </c>
      <c r="G142">
        <v>413</v>
      </c>
      <c r="H142">
        <v>0</v>
      </c>
      <c r="I142">
        <v>0</v>
      </c>
      <c r="K142">
        <f t="shared" si="4"/>
        <v>0</v>
      </c>
      <c r="L142">
        <f t="shared" si="5"/>
        <v>6.0234475929610332</v>
      </c>
    </row>
    <row r="143" spans="1:15" x14ac:dyDescent="0.25">
      <c r="A143">
        <v>154</v>
      </c>
      <c r="B143" t="s">
        <v>44</v>
      </c>
      <c r="C143" t="s">
        <v>1</v>
      </c>
      <c r="D143">
        <v>1956</v>
      </c>
      <c r="E143">
        <v>6464</v>
      </c>
      <c r="F143">
        <v>5902</v>
      </c>
      <c r="G143">
        <v>562</v>
      </c>
      <c r="H143">
        <v>0</v>
      </c>
      <c r="I143">
        <v>0</v>
      </c>
      <c r="K143">
        <f t="shared" si="4"/>
        <v>0</v>
      </c>
      <c r="L143">
        <f t="shared" si="5"/>
        <v>8.7740036002009312</v>
      </c>
    </row>
    <row r="144" spans="1:15" x14ac:dyDescent="0.25">
      <c r="A144">
        <v>155</v>
      </c>
      <c r="B144" t="s">
        <v>44</v>
      </c>
      <c r="C144" t="s">
        <v>1</v>
      </c>
      <c r="D144">
        <v>1957</v>
      </c>
      <c r="E144">
        <v>604123</v>
      </c>
      <c r="F144">
        <v>0</v>
      </c>
      <c r="G144">
        <v>604123</v>
      </c>
      <c r="H144">
        <v>0</v>
      </c>
      <c r="I144">
        <v>0</v>
      </c>
      <c r="K144">
        <f t="shared" si="4"/>
        <v>5902</v>
      </c>
      <c r="L144">
        <f t="shared" si="5"/>
        <v>13.311533098568763</v>
      </c>
    </row>
    <row r="145" spans="1:15" x14ac:dyDescent="0.25">
      <c r="A145">
        <v>156</v>
      </c>
      <c r="B145" t="s">
        <v>44</v>
      </c>
      <c r="C145" t="s">
        <v>1</v>
      </c>
      <c r="D145">
        <v>1958</v>
      </c>
      <c r="E145">
        <v>10912</v>
      </c>
      <c r="F145">
        <v>0</v>
      </c>
      <c r="G145">
        <v>10692</v>
      </c>
      <c r="H145">
        <v>220</v>
      </c>
      <c r="I145">
        <v>0</v>
      </c>
      <c r="K145">
        <f t="shared" si="4"/>
        <v>0</v>
      </c>
      <c r="L145">
        <f t="shared" si="5"/>
        <v>9.297618380083243</v>
      </c>
    </row>
    <row r="146" spans="1:15" x14ac:dyDescent="0.25">
      <c r="A146">
        <v>157</v>
      </c>
      <c r="B146" t="s">
        <v>44</v>
      </c>
      <c r="C146" t="s">
        <v>1</v>
      </c>
      <c r="D146">
        <v>1959</v>
      </c>
      <c r="E146">
        <v>198</v>
      </c>
      <c r="F146">
        <v>18</v>
      </c>
      <c r="G146">
        <v>180</v>
      </c>
      <c r="H146">
        <v>0</v>
      </c>
      <c r="I146">
        <v>0</v>
      </c>
      <c r="K146">
        <f t="shared" si="4"/>
        <v>0</v>
      </c>
      <c r="L146">
        <f t="shared" si="5"/>
        <v>5.2882670306945352</v>
      </c>
    </row>
    <row r="147" spans="1:15" x14ac:dyDescent="0.25">
      <c r="A147">
        <v>158</v>
      </c>
      <c r="B147" t="s">
        <v>44</v>
      </c>
      <c r="C147" t="s">
        <v>1</v>
      </c>
      <c r="D147">
        <v>1960</v>
      </c>
      <c r="E147">
        <v>10894</v>
      </c>
      <c r="F147">
        <v>8359</v>
      </c>
      <c r="G147">
        <v>1115</v>
      </c>
      <c r="H147">
        <v>0</v>
      </c>
      <c r="I147">
        <v>0</v>
      </c>
      <c r="K147">
        <f t="shared" si="4"/>
        <v>18</v>
      </c>
      <c r="L147">
        <f t="shared" si="5"/>
        <v>9.29596745794362</v>
      </c>
    </row>
    <row r="148" spans="1:15" x14ac:dyDescent="0.25">
      <c r="A148">
        <v>159</v>
      </c>
      <c r="B148" t="s">
        <v>44</v>
      </c>
      <c r="C148" t="s">
        <v>1</v>
      </c>
      <c r="D148">
        <v>1961</v>
      </c>
      <c r="E148">
        <v>989607</v>
      </c>
      <c r="F148">
        <v>27</v>
      </c>
      <c r="G148">
        <v>989580</v>
      </c>
      <c r="H148">
        <v>0</v>
      </c>
      <c r="I148">
        <v>0</v>
      </c>
      <c r="K148">
        <f t="shared" si="4"/>
        <v>8359</v>
      </c>
      <c r="L148">
        <f t="shared" si="5"/>
        <v>13.805063173600475</v>
      </c>
    </row>
    <row r="149" spans="1:15" x14ac:dyDescent="0.25">
      <c r="A149">
        <v>160</v>
      </c>
      <c r="B149" t="s">
        <v>44</v>
      </c>
      <c r="C149" t="s">
        <v>1</v>
      </c>
      <c r="D149">
        <v>1962</v>
      </c>
      <c r="E149">
        <v>3536</v>
      </c>
      <c r="F149">
        <v>0</v>
      </c>
      <c r="G149">
        <v>3362</v>
      </c>
      <c r="H149">
        <v>144</v>
      </c>
      <c r="I149">
        <v>30</v>
      </c>
      <c r="K149">
        <f t="shared" si="4"/>
        <v>27</v>
      </c>
      <c r="L149">
        <f t="shared" si="5"/>
        <v>8.1707514237575349</v>
      </c>
    </row>
    <row r="150" spans="1:15" x14ac:dyDescent="0.25">
      <c r="A150">
        <v>161</v>
      </c>
      <c r="B150" t="s">
        <v>44</v>
      </c>
      <c r="C150" t="s">
        <v>1</v>
      </c>
      <c r="D150">
        <v>1963</v>
      </c>
      <c r="E150">
        <v>194</v>
      </c>
      <c r="F150">
        <v>6</v>
      </c>
      <c r="G150">
        <v>165</v>
      </c>
      <c r="H150">
        <v>23</v>
      </c>
      <c r="I150">
        <v>0</v>
      </c>
      <c r="K150">
        <f t="shared" si="4"/>
        <v>0</v>
      </c>
      <c r="L150">
        <f t="shared" si="5"/>
        <v>5.2678581590633282</v>
      </c>
    </row>
    <row r="151" spans="1:15" x14ac:dyDescent="0.25">
      <c r="A151">
        <v>162</v>
      </c>
      <c r="B151" t="s">
        <v>44</v>
      </c>
      <c r="C151" t="s">
        <v>1</v>
      </c>
      <c r="D151">
        <v>1964</v>
      </c>
      <c r="E151">
        <v>45950</v>
      </c>
      <c r="F151">
        <v>44481</v>
      </c>
      <c r="G151">
        <v>1469</v>
      </c>
      <c r="H151">
        <v>0</v>
      </c>
      <c r="I151">
        <v>0</v>
      </c>
      <c r="K151">
        <f t="shared" si="4"/>
        <v>6</v>
      </c>
      <c r="L151">
        <f t="shared" si="5"/>
        <v>10.735309127783832</v>
      </c>
    </row>
    <row r="152" spans="1:15" x14ac:dyDescent="0.25">
      <c r="A152">
        <v>163</v>
      </c>
      <c r="B152" t="s">
        <v>44</v>
      </c>
      <c r="C152" t="s">
        <v>1</v>
      </c>
      <c r="D152">
        <v>1965</v>
      </c>
      <c r="E152">
        <v>1195837</v>
      </c>
      <c r="F152">
        <v>30</v>
      </c>
      <c r="G152">
        <v>1195807</v>
      </c>
      <c r="H152">
        <v>0</v>
      </c>
      <c r="I152">
        <v>0</v>
      </c>
      <c r="K152">
        <f t="shared" si="4"/>
        <v>44481</v>
      </c>
      <c r="L152">
        <f t="shared" si="5"/>
        <v>13.994356916579294</v>
      </c>
    </row>
    <row r="153" spans="1:15" x14ac:dyDescent="0.25">
      <c r="A153">
        <v>164</v>
      </c>
      <c r="B153" t="s">
        <v>44</v>
      </c>
      <c r="C153" t="s">
        <v>1</v>
      </c>
      <c r="D153">
        <v>1966</v>
      </c>
      <c r="E153">
        <v>7859</v>
      </c>
      <c r="F153">
        <v>0</v>
      </c>
      <c r="G153">
        <v>7257</v>
      </c>
      <c r="H153">
        <v>509</v>
      </c>
      <c r="I153">
        <v>93</v>
      </c>
      <c r="K153">
        <f t="shared" si="4"/>
        <v>30</v>
      </c>
      <c r="L153">
        <f t="shared" si="5"/>
        <v>8.9694146508661756</v>
      </c>
    </row>
    <row r="154" spans="1:15" x14ac:dyDescent="0.25">
      <c r="A154">
        <v>165</v>
      </c>
      <c r="B154" t="s">
        <v>44</v>
      </c>
      <c r="C154" t="s">
        <v>1</v>
      </c>
      <c r="D154">
        <v>1967</v>
      </c>
      <c r="E154">
        <v>956</v>
      </c>
      <c r="F154">
        <v>0</v>
      </c>
      <c r="G154">
        <v>956</v>
      </c>
      <c r="H154">
        <v>0</v>
      </c>
      <c r="I154">
        <v>0</v>
      </c>
      <c r="K154">
        <f t="shared" si="4"/>
        <v>0</v>
      </c>
      <c r="L154">
        <f t="shared" si="5"/>
        <v>6.8627579130514009</v>
      </c>
    </row>
    <row r="155" spans="1:15" x14ac:dyDescent="0.25">
      <c r="A155">
        <v>166</v>
      </c>
      <c r="B155" t="s">
        <v>44</v>
      </c>
      <c r="C155" t="s">
        <v>1</v>
      </c>
      <c r="D155">
        <v>1968</v>
      </c>
      <c r="E155">
        <v>16973</v>
      </c>
      <c r="F155">
        <v>14161</v>
      </c>
      <c r="G155">
        <v>2812</v>
      </c>
      <c r="H155">
        <v>0</v>
      </c>
      <c r="I155">
        <v>0</v>
      </c>
      <c r="K155">
        <f t="shared" si="4"/>
        <v>0</v>
      </c>
      <c r="L155">
        <f t="shared" si="5"/>
        <v>9.7393791251615323</v>
      </c>
    </row>
    <row r="156" spans="1:15" x14ac:dyDescent="0.25">
      <c r="A156">
        <v>167</v>
      </c>
      <c r="B156" t="s">
        <v>44</v>
      </c>
      <c r="C156" t="s">
        <v>1</v>
      </c>
      <c r="D156">
        <v>1969</v>
      </c>
      <c r="E156">
        <v>1652135</v>
      </c>
      <c r="F156">
        <v>28</v>
      </c>
      <c r="G156">
        <v>1652107</v>
      </c>
      <c r="H156">
        <v>0</v>
      </c>
      <c r="I156">
        <v>0</v>
      </c>
      <c r="K156">
        <f t="shared" si="4"/>
        <v>14161</v>
      </c>
      <c r="L156">
        <f t="shared" si="5"/>
        <v>14.317578948852564</v>
      </c>
      <c r="N156" t="s">
        <v>45</v>
      </c>
    </row>
    <row r="157" spans="1:15" x14ac:dyDescent="0.25">
      <c r="A157">
        <v>168</v>
      </c>
      <c r="B157" t="s">
        <v>44</v>
      </c>
      <c r="C157" t="s">
        <v>1</v>
      </c>
      <c r="D157">
        <v>1970</v>
      </c>
      <c r="E157">
        <v>7953</v>
      </c>
      <c r="F157">
        <v>11</v>
      </c>
      <c r="G157">
        <v>7038</v>
      </c>
      <c r="H157">
        <v>821</v>
      </c>
      <c r="I157">
        <v>83</v>
      </c>
      <c r="K157">
        <f t="shared" si="4"/>
        <v>28</v>
      </c>
      <c r="L157">
        <f t="shared" si="5"/>
        <v>8.9813044949571346</v>
      </c>
    </row>
    <row r="158" spans="1:15" x14ac:dyDescent="0.25">
      <c r="A158">
        <v>169</v>
      </c>
      <c r="B158" t="s">
        <v>44</v>
      </c>
      <c r="C158" t="s">
        <v>1</v>
      </c>
      <c r="D158">
        <v>1971</v>
      </c>
      <c r="E158">
        <v>2146</v>
      </c>
      <c r="F158">
        <v>0</v>
      </c>
      <c r="G158">
        <v>1750</v>
      </c>
      <c r="H158">
        <v>396</v>
      </c>
      <c r="I158">
        <v>0</v>
      </c>
      <c r="K158">
        <f t="shared" si="4"/>
        <v>11</v>
      </c>
      <c r="L158">
        <f t="shared" si="5"/>
        <v>7.6713609231906439</v>
      </c>
    </row>
    <row r="159" spans="1:15" x14ac:dyDescent="0.25">
      <c r="A159">
        <v>170</v>
      </c>
      <c r="B159" t="s">
        <v>44</v>
      </c>
      <c r="C159" t="s">
        <v>1</v>
      </c>
      <c r="D159">
        <v>1972</v>
      </c>
      <c r="E159">
        <v>6910</v>
      </c>
      <c r="F159">
        <v>6413</v>
      </c>
      <c r="G159">
        <v>428</v>
      </c>
      <c r="H159">
        <v>0</v>
      </c>
      <c r="I159">
        <v>0</v>
      </c>
      <c r="K159">
        <f t="shared" si="4"/>
        <v>0</v>
      </c>
      <c r="L159">
        <f t="shared" si="5"/>
        <v>8.8407249167617152</v>
      </c>
      <c r="N159">
        <v>604146</v>
      </c>
      <c r="O159">
        <v>67</v>
      </c>
    </row>
    <row r="160" spans="1:15" x14ac:dyDescent="0.25">
      <c r="A160">
        <v>171</v>
      </c>
      <c r="B160" t="s">
        <v>44</v>
      </c>
      <c r="C160" t="s">
        <v>1</v>
      </c>
      <c r="D160">
        <v>1973</v>
      </c>
      <c r="E160">
        <v>1626582</v>
      </c>
      <c r="F160">
        <v>0</v>
      </c>
      <c r="G160">
        <v>1626582</v>
      </c>
      <c r="H160">
        <v>0</v>
      </c>
      <c r="I160">
        <v>0</v>
      </c>
      <c r="K160">
        <f t="shared" si="4"/>
        <v>6413</v>
      </c>
      <c r="L160">
        <f t="shared" si="5"/>
        <v>14.301991438626287</v>
      </c>
      <c r="N160">
        <v>121801</v>
      </c>
      <c r="O160">
        <v>23</v>
      </c>
    </row>
    <row r="161" spans="1:20" x14ac:dyDescent="0.25">
      <c r="A161">
        <v>172</v>
      </c>
      <c r="B161" t="s">
        <v>44</v>
      </c>
      <c r="C161" t="s">
        <v>1</v>
      </c>
      <c r="D161">
        <v>1974</v>
      </c>
      <c r="E161">
        <v>28107</v>
      </c>
      <c r="F161">
        <v>0</v>
      </c>
      <c r="G161">
        <v>20339</v>
      </c>
      <c r="H161">
        <v>7768</v>
      </c>
      <c r="I161">
        <v>0</v>
      </c>
      <c r="K161">
        <f t="shared" si="4"/>
        <v>0</v>
      </c>
      <c r="L161">
        <f t="shared" si="5"/>
        <v>10.243773934619298</v>
      </c>
      <c r="N161">
        <v>306977</v>
      </c>
      <c r="O161">
        <v>24</v>
      </c>
    </row>
    <row r="162" spans="1:20" x14ac:dyDescent="0.25">
      <c r="A162">
        <v>173</v>
      </c>
      <c r="B162" t="s">
        <v>44</v>
      </c>
      <c r="C162" t="s">
        <v>1</v>
      </c>
      <c r="D162">
        <v>1975</v>
      </c>
      <c r="E162">
        <v>756</v>
      </c>
      <c r="F162">
        <v>9</v>
      </c>
      <c r="G162">
        <v>747</v>
      </c>
      <c r="H162">
        <v>0</v>
      </c>
      <c r="I162">
        <v>0</v>
      </c>
      <c r="K162">
        <f t="shared" si="4"/>
        <v>0</v>
      </c>
      <c r="L162">
        <f t="shared" si="5"/>
        <v>6.6280413761795334</v>
      </c>
      <c r="N162">
        <v>2519390</v>
      </c>
      <c r="O162">
        <v>3986</v>
      </c>
    </row>
    <row r="163" spans="1:20" x14ac:dyDescent="0.25">
      <c r="A163">
        <v>174</v>
      </c>
      <c r="B163" t="s">
        <v>44</v>
      </c>
      <c r="C163" t="s">
        <v>1</v>
      </c>
      <c r="D163">
        <v>1976</v>
      </c>
      <c r="E163">
        <v>6497</v>
      </c>
      <c r="F163">
        <v>5114</v>
      </c>
      <c r="G163">
        <v>856</v>
      </c>
      <c r="H163">
        <v>0</v>
      </c>
      <c r="I163">
        <v>0</v>
      </c>
      <c r="K163">
        <f t="shared" si="4"/>
        <v>9</v>
      </c>
      <c r="L163">
        <f t="shared" si="5"/>
        <v>8.7790958108805306</v>
      </c>
      <c r="N163">
        <v>67128</v>
      </c>
      <c r="O163">
        <v>41</v>
      </c>
    </row>
    <row r="164" spans="1:20" x14ac:dyDescent="0.25">
      <c r="A164">
        <v>175</v>
      </c>
      <c r="B164" t="s">
        <v>44</v>
      </c>
      <c r="C164" t="s">
        <v>1</v>
      </c>
      <c r="D164">
        <v>1977</v>
      </c>
      <c r="E164">
        <v>2326885</v>
      </c>
      <c r="F164">
        <v>21</v>
      </c>
      <c r="G164">
        <v>2326864</v>
      </c>
      <c r="H164">
        <v>0</v>
      </c>
      <c r="I164">
        <v>0</v>
      </c>
      <c r="K164">
        <f t="shared" si="4"/>
        <v>5114</v>
      </c>
      <c r="L164">
        <f t="shared" si="5"/>
        <v>14.660041021209338</v>
      </c>
      <c r="N164">
        <v>145779</v>
      </c>
      <c r="O164">
        <v>482</v>
      </c>
    </row>
    <row r="165" spans="1:20" x14ac:dyDescent="0.25">
      <c r="A165">
        <v>176</v>
      </c>
      <c r="B165" t="s">
        <v>44</v>
      </c>
      <c r="C165" t="s">
        <v>1</v>
      </c>
      <c r="D165">
        <v>1978</v>
      </c>
      <c r="E165">
        <v>33233</v>
      </c>
      <c r="F165">
        <v>0</v>
      </c>
      <c r="G165">
        <v>29304</v>
      </c>
      <c r="H165">
        <v>3929</v>
      </c>
      <c r="I165">
        <v>0</v>
      </c>
      <c r="K165">
        <f t="shared" si="4"/>
        <v>21</v>
      </c>
      <c r="L165">
        <f t="shared" si="5"/>
        <v>10.411298637141247</v>
      </c>
      <c r="N165">
        <v>2138731</v>
      </c>
      <c r="O165">
        <v>1846</v>
      </c>
    </row>
    <row r="166" spans="1:20" x14ac:dyDescent="0.25">
      <c r="A166">
        <v>177</v>
      </c>
      <c r="B166" t="s">
        <v>44</v>
      </c>
      <c r="C166" t="s">
        <v>1</v>
      </c>
      <c r="D166">
        <v>1979</v>
      </c>
      <c r="E166">
        <v>3564</v>
      </c>
      <c r="F166">
        <v>0</v>
      </c>
      <c r="G166">
        <v>1865</v>
      </c>
      <c r="H166">
        <v>1570</v>
      </c>
      <c r="I166">
        <v>129</v>
      </c>
      <c r="K166">
        <f t="shared" si="4"/>
        <v>0</v>
      </c>
      <c r="L166">
        <f t="shared" si="5"/>
        <v>8.1786387885906997</v>
      </c>
      <c r="N166">
        <v>1501863</v>
      </c>
      <c r="O166">
        <v>493</v>
      </c>
    </row>
    <row r="167" spans="1:20" x14ac:dyDescent="0.25">
      <c r="A167">
        <v>178</v>
      </c>
      <c r="B167" t="s">
        <v>44</v>
      </c>
      <c r="C167" t="s">
        <v>1</v>
      </c>
      <c r="D167">
        <v>1980</v>
      </c>
      <c r="E167">
        <v>9679</v>
      </c>
      <c r="F167">
        <v>8446</v>
      </c>
      <c r="G167">
        <v>1233</v>
      </c>
      <c r="H167">
        <v>0</v>
      </c>
      <c r="I167">
        <v>0</v>
      </c>
      <c r="K167">
        <f t="shared" si="4"/>
        <v>0</v>
      </c>
      <c r="L167">
        <f t="shared" si="5"/>
        <v>9.1777138691490894</v>
      </c>
    </row>
    <row r="168" spans="1:20" x14ac:dyDescent="0.25">
      <c r="A168">
        <v>179</v>
      </c>
      <c r="B168" t="s">
        <v>44</v>
      </c>
      <c r="C168" t="s">
        <v>1</v>
      </c>
      <c r="D168">
        <v>1981</v>
      </c>
      <c r="E168">
        <v>3810928</v>
      </c>
      <c r="F168">
        <v>142</v>
      </c>
      <c r="G168">
        <v>3810786</v>
      </c>
      <c r="H168">
        <v>0</v>
      </c>
      <c r="I168">
        <v>0</v>
      </c>
      <c r="K168">
        <f t="shared" si="4"/>
        <v>8446</v>
      </c>
      <c r="L168">
        <f t="shared" si="5"/>
        <v>15.153383286998441</v>
      </c>
      <c r="N168" t="s">
        <v>46</v>
      </c>
    </row>
    <row r="169" spans="1:20" x14ac:dyDescent="0.25">
      <c r="A169">
        <v>180</v>
      </c>
      <c r="B169" t="s">
        <v>44</v>
      </c>
      <c r="C169" t="s">
        <v>1</v>
      </c>
      <c r="D169">
        <v>1982</v>
      </c>
      <c r="E169">
        <v>245363</v>
      </c>
      <c r="F169">
        <v>0</v>
      </c>
      <c r="G169">
        <v>186073</v>
      </c>
      <c r="H169">
        <v>54029</v>
      </c>
      <c r="I169">
        <v>5261</v>
      </c>
      <c r="K169">
        <f t="shared" si="4"/>
        <v>142</v>
      </c>
      <c r="L169">
        <f t="shared" si="5"/>
        <v>12.410494025645241</v>
      </c>
      <c r="N169">
        <v>187</v>
      </c>
      <c r="O169">
        <v>27224</v>
      </c>
      <c r="P169">
        <v>0.53049999999999997</v>
      </c>
      <c r="Q169" s="6">
        <f>O169*N169^P169</f>
        <v>436680.61005456693</v>
      </c>
      <c r="R169" t="s">
        <v>47</v>
      </c>
    </row>
    <row r="170" spans="1:20" x14ac:dyDescent="0.25">
      <c r="A170">
        <v>181</v>
      </c>
      <c r="B170" t="s">
        <v>44</v>
      </c>
      <c r="C170" t="s">
        <v>1</v>
      </c>
      <c r="D170">
        <v>1983</v>
      </c>
      <c r="E170">
        <v>12612</v>
      </c>
      <c r="F170">
        <v>0</v>
      </c>
      <c r="G170">
        <v>2103</v>
      </c>
      <c r="H170">
        <v>10473</v>
      </c>
      <c r="I170">
        <v>36</v>
      </c>
      <c r="K170">
        <f t="shared" si="4"/>
        <v>0</v>
      </c>
      <c r="L170">
        <f t="shared" si="5"/>
        <v>9.4424040206649522</v>
      </c>
    </row>
    <row r="171" spans="1:20" ht="15.75" thickBot="1" x14ac:dyDescent="0.3">
      <c r="A171">
        <v>182</v>
      </c>
      <c r="B171" t="s">
        <v>44</v>
      </c>
      <c r="C171" t="s">
        <v>1</v>
      </c>
      <c r="D171">
        <v>1984</v>
      </c>
      <c r="E171">
        <v>25962</v>
      </c>
      <c r="F171">
        <v>19608</v>
      </c>
      <c r="G171">
        <v>2446</v>
      </c>
      <c r="H171">
        <v>3908</v>
      </c>
      <c r="I171">
        <v>0</v>
      </c>
      <c r="K171">
        <f t="shared" si="4"/>
        <v>0</v>
      </c>
      <c r="L171">
        <f t="shared" si="5"/>
        <v>10.16438920945294</v>
      </c>
    </row>
    <row r="172" spans="1:20" ht="15.75" thickBot="1" x14ac:dyDescent="0.3">
      <c r="A172">
        <v>183</v>
      </c>
      <c r="B172" t="s">
        <v>44</v>
      </c>
      <c r="C172" t="s">
        <v>1</v>
      </c>
      <c r="D172">
        <v>1985</v>
      </c>
      <c r="E172">
        <v>9553856</v>
      </c>
      <c r="F172">
        <v>0</v>
      </c>
      <c r="G172">
        <v>9553856</v>
      </c>
      <c r="H172">
        <v>0</v>
      </c>
      <c r="I172">
        <v>0</v>
      </c>
      <c r="K172">
        <f t="shared" si="4"/>
        <v>19608</v>
      </c>
      <c r="L172">
        <f t="shared" si="5"/>
        <v>16.072455400597399</v>
      </c>
      <c r="N172" s="8" t="s">
        <v>48</v>
      </c>
      <c r="O172" s="9"/>
      <c r="P172" s="10"/>
      <c r="Q172" s="10"/>
      <c r="R172" s="10"/>
      <c r="S172" s="11">
        <f>AVERAGE(Q169,L131)</f>
        <v>354721.11673771689</v>
      </c>
      <c r="T172">
        <f>LN(S172)</f>
        <v>12.779087173068335</v>
      </c>
    </row>
    <row r="173" spans="1:20" x14ac:dyDescent="0.25">
      <c r="A173">
        <v>184</v>
      </c>
      <c r="B173" t="s">
        <v>44</v>
      </c>
      <c r="C173" t="s">
        <v>1</v>
      </c>
      <c r="D173">
        <v>1986</v>
      </c>
      <c r="E173">
        <v>712295</v>
      </c>
      <c r="F173">
        <v>33</v>
      </c>
      <c r="G173">
        <v>499074</v>
      </c>
      <c r="H173">
        <v>213188</v>
      </c>
      <c r="I173">
        <v>0</v>
      </c>
      <c r="K173">
        <f t="shared" si="4"/>
        <v>0</v>
      </c>
      <c r="L173">
        <f t="shared" si="5"/>
        <v>13.476247430427559</v>
      </c>
    </row>
    <row r="174" spans="1:20" x14ac:dyDescent="0.25">
      <c r="A174">
        <v>185</v>
      </c>
      <c r="B174" t="s">
        <v>44</v>
      </c>
      <c r="C174" t="s">
        <v>1</v>
      </c>
      <c r="D174">
        <v>1987</v>
      </c>
      <c r="E174">
        <v>87912</v>
      </c>
      <c r="F174">
        <v>85</v>
      </c>
      <c r="G174">
        <v>31515</v>
      </c>
      <c r="H174">
        <v>56312</v>
      </c>
      <c r="I174">
        <v>0</v>
      </c>
      <c r="K174">
        <f t="shared" si="4"/>
        <v>33</v>
      </c>
      <c r="L174">
        <f t="shared" si="5"/>
        <v>11.38409159312676</v>
      </c>
    </row>
    <row r="175" spans="1:20" x14ac:dyDescent="0.25">
      <c r="A175">
        <v>186</v>
      </c>
      <c r="B175" t="s">
        <v>44</v>
      </c>
      <c r="C175" t="s">
        <v>1</v>
      </c>
      <c r="D175">
        <v>1988</v>
      </c>
      <c r="E175">
        <v>46893</v>
      </c>
      <c r="F175">
        <v>28135</v>
      </c>
      <c r="G175">
        <v>6868</v>
      </c>
      <c r="H175">
        <v>8864</v>
      </c>
      <c r="I175">
        <v>0</v>
      </c>
      <c r="K175">
        <f t="shared" si="4"/>
        <v>85</v>
      </c>
      <c r="L175">
        <f t="shared" si="5"/>
        <v>10.755623689563581</v>
      </c>
    </row>
    <row r="176" spans="1:20" x14ac:dyDescent="0.25">
      <c r="A176">
        <v>187</v>
      </c>
      <c r="B176" t="s">
        <v>44</v>
      </c>
      <c r="C176" t="s">
        <v>1</v>
      </c>
      <c r="D176">
        <v>1989</v>
      </c>
      <c r="E176">
        <v>12161405</v>
      </c>
      <c r="F176">
        <v>41</v>
      </c>
      <c r="G176">
        <v>12137664</v>
      </c>
      <c r="H176">
        <v>0</v>
      </c>
      <c r="I176">
        <v>0</v>
      </c>
      <c r="K176">
        <f t="shared" si="4"/>
        <v>28135</v>
      </c>
      <c r="L176">
        <f t="shared" si="5"/>
        <v>16.313777970590902</v>
      </c>
    </row>
    <row r="177" spans="1:14" x14ac:dyDescent="0.25">
      <c r="A177">
        <v>188</v>
      </c>
      <c r="B177" t="s">
        <v>44</v>
      </c>
      <c r="C177" t="s">
        <v>1</v>
      </c>
      <c r="D177">
        <v>1990</v>
      </c>
      <c r="E177">
        <v>2716516</v>
      </c>
      <c r="F177">
        <v>11</v>
      </c>
      <c r="G177">
        <v>2364628</v>
      </c>
      <c r="H177">
        <v>334171</v>
      </c>
      <c r="I177">
        <v>17706</v>
      </c>
      <c r="K177">
        <f t="shared" si="4"/>
        <v>41</v>
      </c>
      <c r="L177">
        <f t="shared" si="5"/>
        <v>14.814860734888267</v>
      </c>
    </row>
    <row r="178" spans="1:14" x14ac:dyDescent="0.25">
      <c r="A178">
        <v>189</v>
      </c>
      <c r="B178" t="s">
        <v>44</v>
      </c>
      <c r="C178" t="s">
        <v>1</v>
      </c>
      <c r="D178">
        <v>1991</v>
      </c>
      <c r="E178">
        <v>288545</v>
      </c>
      <c r="F178">
        <v>0</v>
      </c>
      <c r="G178">
        <v>119437</v>
      </c>
      <c r="H178">
        <v>168115</v>
      </c>
      <c r="I178">
        <v>0</v>
      </c>
      <c r="K178">
        <f t="shared" si="4"/>
        <v>11</v>
      </c>
      <c r="L178">
        <f t="shared" si="5"/>
        <v>12.572606331969574</v>
      </c>
    </row>
    <row r="179" spans="1:14" x14ac:dyDescent="0.25">
      <c r="A179">
        <v>190</v>
      </c>
      <c r="B179" t="s">
        <v>44</v>
      </c>
      <c r="C179" t="s">
        <v>1</v>
      </c>
      <c r="D179">
        <v>1992</v>
      </c>
      <c r="E179">
        <v>96025</v>
      </c>
      <c r="F179">
        <v>10417</v>
      </c>
      <c r="G179">
        <v>26342</v>
      </c>
      <c r="H179">
        <v>57144</v>
      </c>
      <c r="I179">
        <v>0</v>
      </c>
      <c r="K179">
        <f t="shared" si="4"/>
        <v>0</v>
      </c>
      <c r="L179">
        <f t="shared" si="5"/>
        <v>11.472363853214105</v>
      </c>
    </row>
    <row r="180" spans="1:14" x14ac:dyDescent="0.25">
      <c r="A180">
        <v>191</v>
      </c>
      <c r="B180" t="s">
        <v>44</v>
      </c>
      <c r="C180" t="s">
        <v>1</v>
      </c>
      <c r="D180">
        <v>1993</v>
      </c>
      <c r="E180">
        <v>10340080</v>
      </c>
      <c r="F180">
        <v>585</v>
      </c>
      <c r="G180">
        <v>10339444</v>
      </c>
      <c r="H180">
        <v>0</v>
      </c>
      <c r="I180">
        <v>0</v>
      </c>
      <c r="K180">
        <f t="shared" si="4"/>
        <v>10417</v>
      </c>
      <c r="L180">
        <f t="shared" si="5"/>
        <v>16.151538163958534</v>
      </c>
    </row>
    <row r="181" spans="1:14" x14ac:dyDescent="0.25">
      <c r="A181">
        <v>192</v>
      </c>
      <c r="B181" t="s">
        <v>44</v>
      </c>
      <c r="C181" t="s">
        <v>1</v>
      </c>
      <c r="D181">
        <v>1994</v>
      </c>
      <c r="E181">
        <v>3236300</v>
      </c>
      <c r="F181">
        <v>26</v>
      </c>
      <c r="G181">
        <v>2946813</v>
      </c>
      <c r="H181">
        <v>280053</v>
      </c>
      <c r="I181">
        <v>9408</v>
      </c>
      <c r="K181">
        <f t="shared" si="4"/>
        <v>585</v>
      </c>
      <c r="L181">
        <f t="shared" si="5"/>
        <v>14.989941259909223</v>
      </c>
    </row>
    <row r="182" spans="1:14" x14ac:dyDescent="0.25">
      <c r="A182">
        <v>193</v>
      </c>
      <c r="B182" t="s">
        <v>44</v>
      </c>
      <c r="C182" t="s">
        <v>1</v>
      </c>
      <c r="D182">
        <v>1995</v>
      </c>
      <c r="E182">
        <v>436433</v>
      </c>
      <c r="F182">
        <v>1</v>
      </c>
      <c r="G182">
        <v>100196</v>
      </c>
      <c r="H182">
        <v>336236</v>
      </c>
      <c r="I182">
        <v>0</v>
      </c>
      <c r="K182">
        <f t="shared" si="4"/>
        <v>26</v>
      </c>
      <c r="L182">
        <f t="shared" si="5"/>
        <v>12.986390148780545</v>
      </c>
    </row>
    <row r="183" spans="1:14" x14ac:dyDescent="0.25">
      <c r="A183">
        <v>194</v>
      </c>
      <c r="B183" t="s">
        <v>44</v>
      </c>
      <c r="C183" t="s">
        <v>1</v>
      </c>
      <c r="D183">
        <v>1996</v>
      </c>
      <c r="E183">
        <v>82090</v>
      </c>
      <c r="F183">
        <v>1642</v>
      </c>
      <c r="G183">
        <v>29213</v>
      </c>
      <c r="H183">
        <v>50671</v>
      </c>
      <c r="I183">
        <v>282</v>
      </c>
      <c r="K183">
        <f t="shared" si="4"/>
        <v>1</v>
      </c>
      <c r="L183">
        <f t="shared" si="5"/>
        <v>11.315571485342312</v>
      </c>
    </row>
    <row r="184" spans="1:14" x14ac:dyDescent="0.25">
      <c r="A184">
        <v>195</v>
      </c>
      <c r="B184" t="s">
        <v>44</v>
      </c>
      <c r="C184" t="s">
        <v>1</v>
      </c>
      <c r="D184">
        <v>1997</v>
      </c>
      <c r="E184">
        <v>6446284</v>
      </c>
      <c r="F184">
        <v>248</v>
      </c>
      <c r="G184">
        <v>6446036</v>
      </c>
      <c r="H184">
        <v>0</v>
      </c>
      <c r="I184">
        <v>0</v>
      </c>
      <c r="K184">
        <f t="shared" si="4"/>
        <v>1642</v>
      </c>
      <c r="L184">
        <f t="shared" si="5"/>
        <v>15.679014398717728</v>
      </c>
    </row>
    <row r="185" spans="1:14" x14ac:dyDescent="0.25">
      <c r="A185">
        <v>196</v>
      </c>
      <c r="B185" t="s">
        <v>44</v>
      </c>
      <c r="C185" t="s">
        <v>1</v>
      </c>
      <c r="D185">
        <v>1998</v>
      </c>
      <c r="E185">
        <v>2666551</v>
      </c>
      <c r="F185">
        <v>0</v>
      </c>
      <c r="G185">
        <v>2263471</v>
      </c>
      <c r="H185">
        <v>398551</v>
      </c>
      <c r="I185">
        <v>4529</v>
      </c>
      <c r="K185">
        <f t="shared" si="4"/>
        <v>248</v>
      </c>
      <c r="L185">
        <f t="shared" si="5"/>
        <v>14.796296435035277</v>
      </c>
    </row>
    <row r="186" spans="1:14" x14ac:dyDescent="0.25">
      <c r="A186">
        <v>197</v>
      </c>
      <c r="B186" t="s">
        <v>44</v>
      </c>
      <c r="C186" t="s">
        <v>1</v>
      </c>
      <c r="D186">
        <v>1999</v>
      </c>
      <c r="E186">
        <v>332450</v>
      </c>
      <c r="F186">
        <v>0</v>
      </c>
      <c r="G186">
        <v>119078</v>
      </c>
      <c r="H186">
        <v>212902</v>
      </c>
      <c r="I186">
        <v>470</v>
      </c>
      <c r="K186">
        <f t="shared" si="4"/>
        <v>0</v>
      </c>
      <c r="L186">
        <f t="shared" si="5"/>
        <v>12.7142447518306</v>
      </c>
    </row>
    <row r="187" spans="1:14" x14ac:dyDescent="0.25">
      <c r="A187">
        <v>198</v>
      </c>
      <c r="B187" t="s">
        <v>44</v>
      </c>
      <c r="C187" t="s">
        <v>1</v>
      </c>
      <c r="D187">
        <v>2000</v>
      </c>
      <c r="E187">
        <v>117802</v>
      </c>
      <c r="F187">
        <v>79</v>
      </c>
      <c r="G187">
        <v>67906</v>
      </c>
      <c r="H187">
        <v>48228</v>
      </c>
      <c r="I187">
        <v>0</v>
      </c>
      <c r="K187">
        <f t="shared" si="4"/>
        <v>0</v>
      </c>
      <c r="L187">
        <f t="shared" si="5"/>
        <v>11.676760527984193</v>
      </c>
    </row>
    <row r="188" spans="1:14" x14ac:dyDescent="0.25">
      <c r="A188">
        <v>199</v>
      </c>
      <c r="B188" t="s">
        <v>44</v>
      </c>
      <c r="C188" t="s">
        <v>1</v>
      </c>
      <c r="D188">
        <v>2001</v>
      </c>
      <c r="E188">
        <v>4381602</v>
      </c>
      <c r="F188">
        <v>56</v>
      </c>
      <c r="G188">
        <v>4358762</v>
      </c>
      <c r="H188">
        <v>19609</v>
      </c>
      <c r="I188">
        <v>3175</v>
      </c>
      <c r="K188">
        <f t="shared" si="4"/>
        <v>79</v>
      </c>
      <c r="L188">
        <f t="shared" si="5"/>
        <v>15.292924968905808</v>
      </c>
    </row>
    <row r="189" spans="1:14" x14ac:dyDescent="0.25">
      <c r="A189">
        <v>200</v>
      </c>
      <c r="B189" t="s">
        <v>44</v>
      </c>
      <c r="C189" t="s">
        <v>1</v>
      </c>
      <c r="D189">
        <v>2002</v>
      </c>
      <c r="E189">
        <v>4800147</v>
      </c>
      <c r="F189">
        <v>0</v>
      </c>
      <c r="G189">
        <v>4467804</v>
      </c>
      <c r="H189">
        <v>318446</v>
      </c>
      <c r="I189">
        <v>13897</v>
      </c>
      <c r="K189">
        <f t="shared" si="4"/>
        <v>56</v>
      </c>
      <c r="L189">
        <f t="shared" si="5"/>
        <v>15.384157100409183</v>
      </c>
    </row>
    <row r="190" spans="1:14" x14ac:dyDescent="0.25">
      <c r="A190">
        <v>201</v>
      </c>
      <c r="B190" t="s">
        <v>44</v>
      </c>
      <c r="C190" t="s">
        <v>1</v>
      </c>
      <c r="D190">
        <v>2003</v>
      </c>
      <c r="E190">
        <v>853991</v>
      </c>
      <c r="F190">
        <v>0</v>
      </c>
      <c r="G190">
        <v>581976</v>
      </c>
      <c r="H190">
        <v>272015</v>
      </c>
      <c r="I190">
        <v>0</v>
      </c>
      <c r="K190">
        <f t="shared" si="4"/>
        <v>0</v>
      </c>
      <c r="L190">
        <f t="shared" si="5"/>
        <v>13.657675934073488</v>
      </c>
    </row>
    <row r="191" spans="1:14" x14ac:dyDescent="0.25">
      <c r="A191">
        <v>202</v>
      </c>
      <c r="B191" t="s">
        <v>44</v>
      </c>
      <c r="C191" t="s">
        <v>1</v>
      </c>
      <c r="D191">
        <v>2004</v>
      </c>
      <c r="E191">
        <v>271722</v>
      </c>
      <c r="F191">
        <v>42</v>
      </c>
      <c r="G191">
        <v>38143</v>
      </c>
      <c r="H191">
        <v>228610</v>
      </c>
      <c r="I191">
        <v>0</v>
      </c>
      <c r="K191">
        <f t="shared" si="4"/>
        <v>0</v>
      </c>
      <c r="L191">
        <f t="shared" si="5"/>
        <v>12.51253476379633</v>
      </c>
    </row>
    <row r="192" spans="1:14" x14ac:dyDescent="0.25">
      <c r="A192">
        <v>203</v>
      </c>
      <c r="B192" t="s">
        <v>44</v>
      </c>
      <c r="C192" t="s">
        <v>1</v>
      </c>
      <c r="D192">
        <v>2005</v>
      </c>
      <c r="E192">
        <v>3592160</v>
      </c>
      <c r="F192">
        <v>38</v>
      </c>
      <c r="G192">
        <v>3576455</v>
      </c>
      <c r="H192">
        <v>15667</v>
      </c>
      <c r="I192">
        <v>0</v>
      </c>
      <c r="K192">
        <f t="shared" si="4"/>
        <v>42</v>
      </c>
      <c r="L192">
        <f t="shared" si="5"/>
        <v>15.094264250842043</v>
      </c>
      <c r="N192" t="s">
        <v>49</v>
      </c>
    </row>
    <row r="193" spans="1:15" x14ac:dyDescent="0.25">
      <c r="A193">
        <v>204</v>
      </c>
      <c r="B193" t="s">
        <v>44</v>
      </c>
      <c r="C193" t="s">
        <v>1</v>
      </c>
      <c r="D193">
        <v>2006</v>
      </c>
      <c r="E193">
        <v>723165</v>
      </c>
      <c r="F193">
        <v>0</v>
      </c>
      <c r="G193">
        <v>603583</v>
      </c>
      <c r="H193">
        <v>115416</v>
      </c>
      <c r="I193">
        <v>4166</v>
      </c>
      <c r="K193">
        <f t="shared" si="4"/>
        <v>38</v>
      </c>
      <c r="L193">
        <f t="shared" si="5"/>
        <v>13.49139269087128</v>
      </c>
      <c r="N193" t="s">
        <v>50</v>
      </c>
    </row>
    <row r="194" spans="1:15" x14ac:dyDescent="0.25">
      <c r="A194">
        <v>205</v>
      </c>
      <c r="B194" t="s">
        <v>44</v>
      </c>
      <c r="C194" t="s">
        <v>1</v>
      </c>
      <c r="D194">
        <v>2007</v>
      </c>
      <c r="E194">
        <v>119068</v>
      </c>
      <c r="F194">
        <v>0</v>
      </c>
      <c r="G194">
        <v>82424</v>
      </c>
      <c r="H194">
        <v>36207</v>
      </c>
      <c r="I194">
        <v>437</v>
      </c>
      <c r="K194">
        <f t="shared" si="4"/>
        <v>0</v>
      </c>
      <c r="L194">
        <f t="shared" si="5"/>
        <v>11.687450037461959</v>
      </c>
      <c r="O194" t="s">
        <v>51</v>
      </c>
    </row>
    <row r="195" spans="1:15" x14ac:dyDescent="0.25">
      <c r="A195">
        <v>206</v>
      </c>
      <c r="B195" t="s">
        <v>44</v>
      </c>
      <c r="C195" t="s">
        <v>1</v>
      </c>
      <c r="D195">
        <v>2008</v>
      </c>
      <c r="E195">
        <v>68161</v>
      </c>
      <c r="F195">
        <v>0</v>
      </c>
      <c r="G195">
        <v>6545</v>
      </c>
      <c r="H195">
        <v>60604</v>
      </c>
      <c r="I195">
        <v>848</v>
      </c>
      <c r="K195">
        <f t="shared" si="4"/>
        <v>0</v>
      </c>
      <c r="L195">
        <f t="shared" si="5"/>
        <v>11.129627832757077</v>
      </c>
    </row>
    <row r="196" spans="1:15" x14ac:dyDescent="0.25">
      <c r="A196">
        <v>207</v>
      </c>
      <c r="B196" t="s">
        <v>44</v>
      </c>
      <c r="C196" t="s">
        <v>1</v>
      </c>
      <c r="D196">
        <v>2009</v>
      </c>
      <c r="E196">
        <v>203934</v>
      </c>
      <c r="F196">
        <v>67</v>
      </c>
      <c r="G196">
        <v>198574</v>
      </c>
      <c r="H196">
        <v>5107</v>
      </c>
      <c r="I196">
        <v>0</v>
      </c>
      <c r="K196">
        <f t="shared" si="4"/>
        <v>0</v>
      </c>
      <c r="L196">
        <f t="shared" si="5"/>
        <v>12.225551691067658</v>
      </c>
    </row>
    <row r="197" spans="1:15" x14ac:dyDescent="0.25">
      <c r="A197">
        <v>208</v>
      </c>
      <c r="B197" t="s">
        <v>44</v>
      </c>
      <c r="C197" t="s">
        <v>1</v>
      </c>
      <c r="D197">
        <v>2010</v>
      </c>
      <c r="E197">
        <v>604146</v>
      </c>
      <c r="F197">
        <v>23</v>
      </c>
      <c r="G197">
        <v>585766</v>
      </c>
      <c r="H197">
        <v>15503</v>
      </c>
      <c r="I197">
        <v>2854</v>
      </c>
      <c r="K197">
        <f t="shared" si="4"/>
        <v>67</v>
      </c>
      <c r="L197">
        <f t="shared" si="5"/>
        <v>13.311571169561237</v>
      </c>
    </row>
    <row r="198" spans="1:15" x14ac:dyDescent="0.25">
      <c r="A198">
        <v>209</v>
      </c>
      <c r="B198" t="s">
        <v>44</v>
      </c>
      <c r="C198" t="s">
        <v>1</v>
      </c>
      <c r="D198">
        <v>2011</v>
      </c>
      <c r="E198">
        <v>121801</v>
      </c>
      <c r="F198">
        <v>0</v>
      </c>
      <c r="G198">
        <v>79347</v>
      </c>
      <c r="H198">
        <v>42264</v>
      </c>
      <c r="I198">
        <v>0</v>
      </c>
      <c r="K198">
        <f t="shared" si="4"/>
        <v>23</v>
      </c>
      <c r="L198">
        <f t="shared" si="5"/>
        <v>11.710143844404854</v>
      </c>
    </row>
    <row r="199" spans="1:15" x14ac:dyDescent="0.25">
      <c r="A199">
        <v>210</v>
      </c>
      <c r="B199" t="s">
        <v>44</v>
      </c>
      <c r="C199" t="s">
        <v>1</v>
      </c>
      <c r="D199">
        <v>2012</v>
      </c>
      <c r="E199">
        <v>1416</v>
      </c>
      <c r="F199">
        <v>24</v>
      </c>
      <c r="G199">
        <v>794</v>
      </c>
      <c r="H199">
        <v>585</v>
      </c>
      <c r="I199">
        <v>13</v>
      </c>
      <c r="K199">
        <f t="shared" si="4"/>
        <v>0</v>
      </c>
      <c r="L199">
        <f t="shared" si="5"/>
        <v>7.255591274253665</v>
      </c>
    </row>
    <row r="200" spans="1:15" x14ac:dyDescent="0.25">
      <c r="A200">
        <v>211</v>
      </c>
      <c r="B200" t="s">
        <v>44</v>
      </c>
      <c r="C200" t="s">
        <v>1</v>
      </c>
      <c r="D200">
        <v>2013</v>
      </c>
      <c r="E200">
        <v>306977</v>
      </c>
      <c r="F200">
        <v>3986</v>
      </c>
      <c r="G200">
        <v>296378</v>
      </c>
      <c r="H200">
        <v>6267</v>
      </c>
      <c r="I200">
        <v>173</v>
      </c>
      <c r="K200">
        <f t="shared" si="4"/>
        <v>24</v>
      </c>
      <c r="L200">
        <f t="shared" si="5"/>
        <v>12.634528105196022</v>
      </c>
    </row>
    <row r="201" spans="1:15" x14ac:dyDescent="0.25">
      <c r="A201">
        <v>212</v>
      </c>
      <c r="B201" t="s">
        <v>44</v>
      </c>
      <c r="C201" t="s">
        <v>1</v>
      </c>
      <c r="D201">
        <v>2014</v>
      </c>
      <c r="E201">
        <v>2519390</v>
      </c>
      <c r="F201">
        <v>41</v>
      </c>
      <c r="G201">
        <v>2495754</v>
      </c>
      <c r="H201">
        <v>23536</v>
      </c>
      <c r="I201">
        <v>0</v>
      </c>
      <c r="K201">
        <f t="shared" si="4"/>
        <v>3986</v>
      </c>
      <c r="L201">
        <f t="shared" si="5"/>
        <v>14.739527366693446</v>
      </c>
    </row>
    <row r="202" spans="1:15" x14ac:dyDescent="0.25">
      <c r="A202">
        <v>213</v>
      </c>
      <c r="B202" t="s">
        <v>44</v>
      </c>
      <c r="C202" t="s">
        <v>1</v>
      </c>
      <c r="D202">
        <v>2015</v>
      </c>
      <c r="E202">
        <v>67128</v>
      </c>
      <c r="F202">
        <v>1</v>
      </c>
      <c r="G202">
        <v>37396</v>
      </c>
      <c r="H202">
        <v>29220</v>
      </c>
      <c r="I202">
        <v>511</v>
      </c>
      <c r="K202">
        <f t="shared" si="4"/>
        <v>41</v>
      </c>
      <c r="L202">
        <f t="shared" si="5"/>
        <v>11.114356523549905</v>
      </c>
    </row>
    <row r="203" spans="1:15" x14ac:dyDescent="0.25">
      <c r="A203">
        <v>214</v>
      </c>
      <c r="B203" t="s">
        <v>44</v>
      </c>
      <c r="C203" t="s">
        <v>1</v>
      </c>
      <c r="D203">
        <v>2016</v>
      </c>
      <c r="E203">
        <v>4761</v>
      </c>
      <c r="F203">
        <v>482</v>
      </c>
      <c r="G203">
        <v>295</v>
      </c>
      <c r="H203">
        <v>3984</v>
      </c>
      <c r="I203">
        <v>0</v>
      </c>
      <c r="K203">
        <f t="shared" si="4"/>
        <v>1</v>
      </c>
      <c r="L203">
        <f t="shared" si="5"/>
        <v>8.4682130091945194</v>
      </c>
    </row>
    <row r="204" spans="1:15" x14ac:dyDescent="0.25">
      <c r="A204">
        <v>215</v>
      </c>
      <c r="B204" t="s">
        <v>44</v>
      </c>
      <c r="C204" t="s">
        <v>1</v>
      </c>
      <c r="D204">
        <v>2017</v>
      </c>
      <c r="E204">
        <v>145779</v>
      </c>
      <c r="F204">
        <v>1846</v>
      </c>
      <c r="G204">
        <v>143727</v>
      </c>
      <c r="H204">
        <v>206</v>
      </c>
      <c r="I204">
        <v>0</v>
      </c>
      <c r="K204">
        <f t="shared" ref="K204:K211" si="6">F203</f>
        <v>482</v>
      </c>
      <c r="L204">
        <f t="shared" ref="L204:L211" si="7">LN(E204)</f>
        <v>11.889847055261146</v>
      </c>
    </row>
    <row r="205" spans="1:15" x14ac:dyDescent="0.25">
      <c r="A205">
        <v>216</v>
      </c>
      <c r="B205" t="s">
        <v>44</v>
      </c>
      <c r="C205" t="s">
        <v>1</v>
      </c>
      <c r="D205">
        <v>2018</v>
      </c>
      <c r="E205">
        <v>2138731</v>
      </c>
      <c r="F205">
        <v>0</v>
      </c>
      <c r="G205">
        <v>2130254</v>
      </c>
      <c r="H205">
        <v>8477</v>
      </c>
      <c r="I205">
        <v>0</v>
      </c>
      <c r="K205">
        <f t="shared" si="6"/>
        <v>1846</v>
      </c>
      <c r="L205">
        <f t="shared" si="7"/>
        <v>14.575723220455334</v>
      </c>
    </row>
    <row r="206" spans="1:15" x14ac:dyDescent="0.25">
      <c r="A206">
        <v>217</v>
      </c>
      <c r="B206" t="s">
        <v>44</v>
      </c>
      <c r="C206" t="s">
        <v>1</v>
      </c>
      <c r="D206">
        <v>2019</v>
      </c>
      <c r="E206">
        <v>45495</v>
      </c>
      <c r="F206">
        <v>0</v>
      </c>
      <c r="G206">
        <v>5174</v>
      </c>
      <c r="H206">
        <v>40089</v>
      </c>
      <c r="I206">
        <v>232</v>
      </c>
      <c r="K206">
        <f t="shared" si="6"/>
        <v>0</v>
      </c>
      <c r="L206">
        <f t="shared" si="7"/>
        <v>10.72535770879079</v>
      </c>
    </row>
    <row r="207" spans="1:15" x14ac:dyDescent="0.25">
      <c r="A207">
        <v>218</v>
      </c>
      <c r="B207" t="s">
        <v>44</v>
      </c>
      <c r="C207" t="s">
        <v>1</v>
      </c>
      <c r="D207">
        <v>2020</v>
      </c>
      <c r="E207">
        <v>1475</v>
      </c>
      <c r="F207">
        <v>9</v>
      </c>
      <c r="G207">
        <v>296</v>
      </c>
      <c r="H207">
        <v>1127</v>
      </c>
      <c r="I207">
        <v>43</v>
      </c>
      <c r="K207">
        <f t="shared" si="6"/>
        <v>0</v>
      </c>
      <c r="L207">
        <f t="shared" si="7"/>
        <v>7.2964132687739198</v>
      </c>
    </row>
    <row r="208" spans="1:15" x14ac:dyDescent="0.25">
      <c r="A208">
        <v>219</v>
      </c>
      <c r="B208" t="s">
        <v>44</v>
      </c>
      <c r="C208" t="s">
        <v>1</v>
      </c>
      <c r="D208">
        <v>2021</v>
      </c>
      <c r="E208">
        <v>121552</v>
      </c>
      <c r="F208">
        <v>493</v>
      </c>
      <c r="G208">
        <v>120329</v>
      </c>
      <c r="H208">
        <v>730</v>
      </c>
      <c r="I208">
        <v>0</v>
      </c>
      <c r="K208">
        <f t="shared" si="6"/>
        <v>9</v>
      </c>
      <c r="L208">
        <f t="shared" si="7"/>
        <v>11.708097433743003</v>
      </c>
    </row>
    <row r="209" spans="1:12" x14ac:dyDescent="0.25">
      <c r="A209">
        <v>220</v>
      </c>
      <c r="B209" t="s">
        <v>44</v>
      </c>
      <c r="C209" t="s">
        <v>1</v>
      </c>
      <c r="D209">
        <v>2022</v>
      </c>
      <c r="E209">
        <v>1501863</v>
      </c>
      <c r="F209">
        <v>0</v>
      </c>
      <c r="G209">
        <v>1501181</v>
      </c>
      <c r="H209">
        <v>682</v>
      </c>
      <c r="I209">
        <v>0</v>
      </c>
      <c r="K209">
        <f t="shared" si="6"/>
        <v>493</v>
      </c>
      <c r="L209">
        <f t="shared" si="7"/>
        <v>14.222216895428465</v>
      </c>
    </row>
    <row r="210" spans="1:12" x14ac:dyDescent="0.25">
      <c r="A210">
        <v>221</v>
      </c>
      <c r="B210" t="s">
        <v>44</v>
      </c>
      <c r="C210" t="s">
        <v>1</v>
      </c>
      <c r="D210">
        <v>2023</v>
      </c>
      <c r="E210">
        <v>122000</v>
      </c>
      <c r="F210">
        <v>0</v>
      </c>
      <c r="G210">
        <v>44000</v>
      </c>
      <c r="H210">
        <v>78000</v>
      </c>
      <c r="I210">
        <v>0</v>
      </c>
      <c r="K210">
        <f t="shared" si="6"/>
        <v>0</v>
      </c>
      <c r="L210">
        <f t="shared" si="7"/>
        <v>11.711776323715394</v>
      </c>
    </row>
    <row r="211" spans="1:12" x14ac:dyDescent="0.25">
      <c r="A211">
        <v>222</v>
      </c>
      <c r="B211" t="s">
        <v>44</v>
      </c>
      <c r="C211" t="s">
        <v>1</v>
      </c>
      <c r="D211">
        <v>2024</v>
      </c>
      <c r="E211">
        <v>5430</v>
      </c>
      <c r="F211">
        <v>187</v>
      </c>
      <c r="G211">
        <v>3183</v>
      </c>
      <c r="H211">
        <v>2060</v>
      </c>
      <c r="I211">
        <v>0</v>
      </c>
      <c r="K211">
        <f t="shared" si="6"/>
        <v>0</v>
      </c>
      <c r="L211">
        <f t="shared" si="7"/>
        <v>8.5996944129279811</v>
      </c>
    </row>
    <row r="213" spans="1:12" x14ac:dyDescent="0.25">
      <c r="D213" t="s">
        <v>52</v>
      </c>
      <c r="E213">
        <f>SUM(E138:E211)</f>
        <v>85225603</v>
      </c>
      <c r="F213" s="12">
        <f>SUM(F138:F211)/$E$213</f>
        <v>2.1573681326725255E-3</v>
      </c>
      <c r="G213" s="12">
        <f t="shared" ref="G213:I213" si="8">SUM(G138:G211)/$E$213</f>
        <v>0.95469827300605903</v>
      </c>
      <c r="H213" s="12">
        <f t="shared" si="8"/>
        <v>4.1919750336058048E-2</v>
      </c>
      <c r="I213" s="12">
        <f t="shared" si="8"/>
        <v>7.5535986527428857E-4</v>
      </c>
      <c r="K213" s="13"/>
    </row>
    <row r="216" spans="1:12" x14ac:dyDescent="0.25">
      <c r="K21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2025-05-21T17:09:24Z</dcterms:created>
  <dcterms:modified xsi:type="dcterms:W3CDTF">2025-05-21T17:11:25Z</dcterms:modified>
</cp:coreProperties>
</file>