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5E1104A3-49A9-4600-A5A4-77F2285C71A7}" xr6:coauthVersionLast="47" xr6:coauthVersionMax="47" xr10:uidLastSave="{00000000-0000-0000-0000-000000000000}"/>
  <bookViews>
    <workbookView xWindow="-120" yWindow="-120" windowWidth="29040" windowHeight="15720" activeTab="2" xr2:uid="{F2506C93-5B32-4D82-B9C1-43481305A108}"/>
  </bookViews>
  <sheets>
    <sheet name="Cors" sheetId="5" r:id="rId1"/>
    <sheet name="ENVIRO" sheetId="8" r:id="rId2"/>
    <sheet name="MAINPRED" sheetId="9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5" i="9" l="1"/>
  <c r="N216" i="9"/>
  <c r="E216" i="9"/>
  <c r="F196" i="9"/>
  <c r="E176" i="9"/>
  <c r="K154" i="9"/>
  <c r="F154" i="9"/>
  <c r="M153" i="9"/>
  <c r="M154" i="9" s="1"/>
  <c r="L153" i="9"/>
  <c r="L154" i="9" s="1"/>
  <c r="K153" i="9"/>
  <c r="J153" i="9"/>
  <c r="J154" i="9" s="1"/>
  <c r="I153" i="9"/>
  <c r="H153" i="9"/>
  <c r="G153" i="9"/>
  <c r="F153" i="9"/>
  <c r="E153" i="9"/>
  <c r="I154" i="9" s="1"/>
  <c r="O152" i="9"/>
  <c r="P151" i="9"/>
  <c r="O151" i="9"/>
  <c r="P150" i="9"/>
  <c r="O150" i="9"/>
  <c r="P149" i="9"/>
  <c r="O149" i="9"/>
  <c r="P148" i="9"/>
  <c r="O148" i="9"/>
  <c r="P147" i="9"/>
  <c r="O147" i="9"/>
  <c r="P146" i="9"/>
  <c r="O146" i="9"/>
  <c r="P145" i="9"/>
  <c r="O145" i="9"/>
  <c r="P144" i="9"/>
  <c r="O144" i="9"/>
  <c r="P143" i="9"/>
  <c r="O143" i="9"/>
  <c r="P142" i="9"/>
  <c r="O142" i="9"/>
  <c r="P141" i="9"/>
  <c r="O141" i="9"/>
  <c r="P140" i="9"/>
  <c r="O140" i="9"/>
  <c r="P139" i="9"/>
  <c r="O139" i="9"/>
  <c r="P138" i="9"/>
  <c r="O138" i="9"/>
  <c r="P137" i="9"/>
  <c r="O137" i="9"/>
  <c r="P136" i="9"/>
  <c r="O136" i="9"/>
  <c r="P135" i="9"/>
  <c r="O135" i="9"/>
  <c r="P134" i="9"/>
  <c r="O134" i="9"/>
  <c r="P133" i="9"/>
  <c r="O133" i="9"/>
  <c r="P132" i="9"/>
  <c r="O132" i="9"/>
  <c r="P131" i="9"/>
  <c r="O131" i="9"/>
  <c r="P130" i="9"/>
  <c r="O130" i="9"/>
  <c r="P129" i="9"/>
  <c r="O129" i="9"/>
  <c r="P128" i="9"/>
  <c r="O128" i="9"/>
  <c r="P127" i="9"/>
  <c r="O127" i="9"/>
  <c r="P85" i="9"/>
  <c r="S85" i="9" s="1"/>
  <c r="J66" i="9"/>
  <c r="L66" i="9" s="1"/>
  <c r="H66" i="9"/>
  <c r="G66" i="9"/>
  <c r="F66" i="9"/>
  <c r="D66" i="9"/>
  <c r="E66" i="9" s="1"/>
  <c r="E65" i="9"/>
  <c r="D65" i="9"/>
  <c r="D64" i="9"/>
  <c r="D63" i="9"/>
  <c r="D62" i="9"/>
  <c r="E62" i="9" s="1"/>
  <c r="D61" i="9"/>
  <c r="D60" i="9"/>
  <c r="E59" i="9"/>
  <c r="D59" i="9"/>
  <c r="D58" i="9"/>
  <c r="D57" i="9"/>
  <c r="D56" i="9"/>
  <c r="E55" i="9"/>
  <c r="D55" i="9"/>
  <c r="D54" i="9"/>
  <c r="D53" i="9"/>
  <c r="E53" i="9" s="1"/>
  <c r="D52" i="9"/>
  <c r="D51" i="9"/>
  <c r="D50" i="9"/>
  <c r="D49" i="9"/>
  <c r="D48" i="9"/>
  <c r="E47" i="9"/>
  <c r="D47" i="9"/>
  <c r="D46" i="9"/>
  <c r="D45" i="9"/>
  <c r="D44" i="9"/>
  <c r="D43" i="9"/>
  <c r="E43" i="9" s="1"/>
  <c r="D42" i="9"/>
  <c r="D41" i="9"/>
  <c r="D40" i="9"/>
  <c r="E40" i="9" s="1"/>
  <c r="D39" i="9"/>
  <c r="E38" i="9"/>
  <c r="D38" i="9"/>
  <c r="E37" i="9"/>
  <c r="D37" i="9"/>
  <c r="D36" i="9"/>
  <c r="D35" i="9"/>
  <c r="E34" i="9"/>
  <c r="D34" i="9"/>
  <c r="D33" i="9"/>
  <c r="D32" i="9"/>
  <c r="D31" i="9"/>
  <c r="E31" i="9" s="1"/>
  <c r="D30" i="9"/>
  <c r="D29" i="9"/>
  <c r="D28" i="9"/>
  <c r="D27" i="9"/>
  <c r="E26" i="9"/>
  <c r="D26" i="9"/>
  <c r="D25" i="9"/>
  <c r="D24" i="9"/>
  <c r="D23" i="9"/>
  <c r="D22" i="9"/>
  <c r="D21" i="9"/>
  <c r="D20" i="9"/>
  <c r="D19" i="9"/>
  <c r="E18" i="9"/>
  <c r="D18" i="9"/>
  <c r="D17" i="9"/>
  <c r="D16" i="9"/>
  <c r="D15" i="9"/>
  <c r="D14" i="9"/>
  <c r="D13" i="9"/>
  <c r="E12" i="9"/>
  <c r="D12" i="9"/>
  <c r="D11" i="9"/>
  <c r="D10" i="9"/>
  <c r="D9" i="9"/>
  <c r="D8" i="9"/>
  <c r="D7" i="9"/>
  <c r="D6" i="9"/>
  <c r="D5" i="9"/>
  <c r="X69" i="8"/>
  <c r="W69" i="8"/>
  <c r="R44" i="8"/>
  <c r="I62" i="8"/>
  <c r="J62" i="8" s="1"/>
  <c r="E13" i="9" l="1"/>
  <c r="E21" i="9"/>
  <c r="E24" i="9"/>
  <c r="E15" i="9"/>
  <c r="E51" i="9"/>
  <c r="E64" i="9"/>
  <c r="E58" i="9"/>
  <c r="E63" i="9"/>
  <c r="E11" i="9"/>
  <c r="E16" i="9"/>
  <c r="I66" i="9"/>
  <c r="E57" i="9"/>
  <c r="E35" i="9"/>
  <c r="E60" i="9"/>
  <c r="E23" i="9"/>
  <c r="E61" i="9"/>
  <c r="Q154" i="9"/>
  <c r="E32" i="9"/>
  <c r="E9" i="9"/>
  <c r="E10" i="9"/>
  <c r="E52" i="9"/>
  <c r="E27" i="9"/>
  <c r="E19" i="9"/>
  <c r="E14" i="9"/>
  <c r="E22" i="9"/>
  <c r="E6" i="9"/>
  <c r="E44" i="9"/>
  <c r="E25" i="9"/>
  <c r="E49" i="9"/>
  <c r="E17" i="9"/>
  <c r="E8" i="9"/>
  <c r="E50" i="9"/>
  <c r="E41" i="9"/>
  <c r="E56" i="9"/>
  <c r="E33" i="9"/>
  <c r="E29" i="9"/>
  <c r="K66" i="9"/>
  <c r="E30" i="9"/>
  <c r="E36" i="9"/>
  <c r="E28" i="9"/>
  <c r="E7" i="9"/>
  <c r="E20" i="9"/>
  <c r="E54" i="9"/>
  <c r="E48" i="9"/>
  <c r="E45" i="9"/>
  <c r="E42" i="9"/>
  <c r="E39" i="9"/>
  <c r="G154" i="9"/>
  <c r="E46" i="9"/>
  <c r="H154" i="9"/>
  <c r="R41" i="8"/>
  <c r="S41" i="8" s="1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G4" i="5"/>
  <c r="N21" i="8" l="1"/>
  <c r="O21" i="8" s="1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G5" i="5"/>
  <c r="AU6" i="5" l="1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</calcChain>
</file>

<file path=xl/sharedStrings.xml><?xml version="1.0" encoding="utf-8"?>
<sst xmlns="http://schemas.openxmlformats.org/spreadsheetml/2006/main" count="256" uniqueCount="118">
  <si>
    <t>INSERT</t>
  </si>
  <si>
    <t>TIME SERIES</t>
  </si>
  <si>
    <t>DATE</t>
  </si>
  <si>
    <t>MONTH</t>
  </si>
  <si>
    <t>PRCOMP1</t>
  </si>
  <si>
    <t>DATA</t>
  </si>
  <si>
    <t>CORR-&gt;</t>
  </si>
  <si>
    <t>TIME</t>
  </si>
  <si>
    <t>PRC1 for MONTHS PREVIOUS</t>
  </si>
  <si>
    <t>Ushagik</t>
  </si>
  <si>
    <t>ln run vs PC! Lags correlations</t>
  </si>
  <si>
    <t>blue is before 1999, red is after 1999 showing a big shift like many other BB runs</t>
  </si>
  <si>
    <t>red shows a good predictive correlation of-0.6 at T-24</t>
  </si>
  <si>
    <t>decent prediction of total run</t>
  </si>
  <si>
    <t>2025 PC1(-24) is</t>
  </si>
  <si>
    <t>within the cloud</t>
  </si>
  <si>
    <t>gives</t>
  </si>
  <si>
    <t>for total run</t>
  </si>
  <si>
    <t>quite a bit lower than I get from comp regressions</t>
  </si>
  <si>
    <t>correlation give good possibility of predicting 1.2s,  at -12 and  at T-20</t>
  </si>
  <si>
    <t>T-12 would be useful, but I don't have it available for prediction--cant use</t>
  </si>
  <si>
    <t>2025 value of PC1(T-20) is also not available</t>
  </si>
  <si>
    <t>inside the cloud</t>
  </si>
  <si>
    <t>1.2s in 2025</t>
  </si>
  <si>
    <t xml:space="preserve">The 2025 value of PC1(-24) is </t>
  </si>
  <si>
    <t>UGASHIK</t>
  </si>
  <si>
    <t>official</t>
  </si>
  <si>
    <t>tot</t>
  </si>
  <si>
    <t>1.2s</t>
  </si>
  <si>
    <t>ln 1.2s</t>
  </si>
  <si>
    <t>ln1.3s</t>
  </si>
  <si>
    <t>PC1-24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</si>
  <si>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</si>
  <si>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</si>
  <si>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</si>
  <si>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</si>
  <si>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</si>
  <si>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</si>
  <si>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</si>
  <si>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</si>
  <si>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</si>
  <si>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</si>
  <si>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</si>
  <si>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</si>
  <si>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</si>
  <si>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</si>
  <si>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</si>
  <si>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</si>
  <si>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</si>
  <si>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</si>
  <si>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</si>
  <si>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</si>
  <si>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</si>
  <si>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</si>
  <si>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</si>
  <si>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</si>
  <si>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</si>
  <si>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</si>
  <si>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prev</t>
  </si>
  <si>
    <t>good prediction</t>
  </si>
  <si>
    <t>doesn't pay much attentionto PC1, mostly trusts prev 1.2s</t>
  </si>
  <si>
    <t>Case:</t>
  </si>
  <si>
    <t>Ugashik</t>
  </si>
  <si>
    <t>observations</t>
  </si>
  <si>
    <t>Year</t>
  </si>
  <si>
    <t>Xt</t>
  </si>
  <si>
    <t>ln Rects</t>
  </si>
  <si>
    <t>deltaLnR</t>
  </si>
  <si>
    <t>last year's offical pred was</t>
  </si>
  <si>
    <t>4.78m</t>
  </si>
  <si>
    <t>turned out to be too low</t>
  </si>
  <si>
    <t>Comments</t>
  </si>
  <si>
    <t>2015 and 2016 seems to show no special relationship, suggesting no substantial El Nino effect.</t>
  </si>
  <si>
    <t>Trend since 2000 (linearized logs) gives 2024 value of</t>
  </si>
  <si>
    <t>which antilogs to</t>
  </si>
  <si>
    <t>my predictionwas fairly close to actual</t>
  </si>
  <si>
    <t>System</t>
  </si>
  <si>
    <t>River</t>
  </si>
  <si>
    <t>ReturnYear</t>
  </si>
  <si>
    <t>Total_Returns</t>
  </si>
  <si>
    <t>AC_1.1</t>
  </si>
  <si>
    <t>AC_1.2</t>
  </si>
  <si>
    <t>AC_1.3</t>
  </si>
  <si>
    <t>AC_1.4</t>
  </si>
  <si>
    <t>AC_2.1</t>
  </si>
  <si>
    <t>AC_2.2</t>
  </si>
  <si>
    <t>AC_2.3</t>
  </si>
  <si>
    <t>AC_2.4</t>
  </si>
  <si>
    <t>Bristol Bay</t>
  </si>
  <si>
    <t>lnratio1.3/1.2</t>
  </si>
  <si>
    <t>values since 2000</t>
  </si>
  <si>
    <t>average</t>
  </si>
  <si>
    <t>sum of other</t>
  </si>
  <si>
    <t>percent</t>
  </si>
  <si>
    <t>mostly 1.2s and 1.3s, with some 2.2s</t>
  </si>
  <si>
    <t>useful relationship</t>
  </si>
  <si>
    <t>power trendline looks better without logs</t>
  </si>
  <si>
    <t>2024 1.2s</t>
  </si>
  <si>
    <t>are at extreme right side of relationship</t>
  </si>
  <si>
    <t>giving</t>
  </si>
  <si>
    <t>1.3s</t>
  </si>
  <si>
    <t>which looks reasonable</t>
  </si>
  <si>
    <t>official pred was higher at 4.54m (maybe they used a linear predictor)</t>
  </si>
  <si>
    <t>start in 2001 to avoid zeroes</t>
  </si>
  <si>
    <t>2024 1.1s</t>
  </si>
  <si>
    <t>is at the low end, giving</t>
  </si>
  <si>
    <t>looks reasonable historically</t>
  </si>
  <si>
    <t>official pred was 1.62m which is similar</t>
  </si>
  <si>
    <t>2024 2.1s</t>
  </si>
  <si>
    <t>2024 2.2s</t>
  </si>
  <si>
    <t>official pred</t>
  </si>
  <si>
    <t>from regression</t>
  </si>
  <si>
    <t>from multreg 1.2&amp;PC1</t>
  </si>
  <si>
    <t>bigger than mine</t>
  </si>
  <si>
    <t>other</t>
  </si>
  <si>
    <t>avg</t>
  </si>
  <si>
    <t>total</t>
  </si>
  <si>
    <t>this is one of the best supported predictions in my BB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</si>
</sst>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1" fillId="0" borderId="1" xfId="0" applyFont="1" applyBorder="1"/>
    <xf numFmtId="0" fontId="4" fillId="0" borderId="0" xfId="0" applyFont="1"/>
    <xf numFmtId="0" fontId="5" fillId="0" borderId="0" xfId="0" applyFont="1"/>
    <xf numFmtId="1" fontId="0" fillId="0" borderId="0" xfId="0" applyNumberFormat="1"/>
    <xf numFmtId="1" fontId="0" fillId="0" borderId="0" xfId="0" quotePrefix="1" applyNumberFormat="1"/>
    <xf numFmtId="0" fontId="0" fillId="0" borderId="3" xfId="0" applyBorder="1"/>
    <xf numFmtId="1" fontId="0" fillId="0" borderId="3" xfId="0" applyNumberFormat="1" applyBorder="1"/>
    <xf numFmtId="1" fontId="0" fillId="0" borderId="3" xfId="0" quotePrefix="1" applyNumberFormat="1" applyBorder="1"/>
    <xf numFmtId="1" fontId="0" fillId="2" borderId="0" xfId="0" applyNumberFormat="1" applyFill="1"/>
    <xf numFmtId="165" fontId="0" fillId="0" borderId="0" xfId="1" applyNumberFormat="1" applyFont="1"/>
    <xf numFmtId="1" fontId="1" fillId="0" borderId="0" xfId="0" applyNumberFormat="1" applyFont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B-464D-8D48-6B9340721D4C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Cors!$G$4:$AU$4</c:f>
              <c:numCache>
                <c:formatCode>General</c:formatCode>
                <c:ptCount val="41"/>
                <c:pt idx="0">
                  <c:v>6.214922639424536E-2</c:v>
                </c:pt>
                <c:pt idx="1">
                  <c:v>4.3413601395205725E-2</c:v>
                </c:pt>
                <c:pt idx="2">
                  <c:v>0.12068904452909571</c:v>
                </c:pt>
                <c:pt idx="3">
                  <c:v>1.1901950476185072E-3</c:v>
                </c:pt>
                <c:pt idx="4">
                  <c:v>0.10197998462171219</c:v>
                </c:pt>
                <c:pt idx="5">
                  <c:v>9.7094232730948096E-2</c:v>
                </c:pt>
                <c:pt idx="6">
                  <c:v>0.21554828823214284</c:v>
                </c:pt>
                <c:pt idx="7">
                  <c:v>8.0007481986449386E-2</c:v>
                </c:pt>
                <c:pt idx="8">
                  <c:v>6.6561340361090585E-2</c:v>
                </c:pt>
                <c:pt idx="9">
                  <c:v>-6.717438231371177E-2</c:v>
                </c:pt>
                <c:pt idx="10">
                  <c:v>-0.10036059044483357</c:v>
                </c:pt>
                <c:pt idx="11">
                  <c:v>-0.11497301829538306</c:v>
                </c:pt>
                <c:pt idx="12">
                  <c:v>8.9735009579146527E-3</c:v>
                </c:pt>
                <c:pt idx="13">
                  <c:v>1.998955269610905E-2</c:v>
                </c:pt>
                <c:pt idx="14">
                  <c:v>0.26256096852734084</c:v>
                </c:pt>
                <c:pt idx="15">
                  <c:v>4.6964018076026938E-2</c:v>
                </c:pt>
                <c:pt idx="16">
                  <c:v>0.16925803034075612</c:v>
                </c:pt>
                <c:pt idx="17">
                  <c:v>4.5862091928854952E-2</c:v>
                </c:pt>
                <c:pt idx="18">
                  <c:v>0.11937522642286696</c:v>
                </c:pt>
                <c:pt idx="19">
                  <c:v>4.6971506869928112E-2</c:v>
                </c:pt>
                <c:pt idx="20">
                  <c:v>-4.4641709332879139E-3</c:v>
                </c:pt>
                <c:pt idx="21">
                  <c:v>-8.8998574116240667E-2</c:v>
                </c:pt>
                <c:pt idx="22">
                  <c:v>-0.13478405371150459</c:v>
                </c:pt>
                <c:pt idx="23">
                  <c:v>-0.13995577186988753</c:v>
                </c:pt>
                <c:pt idx="24">
                  <c:v>-0.36332146469227744</c:v>
                </c:pt>
                <c:pt idx="25">
                  <c:v>-0.33136999347202073</c:v>
                </c:pt>
                <c:pt idx="26">
                  <c:v>-0.20455451518711401</c:v>
                </c:pt>
                <c:pt idx="27">
                  <c:v>-0.15760325488006266</c:v>
                </c:pt>
                <c:pt idx="28">
                  <c:v>-0.26871660178643419</c:v>
                </c:pt>
                <c:pt idx="29">
                  <c:v>-0.38433520122037779</c:v>
                </c:pt>
                <c:pt idx="30">
                  <c:v>-0.45388997591540386</c:v>
                </c:pt>
                <c:pt idx="31">
                  <c:v>-0.4115283792428639</c:v>
                </c:pt>
                <c:pt idx="32">
                  <c:v>-0.42470671095849449</c:v>
                </c:pt>
                <c:pt idx="33">
                  <c:v>-0.4679117499555957</c:v>
                </c:pt>
                <c:pt idx="34">
                  <c:v>-0.47713487592228082</c:v>
                </c:pt>
                <c:pt idx="35">
                  <c:v>-0.42508087732407107</c:v>
                </c:pt>
                <c:pt idx="36">
                  <c:v>-0.51872202800024214</c:v>
                </c:pt>
                <c:pt idx="37">
                  <c:v>-0.47059599483044945</c:v>
                </c:pt>
                <c:pt idx="38">
                  <c:v>-0.25762879051166521</c:v>
                </c:pt>
                <c:pt idx="39">
                  <c:v>-0.29728848809290842</c:v>
                </c:pt>
                <c:pt idx="40">
                  <c:v>-0.44548732881003644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E-4B16-9AA6-1221DB6C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1.3s vs PC1(T-24) since 1999</a:t>
            </a:r>
          </a:p>
        </c:rich>
      </c:tx>
      <c:layout>
        <c:manualLayout>
          <c:xMode val="edge"/>
          <c:yMode val="edge"/>
          <c:x val="0.2933471128608923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459755030621169E-2"/>
                  <c:y val="-0.3346496792067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Cors!$AE$27:$AE$52</c:f>
              <c:numCache>
                <c:formatCode>0.000</c:formatCode>
                <c:ptCount val="26"/>
                <c:pt idx="0">
                  <c:v>-1.0207669603507683</c:v>
                </c:pt>
                <c:pt idx="1">
                  <c:v>0.36530161782924503</c:v>
                </c:pt>
                <c:pt idx="2">
                  <c:v>4.2896200438692365</c:v>
                </c:pt>
                <c:pt idx="3">
                  <c:v>3.5373226747692317</c:v>
                </c:pt>
                <c:pt idx="4">
                  <c:v>2.8748315578692294</c:v>
                </c:pt>
                <c:pt idx="5">
                  <c:v>1.9076068417692387</c:v>
                </c:pt>
                <c:pt idx="6">
                  <c:v>2.2880968023692252</c:v>
                </c:pt>
                <c:pt idx="7">
                  <c:v>1.3046613783592229</c:v>
                </c:pt>
                <c:pt idx="8">
                  <c:v>-0.5079246517307725</c:v>
                </c:pt>
                <c:pt idx="9">
                  <c:v>2.1628221249392339</c:v>
                </c:pt>
                <c:pt idx="10">
                  <c:v>2.2741382218892316</c:v>
                </c:pt>
                <c:pt idx="11">
                  <c:v>3.1445083440692292</c:v>
                </c:pt>
                <c:pt idx="12">
                  <c:v>2.8559780762592273</c:v>
                </c:pt>
                <c:pt idx="13">
                  <c:v>2.1367981933692386</c:v>
                </c:pt>
                <c:pt idx="14">
                  <c:v>2.994733051169236</c:v>
                </c:pt>
                <c:pt idx="15">
                  <c:v>3.3148665312692316</c:v>
                </c:pt>
                <c:pt idx="16">
                  <c:v>2.6100064923692252</c:v>
                </c:pt>
                <c:pt idx="17">
                  <c:v>1.4034630548992453</c:v>
                </c:pt>
                <c:pt idx="18">
                  <c:v>-3.0684870940772491E-2</c:v>
                </c:pt>
                <c:pt idx="19">
                  <c:v>-3.6238594620772724E-2</c:v>
                </c:pt>
                <c:pt idx="20">
                  <c:v>0.6355308827592252</c:v>
                </c:pt>
                <c:pt idx="21">
                  <c:v>2.0574152523692271</c:v>
                </c:pt>
                <c:pt idx="22">
                  <c:v>0.16846339816923617</c:v>
                </c:pt>
                <c:pt idx="23">
                  <c:v>0.94188844476923839</c:v>
                </c:pt>
                <c:pt idx="24">
                  <c:v>3.013470621229243</c:v>
                </c:pt>
                <c:pt idx="25">
                  <c:v>4.3843827266992443</c:v>
                </c:pt>
              </c:numCache>
            </c:numRef>
          </c:xVal>
          <c:yVal>
            <c:numRef>
              <c:f>Cors!$D$27:$D$52</c:f>
              <c:numCache>
                <c:formatCode>General</c:formatCode>
                <c:ptCount val="26"/>
                <c:pt idx="0">
                  <c:v>13.165231151980741</c:v>
                </c:pt>
                <c:pt idx="1">
                  <c:v>14.364807496133853</c:v>
                </c:pt>
                <c:pt idx="2">
                  <c:v>13.865094028579398</c:v>
                </c:pt>
                <c:pt idx="3">
                  <c:v>13.381365383995966</c:v>
                </c:pt>
                <c:pt idx="4">
                  <c:v>12.618881744751254</c:v>
                </c:pt>
                <c:pt idx="5">
                  <c:v>13.718844651656854</c:v>
                </c:pt>
                <c:pt idx="6">
                  <c:v>14.666757922860278</c:v>
                </c:pt>
                <c:pt idx="7">
                  <c:v>14.178702680805586</c:v>
                </c:pt>
                <c:pt idx="8">
                  <c:v>14.589081689416194</c:v>
                </c:pt>
                <c:pt idx="9">
                  <c:v>14.242615364590851</c:v>
                </c:pt>
                <c:pt idx="10">
                  <c:v>14.281815056337482</c:v>
                </c:pt>
                <c:pt idx="11">
                  <c:v>14.654509933326345</c:v>
                </c:pt>
                <c:pt idx="12">
                  <c:v>13.890094489292126</c:v>
                </c:pt>
                <c:pt idx="13">
                  <c:v>13.743321301321949</c:v>
                </c:pt>
                <c:pt idx="14">
                  <c:v>14.363133589473669</c:v>
                </c:pt>
                <c:pt idx="15">
                  <c:v>12.667456290192639</c:v>
                </c:pt>
                <c:pt idx="16">
                  <c:v>13.579970216671891</c:v>
                </c:pt>
                <c:pt idx="17">
                  <c:v>14.551469008881927</c:v>
                </c:pt>
                <c:pt idx="18">
                  <c:v>14.274826487471008</c:v>
                </c:pt>
                <c:pt idx="19">
                  <c:v>14.512874357030462</c:v>
                </c:pt>
                <c:pt idx="20">
                  <c:v>14.270730126534731</c:v>
                </c:pt>
                <c:pt idx="21">
                  <c:v>14.284593966000836</c:v>
                </c:pt>
                <c:pt idx="22">
                  <c:v>14.904491505019235</c:v>
                </c:pt>
                <c:pt idx="23">
                  <c:v>15.531548371694265</c:v>
                </c:pt>
                <c:pt idx="24">
                  <c:v>14.677110299179809</c:v>
                </c:pt>
                <c:pt idx="25">
                  <c:v>13.35773077814296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2-496F-BDF9-6D3B504FB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0143"/>
        <c:axId val="48548223"/>
      </c:scatterChart>
      <c:valAx>
        <c:axId val="485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223"/>
        <c:crosses val="autoZero"/>
        <c:crossBetween val="midCat"/>
      </c:valAx>
      <c:valAx>
        <c:axId val="485482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1.3s vs PC1(T-24) since 1999</a:t>
            </a:r>
          </a:p>
        </c:rich>
      </c:tx>
      <c:layout>
        <c:manualLayout>
          <c:xMode val="edge"/>
          <c:yMode val="edge"/>
          <c:x val="0.2933471128608923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459755030621169E-2"/>
                  <c:y val="-0.3346496792067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Cors!$AE$27:$AE$52</c:f>
              <c:numCache>
                <c:formatCode>0.000</c:formatCode>
                <c:ptCount val="26"/>
                <c:pt idx="0">
                  <c:v>-1.0207669603507683</c:v>
                </c:pt>
                <c:pt idx="1">
                  <c:v>0.36530161782924503</c:v>
                </c:pt>
                <c:pt idx="2">
                  <c:v>4.2896200438692365</c:v>
                </c:pt>
                <c:pt idx="3">
                  <c:v>3.5373226747692317</c:v>
                </c:pt>
                <c:pt idx="4">
                  <c:v>2.8748315578692294</c:v>
                </c:pt>
                <c:pt idx="5">
                  <c:v>1.9076068417692387</c:v>
                </c:pt>
                <c:pt idx="6">
                  <c:v>2.2880968023692252</c:v>
                </c:pt>
                <c:pt idx="7">
                  <c:v>1.3046613783592229</c:v>
                </c:pt>
                <c:pt idx="8">
                  <c:v>-0.5079246517307725</c:v>
                </c:pt>
                <c:pt idx="9">
                  <c:v>2.1628221249392339</c:v>
                </c:pt>
                <c:pt idx="10">
                  <c:v>2.2741382218892316</c:v>
                </c:pt>
                <c:pt idx="11">
                  <c:v>3.1445083440692292</c:v>
                </c:pt>
                <c:pt idx="12">
                  <c:v>2.8559780762592273</c:v>
                </c:pt>
                <c:pt idx="13">
                  <c:v>2.1367981933692386</c:v>
                </c:pt>
                <c:pt idx="14">
                  <c:v>2.994733051169236</c:v>
                </c:pt>
                <c:pt idx="15">
                  <c:v>3.3148665312692316</c:v>
                </c:pt>
                <c:pt idx="16">
                  <c:v>2.6100064923692252</c:v>
                </c:pt>
                <c:pt idx="17">
                  <c:v>1.4034630548992453</c:v>
                </c:pt>
                <c:pt idx="18">
                  <c:v>-3.0684870940772491E-2</c:v>
                </c:pt>
                <c:pt idx="19">
                  <c:v>-3.6238594620772724E-2</c:v>
                </c:pt>
                <c:pt idx="20">
                  <c:v>0.6355308827592252</c:v>
                </c:pt>
                <c:pt idx="21">
                  <c:v>2.0574152523692271</c:v>
                </c:pt>
                <c:pt idx="22">
                  <c:v>0.16846339816923617</c:v>
                </c:pt>
                <c:pt idx="23">
                  <c:v>0.94188844476923839</c:v>
                </c:pt>
                <c:pt idx="24">
                  <c:v>3.013470621229243</c:v>
                </c:pt>
                <c:pt idx="25">
                  <c:v>4.3843827266992443</c:v>
                </c:pt>
              </c:numCache>
            </c:numRef>
          </c:xVal>
          <c:yVal>
            <c:numRef>
              <c:f>Cors!$D$27:$D$52</c:f>
              <c:numCache>
                <c:formatCode>General</c:formatCode>
                <c:ptCount val="26"/>
                <c:pt idx="0">
                  <c:v>13.165231151980741</c:v>
                </c:pt>
                <c:pt idx="1">
                  <c:v>14.364807496133853</c:v>
                </c:pt>
                <c:pt idx="2">
                  <c:v>13.865094028579398</c:v>
                </c:pt>
                <c:pt idx="3">
                  <c:v>13.381365383995966</c:v>
                </c:pt>
                <c:pt idx="4">
                  <c:v>12.618881744751254</c:v>
                </c:pt>
                <c:pt idx="5">
                  <c:v>13.718844651656854</c:v>
                </c:pt>
                <c:pt idx="6">
                  <c:v>14.666757922860278</c:v>
                </c:pt>
                <c:pt idx="7">
                  <c:v>14.178702680805586</c:v>
                </c:pt>
                <c:pt idx="8">
                  <c:v>14.589081689416194</c:v>
                </c:pt>
                <c:pt idx="9">
                  <c:v>14.242615364590851</c:v>
                </c:pt>
                <c:pt idx="10">
                  <c:v>14.281815056337482</c:v>
                </c:pt>
                <c:pt idx="11">
                  <c:v>14.654509933326345</c:v>
                </c:pt>
                <c:pt idx="12">
                  <c:v>13.890094489292126</c:v>
                </c:pt>
                <c:pt idx="13">
                  <c:v>13.743321301321949</c:v>
                </c:pt>
                <c:pt idx="14">
                  <c:v>14.363133589473669</c:v>
                </c:pt>
                <c:pt idx="15">
                  <c:v>12.667456290192639</c:v>
                </c:pt>
                <c:pt idx="16">
                  <c:v>13.579970216671891</c:v>
                </c:pt>
                <c:pt idx="17">
                  <c:v>14.551469008881927</c:v>
                </c:pt>
                <c:pt idx="18">
                  <c:v>14.274826487471008</c:v>
                </c:pt>
                <c:pt idx="19">
                  <c:v>14.512874357030462</c:v>
                </c:pt>
                <c:pt idx="20">
                  <c:v>14.270730126534731</c:v>
                </c:pt>
                <c:pt idx="21">
                  <c:v>14.284593966000836</c:v>
                </c:pt>
                <c:pt idx="22">
                  <c:v>14.904491505019235</c:v>
                </c:pt>
                <c:pt idx="23">
                  <c:v>15.531548371694265</c:v>
                </c:pt>
                <c:pt idx="24">
                  <c:v>14.677110299179809</c:v>
                </c:pt>
                <c:pt idx="25">
                  <c:v>13.35773077814296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A1-4768-A1B3-8D3882368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0143"/>
        <c:axId val="48548223"/>
      </c:scatterChart>
      <c:valAx>
        <c:axId val="485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223"/>
        <c:crosses val="autoZero"/>
        <c:crossBetween val="midCat"/>
      </c:valAx>
      <c:valAx>
        <c:axId val="485482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[2]Ugashik!$B$5:$B$66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[2]Ugashik!$C$5:$C$66</c:f>
              <c:numCache>
                <c:formatCode>General</c:formatCode>
                <c:ptCount val="62"/>
                <c:pt idx="0">
                  <c:v>679649.32328790205</c:v>
                </c:pt>
                <c:pt idx="1">
                  <c:v>1305818.3161246199</c:v>
                </c:pt>
                <c:pt idx="2">
                  <c:v>2884254.35071031</c:v>
                </c:pt>
                <c:pt idx="3">
                  <c:v>1373739.2772935</c:v>
                </c:pt>
                <c:pt idx="4">
                  <c:v>440092.79618413298</c:v>
                </c:pt>
                <c:pt idx="5">
                  <c:v>149356.41899907199</c:v>
                </c:pt>
                <c:pt idx="6">
                  <c:v>301894.30168680398</c:v>
                </c:pt>
                <c:pt idx="7">
                  <c:v>1052934.46118651</c:v>
                </c:pt>
                <c:pt idx="8">
                  <c:v>1774596.3914392099</c:v>
                </c:pt>
                <c:pt idx="9">
                  <c:v>131748.183571503</c:v>
                </c:pt>
                <c:pt idx="10">
                  <c:v>63411.413714861897</c:v>
                </c:pt>
                <c:pt idx="11">
                  <c:v>66751.5754273028</c:v>
                </c:pt>
                <c:pt idx="12">
                  <c:v>525564.69407690503</c:v>
                </c:pt>
                <c:pt idx="13">
                  <c:v>618700.61883566203</c:v>
                </c:pt>
                <c:pt idx="14">
                  <c:v>429697.41251012101</c:v>
                </c:pt>
                <c:pt idx="15">
                  <c:v>97115.015037604302</c:v>
                </c:pt>
                <c:pt idx="16">
                  <c:v>2286731.6207001</c:v>
                </c:pt>
                <c:pt idx="17">
                  <c:v>4642573.2390397303</c:v>
                </c:pt>
                <c:pt idx="18">
                  <c:v>4078237.4770940002</c:v>
                </c:pt>
                <c:pt idx="19">
                  <c:v>2682649.72529</c:v>
                </c:pt>
                <c:pt idx="20">
                  <c:v>4148448.4178430098</c:v>
                </c:pt>
                <c:pt idx="21">
                  <c:v>4166991.7221367098</c:v>
                </c:pt>
                <c:pt idx="22">
                  <c:v>7940798.1978010098</c:v>
                </c:pt>
                <c:pt idx="23">
                  <c:v>6727273.69714831</c:v>
                </c:pt>
                <c:pt idx="24">
                  <c:v>2910012.7073079101</c:v>
                </c:pt>
                <c:pt idx="25">
                  <c:v>2155143.2115787002</c:v>
                </c:pt>
                <c:pt idx="26">
                  <c:v>5363340.0711695198</c:v>
                </c:pt>
                <c:pt idx="27">
                  <c:v>2712617.4381446401</c:v>
                </c:pt>
                <c:pt idx="28">
                  <c:v>5959036.3939711098</c:v>
                </c:pt>
                <c:pt idx="29">
                  <c:v>6341238.5733270096</c:v>
                </c:pt>
                <c:pt idx="30">
                  <c:v>6216697.5914543197</c:v>
                </c:pt>
                <c:pt idx="31">
                  <c:v>5569971.2442278098</c:v>
                </c:pt>
                <c:pt idx="32">
                  <c:v>5912957.9996541096</c:v>
                </c:pt>
                <c:pt idx="33">
                  <c:v>5370652.68109689</c:v>
                </c:pt>
                <c:pt idx="34">
                  <c:v>2508751.3482519099</c:v>
                </c:pt>
                <c:pt idx="35">
                  <c:v>1892274.6178445001</c:v>
                </c:pt>
                <c:pt idx="36">
                  <c:v>5223880.8060380099</c:v>
                </c:pt>
                <c:pt idx="37">
                  <c:v>2300098.28830051</c:v>
                </c:pt>
                <c:pt idx="38">
                  <c:v>1467574.96215954</c:v>
                </c:pt>
                <c:pt idx="39">
                  <c:v>2499048.61228676</c:v>
                </c:pt>
                <c:pt idx="40">
                  <c:v>2540239.7886111098</c:v>
                </c:pt>
                <c:pt idx="41">
                  <c:v>4202828.2551759901</c:v>
                </c:pt>
                <c:pt idx="42">
                  <c:v>3090001.9499975001</c:v>
                </c:pt>
                <c:pt idx="43">
                  <c:v>3779176.1272774199</c:v>
                </c:pt>
                <c:pt idx="44">
                  <c:v>7399703.2445900096</c:v>
                </c:pt>
                <c:pt idx="45">
                  <c:v>2930788.3040827699</c:v>
                </c:pt>
                <c:pt idx="46">
                  <c:v>3851254.22251001</c:v>
                </c:pt>
                <c:pt idx="47">
                  <c:v>4988743.50052201</c:v>
                </c:pt>
                <c:pt idx="48">
                  <c:v>4203387.3276987104</c:v>
                </c:pt>
                <c:pt idx="49">
                  <c:v>2922090.7856151802</c:v>
                </c:pt>
                <c:pt idx="50">
                  <c:v>2634359.7027942701</c:v>
                </c:pt>
                <c:pt idx="51">
                  <c:v>1154655.58746349</c:v>
                </c:pt>
                <c:pt idx="52">
                  <c:v>4248857.7875473304</c:v>
                </c:pt>
                <c:pt idx="53">
                  <c:v>7192817.5043510096</c:v>
                </c:pt>
                <c:pt idx="54">
                  <c:v>6672737.54143121</c:v>
                </c:pt>
                <c:pt idx="55">
                  <c:v>4770222.7644165801</c:v>
                </c:pt>
                <c:pt idx="56">
                  <c:v>3604963.0530481199</c:v>
                </c:pt>
                <c:pt idx="57">
                  <c:v>5078613.9749050001</c:v>
                </c:pt>
                <c:pt idx="58">
                  <c:v>10860143.501326101</c:v>
                </c:pt>
                <c:pt idx="59">
                  <c:v>7531752.0894673998</c:v>
                </c:pt>
                <c:pt idx="60">
                  <c:v>4378218.5745872697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0-4934-BBB8-FB959842899A}"/>
            </c:ext>
          </c:extLst>
        </c:ser>
        <c:ser>
          <c:idx val="1"/>
          <c:order val="1"/>
          <c:xVal>
            <c:numRef>
              <c:f>[3]Ugashik!$B$66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[3]Ugashik!$C$66</c:f>
              <c:numCache>
                <c:formatCode>0</c:formatCode>
                <c:ptCount val="1"/>
                <c:pt idx="0">
                  <c:v>7955574.46845177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20-4934-BBB8-FB959842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73728"/>
        <c:axId val="227201408"/>
      </c:scatterChart>
      <c:valAx>
        <c:axId val="205273728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27201408"/>
        <c:crosses val="autoZero"/>
        <c:crossBetween val="midCat"/>
      </c:valAx>
      <c:valAx>
        <c:axId val="22720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273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[2]Ugashik!$B$5:$B$66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[2]Ugashik!$C$5:$C$66</c:f>
              <c:numCache>
                <c:formatCode>General</c:formatCode>
                <c:ptCount val="62"/>
                <c:pt idx="0">
                  <c:v>679649.32328790205</c:v>
                </c:pt>
                <c:pt idx="1">
                  <c:v>1305818.3161246199</c:v>
                </c:pt>
                <c:pt idx="2">
                  <c:v>2884254.35071031</c:v>
                </c:pt>
                <c:pt idx="3">
                  <c:v>1373739.2772935</c:v>
                </c:pt>
                <c:pt idx="4">
                  <c:v>440092.79618413298</c:v>
                </c:pt>
                <c:pt idx="5">
                  <c:v>149356.41899907199</c:v>
                </c:pt>
                <c:pt idx="6">
                  <c:v>301894.30168680398</c:v>
                </c:pt>
                <c:pt idx="7">
                  <c:v>1052934.46118651</c:v>
                </c:pt>
                <c:pt idx="8">
                  <c:v>1774596.3914392099</c:v>
                </c:pt>
                <c:pt idx="9">
                  <c:v>131748.183571503</c:v>
                </c:pt>
                <c:pt idx="10">
                  <c:v>63411.413714861897</c:v>
                </c:pt>
                <c:pt idx="11">
                  <c:v>66751.5754273028</c:v>
                </c:pt>
                <c:pt idx="12">
                  <c:v>525564.69407690503</c:v>
                </c:pt>
                <c:pt idx="13">
                  <c:v>618700.61883566203</c:v>
                </c:pt>
                <c:pt idx="14">
                  <c:v>429697.41251012101</c:v>
                </c:pt>
                <c:pt idx="15">
                  <c:v>97115.015037604302</c:v>
                </c:pt>
                <c:pt idx="16">
                  <c:v>2286731.6207001</c:v>
                </c:pt>
                <c:pt idx="17">
                  <c:v>4642573.2390397303</c:v>
                </c:pt>
                <c:pt idx="18">
                  <c:v>4078237.4770940002</c:v>
                </c:pt>
                <c:pt idx="19">
                  <c:v>2682649.72529</c:v>
                </c:pt>
                <c:pt idx="20">
                  <c:v>4148448.4178430098</c:v>
                </c:pt>
                <c:pt idx="21">
                  <c:v>4166991.7221367098</c:v>
                </c:pt>
                <c:pt idx="22">
                  <c:v>7940798.1978010098</c:v>
                </c:pt>
                <c:pt idx="23">
                  <c:v>6727273.69714831</c:v>
                </c:pt>
                <c:pt idx="24">
                  <c:v>2910012.7073079101</c:v>
                </c:pt>
                <c:pt idx="25">
                  <c:v>2155143.2115787002</c:v>
                </c:pt>
                <c:pt idx="26">
                  <c:v>5363340.0711695198</c:v>
                </c:pt>
                <c:pt idx="27">
                  <c:v>2712617.4381446401</c:v>
                </c:pt>
                <c:pt idx="28">
                  <c:v>5959036.3939711098</c:v>
                </c:pt>
                <c:pt idx="29">
                  <c:v>6341238.5733270096</c:v>
                </c:pt>
                <c:pt idx="30">
                  <c:v>6216697.5914543197</c:v>
                </c:pt>
                <c:pt idx="31">
                  <c:v>5569971.2442278098</c:v>
                </c:pt>
                <c:pt idx="32">
                  <c:v>5912957.9996541096</c:v>
                </c:pt>
                <c:pt idx="33">
                  <c:v>5370652.68109689</c:v>
                </c:pt>
                <c:pt idx="34">
                  <c:v>2508751.3482519099</c:v>
                </c:pt>
                <c:pt idx="35">
                  <c:v>1892274.6178445001</c:v>
                </c:pt>
                <c:pt idx="36">
                  <c:v>5223880.8060380099</c:v>
                </c:pt>
                <c:pt idx="37">
                  <c:v>2300098.28830051</c:v>
                </c:pt>
                <c:pt idx="38">
                  <c:v>1467574.96215954</c:v>
                </c:pt>
                <c:pt idx="39">
                  <c:v>2499048.61228676</c:v>
                </c:pt>
                <c:pt idx="40">
                  <c:v>2540239.7886111098</c:v>
                </c:pt>
                <c:pt idx="41">
                  <c:v>4202828.2551759901</c:v>
                </c:pt>
                <c:pt idx="42">
                  <c:v>3090001.9499975001</c:v>
                </c:pt>
                <c:pt idx="43">
                  <c:v>3779176.1272774199</c:v>
                </c:pt>
                <c:pt idx="44">
                  <c:v>7399703.2445900096</c:v>
                </c:pt>
                <c:pt idx="45">
                  <c:v>2930788.3040827699</c:v>
                </c:pt>
                <c:pt idx="46">
                  <c:v>3851254.22251001</c:v>
                </c:pt>
                <c:pt idx="47">
                  <c:v>4988743.50052201</c:v>
                </c:pt>
                <c:pt idx="48">
                  <c:v>4203387.3276987104</c:v>
                </c:pt>
                <c:pt idx="49">
                  <c:v>2922090.7856151802</c:v>
                </c:pt>
                <c:pt idx="50">
                  <c:v>2634359.7027942701</c:v>
                </c:pt>
                <c:pt idx="51">
                  <c:v>1154655.58746349</c:v>
                </c:pt>
                <c:pt idx="52">
                  <c:v>4248857.7875473304</c:v>
                </c:pt>
                <c:pt idx="53">
                  <c:v>7192817.5043510096</c:v>
                </c:pt>
                <c:pt idx="54">
                  <c:v>6672737.54143121</c:v>
                </c:pt>
                <c:pt idx="55">
                  <c:v>4770222.7644165801</c:v>
                </c:pt>
                <c:pt idx="56">
                  <c:v>3604963.0530481199</c:v>
                </c:pt>
                <c:pt idx="57">
                  <c:v>5078613.9749050001</c:v>
                </c:pt>
                <c:pt idx="58">
                  <c:v>10860143.501326101</c:v>
                </c:pt>
                <c:pt idx="59">
                  <c:v>7531752.0894673998</c:v>
                </c:pt>
                <c:pt idx="60">
                  <c:v>4378218.5745872697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C2-41A5-B7A3-BECE51552701}"/>
            </c:ext>
          </c:extLst>
        </c:ser>
        <c:ser>
          <c:idx val="1"/>
          <c:order val="1"/>
          <c:xVal>
            <c:numRef>
              <c:f>[3]Ugashik!$B$66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[3]Ugashik!$C$66</c:f>
              <c:numCache>
                <c:formatCode>0</c:formatCode>
                <c:ptCount val="1"/>
                <c:pt idx="0">
                  <c:v>7955574.46845177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2-41A5-B7A3-BECE51552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92896"/>
        <c:axId val="226994432"/>
      </c:scatterChart>
      <c:valAx>
        <c:axId val="226992896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26994432"/>
        <c:crosses val="autoZero"/>
        <c:crossBetween val="midCat"/>
      </c:valAx>
      <c:valAx>
        <c:axId val="226994432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928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Ugashik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82518503515034"/>
          <c:y val="0.17810008748906384"/>
          <c:w val="0.81720911292840803"/>
          <c:h val="0.70205529308836401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5.3323248179186607E-2"/>
                  <c:y val="0.41709682123067948"/>
                </c:manualLayout>
              </c:layout>
              <c:numFmt formatCode="General" sourceLinked="0"/>
            </c:trendlineLbl>
          </c:trendline>
          <c:xVal>
            <c:numRef>
              <c:f>[2]Ugashik!$B$42:$B$66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[2]Ugashik!$D$42:$D$66</c:f>
              <c:numCache>
                <c:formatCode>General</c:formatCode>
                <c:ptCount val="25"/>
                <c:pt idx="0">
                  <c:v>14.648462414030005</c:v>
                </c:pt>
                <c:pt idx="1">
                  <c:v>14.199121910919493</c:v>
                </c:pt>
                <c:pt idx="2">
                  <c:v>14.73142066232367</c:v>
                </c:pt>
                <c:pt idx="3">
                  <c:v>14.747769039503854</c:v>
                </c:pt>
                <c:pt idx="4">
                  <c:v>15.251268250715052</c:v>
                </c:pt>
                <c:pt idx="5">
                  <c:v>14.943682279940882</c:v>
                </c:pt>
                <c:pt idx="6">
                  <c:v>15.145016588093251</c:v>
                </c:pt>
                <c:pt idx="7">
                  <c:v>15.816950455287857</c:v>
                </c:pt>
                <c:pt idx="8">
                  <c:v>14.890781990568966</c:v>
                </c:pt>
                <c:pt idx="9">
                  <c:v>15.163909425292287</c:v>
                </c:pt>
                <c:pt idx="10">
                  <c:v>15.422694632517274</c:v>
                </c:pt>
                <c:pt idx="11">
                  <c:v>15.251401264796844</c:v>
                </c:pt>
                <c:pt idx="12">
                  <c:v>14.887809940493627</c:v>
                </c:pt>
                <c:pt idx="13">
                  <c:v>14.784150713387012</c:v>
                </c:pt>
                <c:pt idx="14">
                  <c:v>13.959312664797453</c:v>
                </c:pt>
                <c:pt idx="15">
                  <c:v>15.262160748908052</c:v>
                </c:pt>
                <c:pt idx="16">
                  <c:v>15.788593517243195</c:v>
                </c:pt>
                <c:pt idx="17">
                  <c:v>15.713540759691774</c:v>
                </c:pt>
                <c:pt idx="18">
                  <c:v>15.377903562909612</c:v>
                </c:pt>
                <c:pt idx="19">
                  <c:v>15.097822079840933</c:v>
                </c:pt>
                <c:pt idx="20">
                  <c:v>15.440548942741543</c:v>
                </c:pt>
                <c:pt idx="21">
                  <c:v>16.200610086132865</c:v>
                </c:pt>
                <c:pt idx="22">
                  <c:v>15.834638253914173</c:v>
                </c:pt>
                <c:pt idx="23">
                  <c:v>15.292152481489616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C-4E7D-A6A1-A5169FEDCD4A}"/>
            </c:ext>
          </c:extLst>
        </c:ser>
        <c:ser>
          <c:idx val="1"/>
          <c:order val="1"/>
          <c:xVal>
            <c:numRef>
              <c:f>[3]Ugashik!$B$66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[3]Ugashik!$D$66</c:f>
              <c:numCache>
                <c:formatCode>General</c:formatCode>
                <c:ptCount val="1"/>
                <c:pt idx="0">
                  <c:v>15.889383431911185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5C-4E7D-A6A1-A5169FEDC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015296"/>
        <c:axId val="248869248"/>
      </c:scatterChart>
      <c:valAx>
        <c:axId val="227015296"/>
        <c:scaling>
          <c:orientation val="minMax"/>
          <c:min val="1995"/>
        </c:scaling>
        <c:delete val="0"/>
        <c:axPos val="b"/>
        <c:numFmt formatCode="General" sourceLinked="1"/>
        <c:majorTickMark val="out"/>
        <c:minorTickMark val="none"/>
        <c:tickLblPos val="nextTo"/>
        <c:crossAx val="248869248"/>
        <c:crosses val="autoZero"/>
        <c:crossBetween val="midCat"/>
      </c:valAx>
      <c:valAx>
        <c:axId val="248869248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7015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1.3s from 1.2s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595363079615049"/>
                  <c:y val="-0.168691673957421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[3]Ugashik!$G$126:$G$150</c:f>
              <c:numCache>
                <c:formatCode>0</c:formatCode>
                <c:ptCount val="25"/>
                <c:pt idx="0">
                  <c:v>3803140.4034464099</c:v>
                </c:pt>
                <c:pt idx="1">
                  <c:v>260683.56486184101</c:v>
                </c:pt>
                <c:pt idx="2">
                  <c:v>283827.95378632698</c:v>
                </c:pt>
                <c:pt idx="3">
                  <c:v>179053.304944581</c:v>
                </c:pt>
                <c:pt idx="4">
                  <c:v>1255075.28329584</c:v>
                </c:pt>
                <c:pt idx="5">
                  <c:v>1866357.0423719301</c:v>
                </c:pt>
                <c:pt idx="6">
                  <c:v>399297.90540828003</c:v>
                </c:pt>
                <c:pt idx="7">
                  <c:v>2071288.9715335299</c:v>
                </c:pt>
                <c:pt idx="8">
                  <c:v>4701777.6303380104</c:v>
                </c:pt>
                <c:pt idx="9">
                  <c:v>1319887.0845279901</c:v>
                </c:pt>
                <c:pt idx="10">
                  <c:v>876221.30284243706</c:v>
                </c:pt>
                <c:pt idx="11">
                  <c:v>1066919.5956379799</c:v>
                </c:pt>
                <c:pt idx="12">
                  <c:v>1274646.02509249</c:v>
                </c:pt>
                <c:pt idx="13">
                  <c:v>1047221.51248463</c:v>
                </c:pt>
                <c:pt idx="14">
                  <c:v>376289.50874437898</c:v>
                </c:pt>
                <c:pt idx="15">
                  <c:v>579294.20315141603</c:v>
                </c:pt>
                <c:pt idx="16">
                  <c:v>2738466.3609348601</c:v>
                </c:pt>
                <c:pt idx="17">
                  <c:v>3480574.00293882</c:v>
                </c:pt>
                <c:pt idx="18">
                  <c:v>3860506.65211961</c:v>
                </c:pt>
                <c:pt idx="19">
                  <c:v>2596182.36352685</c:v>
                </c:pt>
                <c:pt idx="20">
                  <c:v>1880555.73257158</c:v>
                </c:pt>
                <c:pt idx="21">
                  <c:v>3018962.9741633502</c:v>
                </c:pt>
                <c:pt idx="22">
                  <c:v>6695358.77405087</c:v>
                </c:pt>
                <c:pt idx="23">
                  <c:v>1171770.12534896</c:v>
                </c:pt>
                <c:pt idx="24">
                  <c:v>392624.76394739799</c:v>
                </c:pt>
              </c:numCache>
            </c:numRef>
          </c:xVal>
          <c:yVal>
            <c:numRef>
              <c:f>[3]Ugashik!$H$127:$H$151</c:f>
              <c:numCache>
                <c:formatCode>0</c:formatCode>
                <c:ptCount val="25"/>
                <c:pt idx="0">
                  <c:v>1732034.8620976601</c:v>
                </c:pt>
                <c:pt idx="1">
                  <c:v>1050833.3022563001</c:v>
                </c:pt>
                <c:pt idx="2">
                  <c:v>647818.20231930702</c:v>
                </c:pt>
                <c:pt idx="3">
                  <c:v>302211.30730572599</c:v>
                </c:pt>
                <c:pt idx="4">
                  <c:v>907859.265526289</c:v>
                </c:pt>
                <c:pt idx="5">
                  <c:v>2342567.0661858702</c:v>
                </c:pt>
                <c:pt idx="6">
                  <c:v>1437912.08846138</c:v>
                </c:pt>
                <c:pt idx="7">
                  <c:v>2167492.8511185502</c:v>
                </c:pt>
                <c:pt idx="8">
                  <c:v>1532813.30229716</c:v>
                </c:pt>
                <c:pt idx="9">
                  <c:v>1594092.3239738501</c:v>
                </c:pt>
                <c:pt idx="10">
                  <c:v>2314050.3221577802</c:v>
                </c:pt>
                <c:pt idx="11">
                  <c:v>1077435.7703422599</c:v>
                </c:pt>
                <c:pt idx="12">
                  <c:v>930354.803322147</c:v>
                </c:pt>
                <c:pt idx="13">
                  <c:v>1729138.02260219</c:v>
                </c:pt>
                <c:pt idx="14">
                  <c:v>317253.45950828999</c:v>
                </c:pt>
                <c:pt idx="15">
                  <c:v>790143.78694431903</c:v>
                </c:pt>
                <c:pt idx="16">
                  <c:v>2087481.78283184</c:v>
                </c:pt>
                <c:pt idx="17">
                  <c:v>1582990.7372733401</c:v>
                </c:pt>
                <c:pt idx="18">
                  <c:v>2008451.0419007901</c:v>
                </c:pt>
                <c:pt idx="19">
                  <c:v>1576519.49916722</c:v>
                </c:pt>
                <c:pt idx="20">
                  <c:v>1598528.3233032301</c:v>
                </c:pt>
                <c:pt idx="21">
                  <c:v>2971244.6736311801</c:v>
                </c:pt>
                <c:pt idx="22">
                  <c:v>5562445.2999657895</c:v>
                </c:pt>
                <c:pt idx="23">
                  <c:v>2366944.1647468498</c:v>
                </c:pt>
                <c:pt idx="24">
                  <c:v>632686.79126503097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F-4F96-9999-C66B19E7C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42720"/>
        <c:axId val="317847520"/>
      </c:scatterChart>
      <c:valAx>
        <c:axId val="3178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7520"/>
        <c:crosses val="autoZero"/>
        <c:crossBetween val="midCat"/>
      </c:valAx>
      <c:valAx>
        <c:axId val="3178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1.3s from 1.2s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35058158355205599"/>
                  <c:y val="-0.18007473024205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[3]Ugashik!$G$126:$G$150</c:f>
              <c:numCache>
                <c:formatCode>0</c:formatCode>
                <c:ptCount val="25"/>
                <c:pt idx="0">
                  <c:v>3803140.4034464099</c:v>
                </c:pt>
                <c:pt idx="1">
                  <c:v>260683.56486184101</c:v>
                </c:pt>
                <c:pt idx="2">
                  <c:v>283827.95378632698</c:v>
                </c:pt>
                <c:pt idx="3">
                  <c:v>179053.304944581</c:v>
                </c:pt>
                <c:pt idx="4">
                  <c:v>1255075.28329584</c:v>
                </c:pt>
                <c:pt idx="5">
                  <c:v>1866357.0423719301</c:v>
                </c:pt>
                <c:pt idx="6">
                  <c:v>399297.90540828003</c:v>
                </c:pt>
                <c:pt idx="7">
                  <c:v>2071288.9715335299</c:v>
                </c:pt>
                <c:pt idx="8">
                  <c:v>4701777.6303380104</c:v>
                </c:pt>
                <c:pt idx="9">
                  <c:v>1319887.0845279901</c:v>
                </c:pt>
                <c:pt idx="10">
                  <c:v>876221.30284243706</c:v>
                </c:pt>
                <c:pt idx="11">
                  <c:v>1066919.5956379799</c:v>
                </c:pt>
                <c:pt idx="12">
                  <c:v>1274646.02509249</c:v>
                </c:pt>
                <c:pt idx="13">
                  <c:v>1047221.51248463</c:v>
                </c:pt>
                <c:pt idx="14">
                  <c:v>376289.50874437898</c:v>
                </c:pt>
                <c:pt idx="15">
                  <c:v>579294.20315141603</c:v>
                </c:pt>
                <c:pt idx="16">
                  <c:v>2738466.3609348601</c:v>
                </c:pt>
                <c:pt idx="17">
                  <c:v>3480574.00293882</c:v>
                </c:pt>
                <c:pt idx="18">
                  <c:v>3860506.65211961</c:v>
                </c:pt>
                <c:pt idx="19">
                  <c:v>2596182.36352685</c:v>
                </c:pt>
                <c:pt idx="20">
                  <c:v>1880555.73257158</c:v>
                </c:pt>
                <c:pt idx="21">
                  <c:v>3018962.9741633502</c:v>
                </c:pt>
                <c:pt idx="22">
                  <c:v>6695358.77405087</c:v>
                </c:pt>
                <c:pt idx="23">
                  <c:v>1171770.12534896</c:v>
                </c:pt>
                <c:pt idx="24">
                  <c:v>392624.76394739799</c:v>
                </c:pt>
              </c:numCache>
            </c:numRef>
          </c:xVal>
          <c:yVal>
            <c:numRef>
              <c:f>[3]Ugashik!$H$127:$H$151</c:f>
              <c:numCache>
                <c:formatCode>0</c:formatCode>
                <c:ptCount val="25"/>
                <c:pt idx="0">
                  <c:v>1732034.8620976601</c:v>
                </c:pt>
                <c:pt idx="1">
                  <c:v>1050833.3022563001</c:v>
                </c:pt>
                <c:pt idx="2">
                  <c:v>647818.20231930702</c:v>
                </c:pt>
                <c:pt idx="3">
                  <c:v>302211.30730572599</c:v>
                </c:pt>
                <c:pt idx="4">
                  <c:v>907859.265526289</c:v>
                </c:pt>
                <c:pt idx="5">
                  <c:v>2342567.0661858702</c:v>
                </c:pt>
                <c:pt idx="6">
                  <c:v>1437912.08846138</c:v>
                </c:pt>
                <c:pt idx="7">
                  <c:v>2167492.8511185502</c:v>
                </c:pt>
                <c:pt idx="8">
                  <c:v>1532813.30229716</c:v>
                </c:pt>
                <c:pt idx="9">
                  <c:v>1594092.3239738501</c:v>
                </c:pt>
                <c:pt idx="10">
                  <c:v>2314050.3221577802</c:v>
                </c:pt>
                <c:pt idx="11">
                  <c:v>1077435.7703422599</c:v>
                </c:pt>
                <c:pt idx="12">
                  <c:v>930354.803322147</c:v>
                </c:pt>
                <c:pt idx="13">
                  <c:v>1729138.02260219</c:v>
                </c:pt>
                <c:pt idx="14">
                  <c:v>317253.45950828999</c:v>
                </c:pt>
                <c:pt idx="15">
                  <c:v>790143.78694431903</c:v>
                </c:pt>
                <c:pt idx="16">
                  <c:v>2087481.78283184</c:v>
                </c:pt>
                <c:pt idx="17">
                  <c:v>1582990.7372733401</c:v>
                </c:pt>
                <c:pt idx="18">
                  <c:v>2008451.0419007901</c:v>
                </c:pt>
                <c:pt idx="19">
                  <c:v>1576519.49916722</c:v>
                </c:pt>
                <c:pt idx="20">
                  <c:v>1598528.3233032301</c:v>
                </c:pt>
                <c:pt idx="21">
                  <c:v>2971244.6736311801</c:v>
                </c:pt>
                <c:pt idx="22">
                  <c:v>5562445.2999657895</c:v>
                </c:pt>
                <c:pt idx="23">
                  <c:v>2366944.1647468498</c:v>
                </c:pt>
                <c:pt idx="24">
                  <c:v>632686.79126503097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C-4C63-B2DE-2BF9EC4F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42720"/>
        <c:axId val="317847520"/>
      </c:scatterChart>
      <c:valAx>
        <c:axId val="317842720"/>
        <c:scaling>
          <c:logBase val="10"/>
          <c:orientation val="minMax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7520"/>
        <c:crosses val="autoZero"/>
        <c:crossBetween val="midCat"/>
      </c:valAx>
      <c:valAx>
        <c:axId val="317847520"/>
        <c:scaling>
          <c:logBase val="10"/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1.2s from 1.1s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595363079615049"/>
                  <c:y val="-0.168691673957421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[3]Ugashik!$F$128:$F$150</c:f>
              <c:numCache>
                <c:formatCode>0</c:formatCode>
                <c:ptCount val="23"/>
                <c:pt idx="0">
                  <c:v>1237.2743641854299</c:v>
                </c:pt>
                <c:pt idx="1">
                  <c:v>3670.8789146905001</c:v>
                </c:pt>
                <c:pt idx="2">
                  <c:v>2248.7818306668801</c:v>
                </c:pt>
                <c:pt idx="3">
                  <c:v>628.89579865165899</c:v>
                </c:pt>
                <c:pt idx="4">
                  <c:v>7745.0247116457504</c:v>
                </c:pt>
                <c:pt idx="5">
                  <c:v>10937.7034940556</c:v>
                </c:pt>
                <c:pt idx="6">
                  <c:v>12626.7679500013</c:v>
                </c:pt>
                <c:pt idx="7">
                  <c:v>650.12733830438697</c:v>
                </c:pt>
                <c:pt idx="8">
                  <c:v>66930.376025991907</c:v>
                </c:pt>
                <c:pt idx="9">
                  <c:v>41842.784333060699</c:v>
                </c:pt>
                <c:pt idx="10">
                  <c:v>7974.2525341958699</c:v>
                </c:pt>
                <c:pt idx="11">
                  <c:v>8826.1164022197499</c:v>
                </c:pt>
                <c:pt idx="12">
                  <c:v>10045.2678925323</c:v>
                </c:pt>
                <c:pt idx="13">
                  <c:v>64066.544515235699</c:v>
                </c:pt>
                <c:pt idx="14">
                  <c:v>104687.355717978</c:v>
                </c:pt>
                <c:pt idx="15">
                  <c:v>29906.304127901902</c:v>
                </c:pt>
                <c:pt idx="16">
                  <c:v>70409.780805152506</c:v>
                </c:pt>
                <c:pt idx="17">
                  <c:v>13553.7805223411</c:v>
                </c:pt>
                <c:pt idx="18">
                  <c:v>53838.484772088799</c:v>
                </c:pt>
                <c:pt idx="19">
                  <c:v>103761.76742640301</c:v>
                </c:pt>
                <c:pt idx="20">
                  <c:v>20784.8747594507</c:v>
                </c:pt>
                <c:pt idx="21">
                  <c:v>7524.8988665020197</c:v>
                </c:pt>
                <c:pt idx="22">
                  <c:v>170457.91028624499</c:v>
                </c:pt>
              </c:numCache>
            </c:numRef>
          </c:xVal>
          <c:yVal>
            <c:numRef>
              <c:f>[3]Ugashik!$G$129:$G$151</c:f>
              <c:numCache>
                <c:formatCode>0</c:formatCode>
                <c:ptCount val="23"/>
                <c:pt idx="0">
                  <c:v>179053.304944581</c:v>
                </c:pt>
                <c:pt idx="1">
                  <c:v>1255075.28329584</c:v>
                </c:pt>
                <c:pt idx="2">
                  <c:v>1866357.0423719301</c:v>
                </c:pt>
                <c:pt idx="3">
                  <c:v>399297.90540828003</c:v>
                </c:pt>
                <c:pt idx="4">
                  <c:v>2071288.9715335299</c:v>
                </c:pt>
                <c:pt idx="5">
                  <c:v>4701777.6303380104</c:v>
                </c:pt>
                <c:pt idx="6">
                  <c:v>1319887.0845279901</c:v>
                </c:pt>
                <c:pt idx="7">
                  <c:v>876221.30284243706</c:v>
                </c:pt>
                <c:pt idx="8">
                  <c:v>1066919.5956379799</c:v>
                </c:pt>
                <c:pt idx="9">
                  <c:v>1274646.02509249</c:v>
                </c:pt>
                <c:pt idx="10">
                  <c:v>1047221.51248463</c:v>
                </c:pt>
                <c:pt idx="11">
                  <c:v>376289.50874437898</c:v>
                </c:pt>
                <c:pt idx="12">
                  <c:v>579294.20315141603</c:v>
                </c:pt>
                <c:pt idx="13">
                  <c:v>2738466.3609348601</c:v>
                </c:pt>
                <c:pt idx="14">
                  <c:v>3480574.00293882</c:v>
                </c:pt>
                <c:pt idx="15">
                  <c:v>3860506.65211961</c:v>
                </c:pt>
                <c:pt idx="16">
                  <c:v>2596182.36352685</c:v>
                </c:pt>
                <c:pt idx="17">
                  <c:v>1880555.73257158</c:v>
                </c:pt>
                <c:pt idx="18">
                  <c:v>3018962.9741633502</c:v>
                </c:pt>
                <c:pt idx="19">
                  <c:v>6695358.77405087</c:v>
                </c:pt>
                <c:pt idx="20">
                  <c:v>1171770.12534896</c:v>
                </c:pt>
                <c:pt idx="21">
                  <c:v>392624.76394739799</c:v>
                </c:pt>
                <c:pt idx="22">
                  <c:v>6205992.3463995904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C3-422D-9718-DBC0B711A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42720"/>
        <c:axId val="317847520"/>
      </c:scatterChart>
      <c:valAx>
        <c:axId val="3178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7520"/>
        <c:crosses val="autoZero"/>
        <c:crossBetween val="midCat"/>
      </c:valAx>
      <c:valAx>
        <c:axId val="3178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1.2s from 1.1s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595363079615049"/>
                  <c:y val="-0.168691673957421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[3]Ugashik!$F$128:$F$150</c:f>
              <c:numCache>
                <c:formatCode>0</c:formatCode>
                <c:ptCount val="23"/>
                <c:pt idx="0">
                  <c:v>1237.2743641854299</c:v>
                </c:pt>
                <c:pt idx="1">
                  <c:v>3670.8789146905001</c:v>
                </c:pt>
                <c:pt idx="2">
                  <c:v>2248.7818306668801</c:v>
                </c:pt>
                <c:pt idx="3">
                  <c:v>628.89579865165899</c:v>
                </c:pt>
                <c:pt idx="4">
                  <c:v>7745.0247116457504</c:v>
                </c:pt>
                <c:pt idx="5">
                  <c:v>10937.7034940556</c:v>
                </c:pt>
                <c:pt idx="6">
                  <c:v>12626.7679500013</c:v>
                </c:pt>
                <c:pt idx="7">
                  <c:v>650.12733830438697</c:v>
                </c:pt>
                <c:pt idx="8">
                  <c:v>66930.376025991907</c:v>
                </c:pt>
                <c:pt idx="9">
                  <c:v>41842.784333060699</c:v>
                </c:pt>
                <c:pt idx="10">
                  <c:v>7974.2525341958699</c:v>
                </c:pt>
                <c:pt idx="11">
                  <c:v>8826.1164022197499</c:v>
                </c:pt>
                <c:pt idx="12">
                  <c:v>10045.2678925323</c:v>
                </c:pt>
                <c:pt idx="13">
                  <c:v>64066.544515235699</c:v>
                </c:pt>
                <c:pt idx="14">
                  <c:v>104687.355717978</c:v>
                </c:pt>
                <c:pt idx="15">
                  <c:v>29906.304127901902</c:v>
                </c:pt>
                <c:pt idx="16">
                  <c:v>70409.780805152506</c:v>
                </c:pt>
                <c:pt idx="17">
                  <c:v>13553.7805223411</c:v>
                </c:pt>
                <c:pt idx="18">
                  <c:v>53838.484772088799</c:v>
                </c:pt>
                <c:pt idx="19">
                  <c:v>103761.76742640301</c:v>
                </c:pt>
                <c:pt idx="20">
                  <c:v>20784.8747594507</c:v>
                </c:pt>
                <c:pt idx="21">
                  <c:v>7524.8988665020197</c:v>
                </c:pt>
                <c:pt idx="22">
                  <c:v>170457.91028624499</c:v>
                </c:pt>
              </c:numCache>
            </c:numRef>
          </c:xVal>
          <c:yVal>
            <c:numRef>
              <c:f>[3]Ugashik!$G$129:$G$151</c:f>
              <c:numCache>
                <c:formatCode>0</c:formatCode>
                <c:ptCount val="23"/>
                <c:pt idx="0">
                  <c:v>179053.304944581</c:v>
                </c:pt>
                <c:pt idx="1">
                  <c:v>1255075.28329584</c:v>
                </c:pt>
                <c:pt idx="2">
                  <c:v>1866357.0423719301</c:v>
                </c:pt>
                <c:pt idx="3">
                  <c:v>399297.90540828003</c:v>
                </c:pt>
                <c:pt idx="4">
                  <c:v>2071288.9715335299</c:v>
                </c:pt>
                <c:pt idx="5">
                  <c:v>4701777.6303380104</c:v>
                </c:pt>
                <c:pt idx="6">
                  <c:v>1319887.0845279901</c:v>
                </c:pt>
                <c:pt idx="7">
                  <c:v>876221.30284243706</c:v>
                </c:pt>
                <c:pt idx="8">
                  <c:v>1066919.5956379799</c:v>
                </c:pt>
                <c:pt idx="9">
                  <c:v>1274646.02509249</c:v>
                </c:pt>
                <c:pt idx="10">
                  <c:v>1047221.51248463</c:v>
                </c:pt>
                <c:pt idx="11">
                  <c:v>376289.50874437898</c:v>
                </c:pt>
                <c:pt idx="12">
                  <c:v>579294.20315141603</c:v>
                </c:pt>
                <c:pt idx="13">
                  <c:v>2738466.3609348601</c:v>
                </c:pt>
                <c:pt idx="14">
                  <c:v>3480574.00293882</c:v>
                </c:pt>
                <c:pt idx="15">
                  <c:v>3860506.65211961</c:v>
                </c:pt>
                <c:pt idx="16">
                  <c:v>2596182.36352685</c:v>
                </c:pt>
                <c:pt idx="17">
                  <c:v>1880555.73257158</c:v>
                </c:pt>
                <c:pt idx="18">
                  <c:v>3018962.9741633502</c:v>
                </c:pt>
                <c:pt idx="19">
                  <c:v>6695358.77405087</c:v>
                </c:pt>
                <c:pt idx="20">
                  <c:v>1171770.12534896</c:v>
                </c:pt>
                <c:pt idx="21">
                  <c:v>392624.76394739799</c:v>
                </c:pt>
                <c:pt idx="22">
                  <c:v>6205992.3463995904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DC-4D4C-A510-A12132E7B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42720"/>
        <c:axId val="317847520"/>
      </c:scatterChart>
      <c:valAx>
        <c:axId val="317842720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7520"/>
        <c:crosses val="autoZero"/>
        <c:crossBetween val="midCat"/>
      </c:valAx>
      <c:valAx>
        <c:axId val="317847520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2.2s from 2.1s</a:t>
            </a:r>
          </a:p>
        </c:rich>
      </c:tx>
      <c:layout>
        <c:manualLayout>
          <c:xMode val="edge"/>
          <c:yMode val="edge"/>
          <c:x val="0.386944444444444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020428696412948"/>
                  <c:y val="-4.70199037620297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[3]Ugashik!$J$128:$J$150</c:f>
              <c:numCache>
                <c:formatCode>0</c:formatCode>
                <c:ptCount val="23"/>
                <c:pt idx="0">
                  <c:v>2867.1747626860201</c:v>
                </c:pt>
                <c:pt idx="1">
                  <c:v>21.415483541964999</c:v>
                </c:pt>
                <c:pt idx="2">
                  <c:v>24647.599553039199</c:v>
                </c:pt>
                <c:pt idx="3">
                  <c:v>397.442014910343</c:v>
                </c:pt>
                <c:pt idx="4">
                  <c:v>2009.4145841362199</c:v>
                </c:pt>
                <c:pt idx="5">
                  <c:v>241.89173174707801</c:v>
                </c:pt>
                <c:pt idx="6">
                  <c:v>3.32997879325521E-9</c:v>
                </c:pt>
                <c:pt idx="7">
                  <c:v>372.98362487373703</c:v>
                </c:pt>
                <c:pt idx="8">
                  <c:v>1956.51824047025</c:v>
                </c:pt>
                <c:pt idx="9">
                  <c:v>21808.007559968701</c:v>
                </c:pt>
                <c:pt idx="10">
                  <c:v>13504.975354263301</c:v>
                </c:pt>
                <c:pt idx="11">
                  <c:v>1655.55782916099</c:v>
                </c:pt>
                <c:pt idx="12">
                  <c:v>2519.2518811537898</c:v>
                </c:pt>
                <c:pt idx="13">
                  <c:v>6942.2666510665003</c:v>
                </c:pt>
                <c:pt idx="14">
                  <c:v>41288.330771765097</c:v>
                </c:pt>
                <c:pt idx="15">
                  <c:v>5117.0357371207401</c:v>
                </c:pt>
                <c:pt idx="16">
                  <c:v>978.05286473583305</c:v>
                </c:pt>
                <c:pt idx="17">
                  <c:v>6.9672682060135702E-2</c:v>
                </c:pt>
                <c:pt idx="18">
                  <c:v>6553.6585392591496</c:v>
                </c:pt>
                <c:pt idx="19">
                  <c:v>5883.3179923625303</c:v>
                </c:pt>
                <c:pt idx="20">
                  <c:v>3330.4702977678298</c:v>
                </c:pt>
                <c:pt idx="21">
                  <c:v>2901.2421132982699</c:v>
                </c:pt>
                <c:pt idx="22">
                  <c:v>11832.5843482622</c:v>
                </c:pt>
              </c:numCache>
            </c:numRef>
          </c:xVal>
          <c:yVal>
            <c:numRef>
              <c:f>[3]Ugashik!$K$129:$K$151</c:f>
              <c:numCache>
                <c:formatCode>0</c:formatCode>
                <c:ptCount val="23"/>
                <c:pt idx="0">
                  <c:v>1657638.04164836</c:v>
                </c:pt>
                <c:pt idx="1">
                  <c:v>524716.21424412599</c:v>
                </c:pt>
                <c:pt idx="2">
                  <c:v>1185602.63859226</c:v>
                </c:pt>
                <c:pt idx="3">
                  <c:v>44273.562307694403</c:v>
                </c:pt>
                <c:pt idx="4">
                  <c:v>130860.81155099699</c:v>
                </c:pt>
                <c:pt idx="5">
                  <c:v>305593.96403063001</c:v>
                </c:pt>
                <c:pt idx="6">
                  <c:v>35668.2375910314</c:v>
                </c:pt>
                <c:pt idx="7">
                  <c:v>1238125.80100635</c:v>
                </c:pt>
                <c:pt idx="8">
                  <c:v>1174215.2155265</c:v>
                </c:pt>
                <c:pt idx="9">
                  <c:v>935099.16645540798</c:v>
                </c:pt>
                <c:pt idx="10">
                  <c:v>697799.65867182706</c:v>
                </c:pt>
                <c:pt idx="11">
                  <c:v>332241.25477528601</c:v>
                </c:pt>
                <c:pt idx="12">
                  <c:v>144373.05230647299</c:v>
                </c:pt>
                <c:pt idx="13">
                  <c:v>441781.20150610898</c:v>
                </c:pt>
                <c:pt idx="14">
                  <c:v>1304626.3560929301</c:v>
                </c:pt>
                <c:pt idx="15">
                  <c:v>653764.07475986099</c:v>
                </c:pt>
                <c:pt idx="16">
                  <c:v>56487.626026954502</c:v>
                </c:pt>
                <c:pt idx="17">
                  <c:v>53209.322467960003</c:v>
                </c:pt>
                <c:pt idx="18">
                  <c:v>321079.83426525199</c:v>
                </c:pt>
                <c:pt idx="19">
                  <c:v>844961.10937457997</c:v>
                </c:pt>
                <c:pt idx="20">
                  <c:v>527078.42774688103</c:v>
                </c:pt>
                <c:pt idx="21">
                  <c:v>408380.61475767102</c:v>
                </c:pt>
                <c:pt idx="22">
                  <c:v>468629.152186163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02-430E-BF77-83B4B70D5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42720"/>
        <c:axId val="317847520"/>
      </c:scatterChart>
      <c:valAx>
        <c:axId val="3178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7520"/>
        <c:crosses val="autoZero"/>
        <c:crossBetween val="midCat"/>
      </c:valAx>
      <c:valAx>
        <c:axId val="3178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2.3s from 2.2s</a:t>
            </a:r>
          </a:p>
        </c:rich>
      </c:tx>
      <c:layout>
        <c:manualLayout>
          <c:xMode val="edge"/>
          <c:yMode val="edge"/>
          <c:x val="0.386944444444444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3020428696412948"/>
                  <c:y val="-4.70199037620297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[3]Ugashik!$K$128:$K$150</c:f>
              <c:numCache>
                <c:formatCode>0</c:formatCode>
                <c:ptCount val="23"/>
                <c:pt idx="0">
                  <c:v>31801.3042183789</c:v>
                </c:pt>
                <c:pt idx="1">
                  <c:v>1657638.04164836</c:v>
                </c:pt>
                <c:pt idx="2">
                  <c:v>524716.21424412599</c:v>
                </c:pt>
                <c:pt idx="3">
                  <c:v>1185602.63859226</c:v>
                </c:pt>
                <c:pt idx="4">
                  <c:v>44273.562307694403</c:v>
                </c:pt>
                <c:pt idx="5">
                  <c:v>130860.81155099699</c:v>
                </c:pt>
                <c:pt idx="6">
                  <c:v>305593.96403063001</c:v>
                </c:pt>
                <c:pt idx="7">
                  <c:v>35668.2375910314</c:v>
                </c:pt>
                <c:pt idx="8">
                  <c:v>1238125.80100635</c:v>
                </c:pt>
                <c:pt idx="9">
                  <c:v>1174215.2155265</c:v>
                </c:pt>
                <c:pt idx="10">
                  <c:v>935099.16645540798</c:v>
                </c:pt>
                <c:pt idx="11">
                  <c:v>697799.65867182706</c:v>
                </c:pt>
                <c:pt idx="12">
                  <c:v>332241.25477528601</c:v>
                </c:pt>
                <c:pt idx="13">
                  <c:v>144373.05230647299</c:v>
                </c:pt>
                <c:pt idx="14">
                  <c:v>441781.20150610898</c:v>
                </c:pt>
                <c:pt idx="15">
                  <c:v>1304626.3560929301</c:v>
                </c:pt>
                <c:pt idx="16">
                  <c:v>653764.07475986099</c:v>
                </c:pt>
                <c:pt idx="17">
                  <c:v>56487.626026954502</c:v>
                </c:pt>
                <c:pt idx="18">
                  <c:v>53209.322467960003</c:v>
                </c:pt>
                <c:pt idx="19">
                  <c:v>321079.83426525199</c:v>
                </c:pt>
                <c:pt idx="20">
                  <c:v>844961.10937457997</c:v>
                </c:pt>
                <c:pt idx="21">
                  <c:v>527078.42774688103</c:v>
                </c:pt>
                <c:pt idx="22">
                  <c:v>408380.61475767102</c:v>
                </c:pt>
              </c:numCache>
            </c:numRef>
          </c:xVal>
          <c:yVal>
            <c:numRef>
              <c:f>[3]Ugashik!$L$129:$L$151</c:f>
              <c:numCache>
                <c:formatCode>0</c:formatCode>
                <c:ptCount val="23"/>
                <c:pt idx="0">
                  <c:v>9008.4276202247293</c:v>
                </c:pt>
                <c:pt idx="1">
                  <c:v>418907.62828322803</c:v>
                </c:pt>
                <c:pt idx="2">
                  <c:v>235000.59376015299</c:v>
                </c:pt>
                <c:pt idx="3">
                  <c:v>289264.45386669302</c:v>
                </c:pt>
                <c:pt idx="4">
                  <c:v>74227.323669706093</c:v>
                </c:pt>
                <c:pt idx="5">
                  <c:v>160042.241244815</c:v>
                </c:pt>
                <c:pt idx="6">
                  <c:v>26175.841679933001</c:v>
                </c:pt>
                <c:pt idx="7">
                  <c:v>61131.167043247202</c:v>
                </c:pt>
                <c:pt idx="8">
                  <c:v>363068.508202989</c:v>
                </c:pt>
                <c:pt idx="9">
                  <c:v>887536.04852796299</c:v>
                </c:pt>
                <c:pt idx="10">
                  <c:v>223237.84702726899</c:v>
                </c:pt>
                <c:pt idx="11">
                  <c:v>180552.26021676499</c:v>
                </c:pt>
                <c:pt idx="12">
                  <c:v>39882.253805930697</c:v>
                </c:pt>
                <c:pt idx="13">
                  <c:v>132471.63760262699</c:v>
                </c:pt>
                <c:pt idx="14">
                  <c:v>283973.00594401901</c:v>
                </c:pt>
                <c:pt idx="15">
                  <c:v>495528.20046408399</c:v>
                </c:pt>
                <c:pt idx="16">
                  <c:v>84332.1179550245</c:v>
                </c:pt>
                <c:pt idx="17">
                  <c:v>31764.350864809599</c:v>
                </c:pt>
                <c:pt idx="18">
                  <c:v>28825.829545455999</c:v>
                </c:pt>
                <c:pt idx="19">
                  <c:v>324454.85030290298</c:v>
                </c:pt>
                <c:pt idx="20">
                  <c:v>254679.49112073399</c:v>
                </c:pt>
                <c:pt idx="21">
                  <c:v>994615.00518225098</c:v>
                </c:pt>
                <c:pt idx="22">
                  <c:v>615312.13145048195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BD-4E5F-8AB2-D05DA1519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42720"/>
        <c:axId val="317847520"/>
      </c:scatterChart>
      <c:valAx>
        <c:axId val="317842720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7520"/>
        <c:crosses val="autoZero"/>
        <c:crossBetween val="midCat"/>
      </c:valAx>
      <c:valAx>
        <c:axId val="317847520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</xdr:colOff>
      <xdr:row>26</xdr:row>
      <xdr:rowOff>4762</xdr:rowOff>
    </xdr:from>
    <xdr:to>
      <xdr:col>18</xdr:col>
      <xdr:colOff>323850</xdr:colOff>
      <xdr:row>40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C3F149-5045-ED9A-30C1-5265FFA24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311293</xdr:colOff>
      <xdr:row>16</xdr:row>
      <xdr:rowOff>88631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3143E6-51E3-CB63-94DA-5443ACF2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311293</xdr:colOff>
      <xdr:row>16</xdr:row>
      <xdr:rowOff>88631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437F9-8185-EC3D-C862-511CCB74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38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311293</xdr:colOff>
      <xdr:row>39</xdr:row>
      <xdr:rowOff>88631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4B489-A2B1-FFEB-80DD-EFBA25D5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7625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17</xdr:col>
      <xdr:colOff>311293</xdr:colOff>
      <xdr:row>39</xdr:row>
      <xdr:rowOff>88631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7BD43A-3E8B-3ECD-9137-DDF6E5BA0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762500"/>
          <a:ext cx="4578493" cy="275563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8</xdr:col>
      <xdr:colOff>304800</xdr:colOff>
      <xdr:row>60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21FB34-5EFF-48EA-A653-858633558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67</xdr:row>
      <xdr:rowOff>118110</xdr:rowOff>
    </xdr:from>
    <xdr:to>
      <xdr:col>8</xdr:col>
      <xdr:colOff>327660</xdr:colOff>
      <xdr:row>82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B80EF-E4FA-49B1-B30F-F08AC78FC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67</xdr:row>
      <xdr:rowOff>0</xdr:rowOff>
    </xdr:from>
    <xdr:to>
      <xdr:col>16</xdr:col>
      <xdr:colOff>304800</xdr:colOff>
      <xdr:row>82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935B93-04E5-480B-8466-6F60AD3AD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304800</xdr:colOff>
      <xdr:row>122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578217FE-F9B9-42EC-8182-6B85DC51E3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981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304800</xdr:colOff>
      <xdr:row>122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F31E16EA-6172-45F8-AF3E-4E5E92AC1D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981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67</xdr:row>
      <xdr:rowOff>0</xdr:rowOff>
    </xdr:from>
    <xdr:to>
      <xdr:col>24</xdr:col>
      <xdr:colOff>472440</xdr:colOff>
      <xdr:row>82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AAA4B4-7570-4691-A179-9ED0171C3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42862</xdr:colOff>
      <xdr:row>156</xdr:row>
      <xdr:rowOff>157162</xdr:rowOff>
    </xdr:from>
    <xdr:to>
      <xdr:col>8</xdr:col>
      <xdr:colOff>157162</xdr:colOff>
      <xdr:row>171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744FF1-8710-4F10-AF87-DDFCDA4C9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157</xdr:row>
      <xdr:rowOff>0</xdr:rowOff>
    </xdr:from>
    <xdr:to>
      <xdr:col>15</xdr:col>
      <xdr:colOff>638175</xdr:colOff>
      <xdr:row>171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0ACE54-3270-479C-BF43-FE70397AA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178</xdr:row>
      <xdr:rowOff>0</xdr:rowOff>
    </xdr:from>
    <xdr:to>
      <xdr:col>8</xdr:col>
      <xdr:colOff>114300</xdr:colOff>
      <xdr:row>192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9D0DFF-784B-45CF-9681-D1846F4A0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178</xdr:row>
      <xdr:rowOff>0</xdr:rowOff>
    </xdr:from>
    <xdr:to>
      <xdr:col>15</xdr:col>
      <xdr:colOff>638175</xdr:colOff>
      <xdr:row>192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A571E4-00E7-4B25-A086-274125602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199</xdr:row>
      <xdr:rowOff>0</xdr:rowOff>
    </xdr:from>
    <xdr:to>
      <xdr:col>8</xdr:col>
      <xdr:colOff>114300</xdr:colOff>
      <xdr:row>213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C35DCD3-678B-4DD1-9DFC-5328356DB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199</xdr:row>
      <xdr:rowOff>0</xdr:rowOff>
    </xdr:from>
    <xdr:to>
      <xdr:col>16</xdr:col>
      <xdr:colOff>571500</xdr:colOff>
      <xdr:row>213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10BD974-B34B-497F-A31C-F6A371296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Ugashik.xlsx" TargetMode="External"/><Relationship Id="rId1" Type="http://schemas.openxmlformats.org/officeDocument/2006/relationships/externalLinkPath" Target="/Alec&amp;BarbsFiles/Alec/AlecScience/SalmonPrize/2024RevisedData/ORGFinalSpreadsheets/Ugashi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gashik"/>
    </sheetNames>
    <sheetDataSet>
      <sheetData sheetId="0">
        <row r="5">
          <cell r="B5">
            <v>1963</v>
          </cell>
          <cell r="C5">
            <v>679649.32328790205</v>
          </cell>
        </row>
        <row r="6">
          <cell r="B6">
            <v>1964</v>
          </cell>
          <cell r="C6">
            <v>1305818.3161246199</v>
          </cell>
        </row>
        <row r="7">
          <cell r="B7">
            <v>1965</v>
          </cell>
          <cell r="C7">
            <v>2884254.35071031</v>
          </cell>
        </row>
        <row r="8">
          <cell r="B8">
            <v>1966</v>
          </cell>
          <cell r="C8">
            <v>1373739.2772935</v>
          </cell>
        </row>
        <row r="9">
          <cell r="B9">
            <v>1967</v>
          </cell>
          <cell r="C9">
            <v>440092.79618413298</v>
          </cell>
        </row>
        <row r="10">
          <cell r="B10">
            <v>1968</v>
          </cell>
          <cell r="C10">
            <v>149356.41899907199</v>
          </cell>
        </row>
        <row r="11">
          <cell r="B11">
            <v>1969</v>
          </cell>
          <cell r="C11">
            <v>301894.30168680398</v>
          </cell>
        </row>
        <row r="12">
          <cell r="B12">
            <v>1970</v>
          </cell>
          <cell r="C12">
            <v>1052934.46118651</v>
          </cell>
        </row>
        <row r="13">
          <cell r="B13">
            <v>1971</v>
          </cell>
          <cell r="C13">
            <v>1774596.3914392099</v>
          </cell>
        </row>
        <row r="14">
          <cell r="B14">
            <v>1972</v>
          </cell>
          <cell r="C14">
            <v>131748.183571503</v>
          </cell>
        </row>
        <row r="15">
          <cell r="B15">
            <v>1973</v>
          </cell>
          <cell r="C15">
            <v>63411.413714861897</v>
          </cell>
        </row>
        <row r="16">
          <cell r="B16">
            <v>1974</v>
          </cell>
          <cell r="C16">
            <v>66751.5754273028</v>
          </cell>
        </row>
        <row r="17">
          <cell r="B17">
            <v>1975</v>
          </cell>
          <cell r="C17">
            <v>525564.69407690503</v>
          </cell>
        </row>
        <row r="18">
          <cell r="B18">
            <v>1976</v>
          </cell>
          <cell r="C18">
            <v>618700.61883566203</v>
          </cell>
        </row>
        <row r="19">
          <cell r="B19">
            <v>1977</v>
          </cell>
          <cell r="C19">
            <v>429697.41251012101</v>
          </cell>
        </row>
        <row r="20">
          <cell r="B20">
            <v>1978</v>
          </cell>
          <cell r="C20">
            <v>97115.015037604302</v>
          </cell>
        </row>
        <row r="21">
          <cell r="B21">
            <v>1979</v>
          </cell>
          <cell r="C21">
            <v>2286731.6207001</v>
          </cell>
        </row>
        <row r="22">
          <cell r="B22">
            <v>1980</v>
          </cell>
          <cell r="C22">
            <v>4642573.2390397303</v>
          </cell>
        </row>
        <row r="23">
          <cell r="B23">
            <v>1981</v>
          </cell>
          <cell r="C23">
            <v>4078237.4770940002</v>
          </cell>
        </row>
        <row r="24">
          <cell r="B24">
            <v>1982</v>
          </cell>
          <cell r="C24">
            <v>2682649.72529</v>
          </cell>
        </row>
        <row r="25">
          <cell r="B25">
            <v>1983</v>
          </cell>
          <cell r="C25">
            <v>4148448.4178430098</v>
          </cell>
        </row>
        <row r="26">
          <cell r="B26">
            <v>1984</v>
          </cell>
          <cell r="C26">
            <v>4166991.7221367098</v>
          </cell>
        </row>
        <row r="27">
          <cell r="B27">
            <v>1985</v>
          </cell>
          <cell r="C27">
            <v>7940798.1978010098</v>
          </cell>
        </row>
        <row r="28">
          <cell r="B28">
            <v>1986</v>
          </cell>
          <cell r="C28">
            <v>6727273.69714831</v>
          </cell>
        </row>
        <row r="29">
          <cell r="B29">
            <v>1987</v>
          </cell>
          <cell r="C29">
            <v>2910012.7073079101</v>
          </cell>
        </row>
        <row r="30">
          <cell r="B30">
            <v>1988</v>
          </cell>
          <cell r="C30">
            <v>2155143.2115787002</v>
          </cell>
        </row>
        <row r="31">
          <cell r="B31">
            <v>1989</v>
          </cell>
          <cell r="C31">
            <v>5363340.0711695198</v>
          </cell>
        </row>
        <row r="32">
          <cell r="B32">
            <v>1990</v>
          </cell>
          <cell r="C32">
            <v>2712617.4381446401</v>
          </cell>
        </row>
        <row r="33">
          <cell r="B33">
            <v>1991</v>
          </cell>
          <cell r="C33">
            <v>5959036.3939711098</v>
          </cell>
        </row>
        <row r="34">
          <cell r="B34">
            <v>1992</v>
          </cell>
          <cell r="C34">
            <v>6341238.5733270096</v>
          </cell>
        </row>
        <row r="35">
          <cell r="B35">
            <v>1993</v>
          </cell>
          <cell r="C35">
            <v>6216697.5914543197</v>
          </cell>
        </row>
        <row r="36">
          <cell r="B36">
            <v>1994</v>
          </cell>
          <cell r="C36">
            <v>5569971.2442278098</v>
          </cell>
        </row>
        <row r="37">
          <cell r="B37">
            <v>1995</v>
          </cell>
          <cell r="C37">
            <v>5912957.9996541096</v>
          </cell>
        </row>
        <row r="38">
          <cell r="B38">
            <v>1996</v>
          </cell>
          <cell r="C38">
            <v>5370652.68109689</v>
          </cell>
        </row>
        <row r="39">
          <cell r="B39">
            <v>1997</v>
          </cell>
          <cell r="C39">
            <v>2508751.3482519099</v>
          </cell>
        </row>
        <row r="40">
          <cell r="B40">
            <v>1998</v>
          </cell>
          <cell r="C40">
            <v>1892274.6178445001</v>
          </cell>
        </row>
        <row r="41">
          <cell r="B41">
            <v>1999</v>
          </cell>
          <cell r="C41">
            <v>5223880.8060380099</v>
          </cell>
        </row>
        <row r="42">
          <cell r="B42">
            <v>2000</v>
          </cell>
          <cell r="C42">
            <v>2300098.28830051</v>
          </cell>
          <cell r="D42">
            <v>14.648462414030005</v>
          </cell>
        </row>
        <row r="43">
          <cell r="B43">
            <v>2001</v>
          </cell>
          <cell r="C43">
            <v>1467574.96215954</v>
          </cell>
          <cell r="D43">
            <v>14.199121910919493</v>
          </cell>
        </row>
        <row r="44">
          <cell r="B44">
            <v>2002</v>
          </cell>
          <cell r="C44">
            <v>2499048.61228676</v>
          </cell>
          <cell r="D44">
            <v>14.73142066232367</v>
          </cell>
        </row>
        <row r="45">
          <cell r="B45">
            <v>2003</v>
          </cell>
          <cell r="C45">
            <v>2540239.7886111098</v>
          </cell>
          <cell r="D45">
            <v>14.747769039503854</v>
          </cell>
        </row>
        <row r="46">
          <cell r="B46">
            <v>2004</v>
          </cell>
          <cell r="C46">
            <v>4202828.2551759901</v>
          </cell>
          <cell r="D46">
            <v>15.251268250715052</v>
          </cell>
        </row>
        <row r="47">
          <cell r="B47">
            <v>2005</v>
          </cell>
          <cell r="C47">
            <v>3090001.9499975001</v>
          </cell>
          <cell r="D47">
            <v>14.943682279940882</v>
          </cell>
        </row>
        <row r="48">
          <cell r="B48">
            <v>2006</v>
          </cell>
          <cell r="C48">
            <v>3779176.1272774199</v>
          </cell>
          <cell r="D48">
            <v>15.145016588093251</v>
          </cell>
        </row>
        <row r="49">
          <cell r="B49">
            <v>2007</v>
          </cell>
          <cell r="C49">
            <v>7399703.2445900096</v>
          </cell>
          <cell r="D49">
            <v>15.816950455287857</v>
          </cell>
        </row>
        <row r="50">
          <cell r="B50">
            <v>2008</v>
          </cell>
          <cell r="C50">
            <v>2930788.3040827699</v>
          </cell>
          <cell r="D50">
            <v>14.890781990568966</v>
          </cell>
        </row>
        <row r="51">
          <cell r="B51">
            <v>2009</v>
          </cell>
          <cell r="C51">
            <v>3851254.22251001</v>
          </cell>
          <cell r="D51">
            <v>15.163909425292287</v>
          </cell>
        </row>
        <row r="52">
          <cell r="B52">
            <v>2010</v>
          </cell>
          <cell r="C52">
            <v>4988743.50052201</v>
          </cell>
          <cell r="D52">
            <v>15.422694632517274</v>
          </cell>
        </row>
        <row r="53">
          <cell r="B53">
            <v>2011</v>
          </cell>
          <cell r="C53">
            <v>4203387.3276987104</v>
          </cell>
          <cell r="D53">
            <v>15.251401264796844</v>
          </cell>
        </row>
        <row r="54">
          <cell r="B54">
            <v>2012</v>
          </cell>
          <cell r="C54">
            <v>2922090.7856151802</v>
          </cell>
          <cell r="D54">
            <v>14.887809940493627</v>
          </cell>
        </row>
        <row r="55">
          <cell r="B55">
            <v>2013</v>
          </cell>
          <cell r="C55">
            <v>2634359.7027942701</v>
          </cell>
          <cell r="D55">
            <v>14.784150713387012</v>
          </cell>
        </row>
        <row r="56">
          <cell r="B56">
            <v>2014</v>
          </cell>
          <cell r="C56">
            <v>1154655.58746349</v>
          </cell>
          <cell r="D56">
            <v>13.959312664797453</v>
          </cell>
        </row>
        <row r="57">
          <cell r="B57">
            <v>2015</v>
          </cell>
          <cell r="C57">
            <v>4248857.7875473304</v>
          </cell>
          <cell r="D57">
            <v>15.262160748908052</v>
          </cell>
        </row>
        <row r="58">
          <cell r="B58">
            <v>2016</v>
          </cell>
          <cell r="C58">
            <v>7192817.5043510096</v>
          </cell>
          <cell r="D58">
            <v>15.788593517243195</v>
          </cell>
        </row>
        <row r="59">
          <cell r="B59">
            <v>2017</v>
          </cell>
          <cell r="C59">
            <v>6672737.54143121</v>
          </cell>
          <cell r="D59">
            <v>15.713540759691774</v>
          </cell>
        </row>
        <row r="60">
          <cell r="B60">
            <v>2018</v>
          </cell>
          <cell r="C60">
            <v>4770222.7644165801</v>
          </cell>
          <cell r="D60">
            <v>15.377903562909612</v>
          </cell>
        </row>
        <row r="61">
          <cell r="B61">
            <v>2019</v>
          </cell>
          <cell r="C61">
            <v>3604963.0530481199</v>
          </cell>
          <cell r="D61">
            <v>15.097822079840933</v>
          </cell>
        </row>
        <row r="62">
          <cell r="B62">
            <v>2020</v>
          </cell>
          <cell r="C62">
            <v>5078613.9749050001</v>
          </cell>
          <cell r="D62">
            <v>15.440548942741543</v>
          </cell>
        </row>
        <row r="63">
          <cell r="B63">
            <v>2021</v>
          </cell>
          <cell r="C63">
            <v>10860143.501326101</v>
          </cell>
          <cell r="D63">
            <v>16.200610086132865</v>
          </cell>
        </row>
        <row r="64">
          <cell r="B64">
            <v>2022</v>
          </cell>
          <cell r="C64">
            <v>7531752.0894673998</v>
          </cell>
          <cell r="D64">
            <v>15.834638253914173</v>
          </cell>
        </row>
        <row r="65">
          <cell r="B65">
            <v>2023</v>
          </cell>
          <cell r="C65">
            <v>4378218.5745872697</v>
          </cell>
          <cell r="D65">
            <v>15.292152481489616</v>
          </cell>
        </row>
        <row r="66">
          <cell r="B66">
            <v>2024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6">
          <cell r="B66">
            <v>2024</v>
          </cell>
          <cell r="C66">
            <v>7955574.46845177</v>
          </cell>
          <cell r="D66">
            <v>15.889383431911185</v>
          </cell>
        </row>
        <row r="126">
          <cell r="G126">
            <v>3803140.4034464099</v>
          </cell>
        </row>
        <row r="127">
          <cell r="G127">
            <v>260683.56486184101</v>
          </cell>
          <cell r="H127">
            <v>1732034.8620976601</v>
          </cell>
        </row>
        <row r="128">
          <cell r="F128">
            <v>1237.2743641854299</v>
          </cell>
          <cell r="G128">
            <v>283827.95378632698</v>
          </cell>
          <cell r="H128">
            <v>1050833.3022563001</v>
          </cell>
          <cell r="J128">
            <v>2867.1747626860201</v>
          </cell>
          <cell r="K128">
            <v>31801.3042183789</v>
          </cell>
        </row>
        <row r="129">
          <cell r="F129">
            <v>3670.8789146905001</v>
          </cell>
          <cell r="G129">
            <v>179053.304944581</v>
          </cell>
          <cell r="H129">
            <v>647818.20231930702</v>
          </cell>
          <cell r="J129">
            <v>21.415483541964999</v>
          </cell>
          <cell r="K129">
            <v>1657638.04164836</v>
          </cell>
          <cell r="L129">
            <v>9008.4276202247293</v>
          </cell>
        </row>
        <row r="130">
          <cell r="F130">
            <v>2248.7818306668801</v>
          </cell>
          <cell r="G130">
            <v>1255075.28329584</v>
          </cell>
          <cell r="H130">
            <v>302211.30730572599</v>
          </cell>
          <cell r="J130">
            <v>24647.599553039199</v>
          </cell>
          <cell r="K130">
            <v>524716.21424412599</v>
          </cell>
          <cell r="L130">
            <v>418907.62828322803</v>
          </cell>
        </row>
        <row r="131">
          <cell r="F131">
            <v>628.89579865165899</v>
          </cell>
          <cell r="G131">
            <v>1866357.0423719301</v>
          </cell>
          <cell r="H131">
            <v>907859.265526289</v>
          </cell>
          <cell r="J131">
            <v>397.442014910343</v>
          </cell>
          <cell r="K131">
            <v>1185602.63859226</v>
          </cell>
          <cell r="L131">
            <v>235000.59376015299</v>
          </cell>
        </row>
        <row r="132">
          <cell r="F132">
            <v>7745.0247116457504</v>
          </cell>
          <cell r="G132">
            <v>399297.90540828003</v>
          </cell>
          <cell r="H132">
            <v>2342567.0661858702</v>
          </cell>
          <cell r="J132">
            <v>2009.4145841362199</v>
          </cell>
          <cell r="K132">
            <v>44273.562307694403</v>
          </cell>
          <cell r="L132">
            <v>289264.45386669302</v>
          </cell>
        </row>
        <row r="133">
          <cell r="F133">
            <v>10937.7034940556</v>
          </cell>
          <cell r="G133">
            <v>2071288.9715335299</v>
          </cell>
          <cell r="H133">
            <v>1437912.08846138</v>
          </cell>
          <cell r="J133">
            <v>241.89173174707801</v>
          </cell>
          <cell r="K133">
            <v>130860.81155099699</v>
          </cell>
          <cell r="L133">
            <v>74227.323669706093</v>
          </cell>
        </row>
        <row r="134">
          <cell r="F134">
            <v>12626.7679500013</v>
          </cell>
          <cell r="G134">
            <v>4701777.6303380104</v>
          </cell>
          <cell r="H134">
            <v>2167492.8511185502</v>
          </cell>
          <cell r="J134">
            <v>3.32997879325521E-9</v>
          </cell>
          <cell r="K134">
            <v>305593.96403063001</v>
          </cell>
          <cell r="L134">
            <v>160042.241244815</v>
          </cell>
        </row>
        <row r="135">
          <cell r="F135">
            <v>650.12733830438697</v>
          </cell>
          <cell r="G135">
            <v>1319887.0845279901</v>
          </cell>
          <cell r="H135">
            <v>1532813.30229716</v>
          </cell>
          <cell r="J135">
            <v>372.98362487373703</v>
          </cell>
          <cell r="K135">
            <v>35668.2375910314</v>
          </cell>
          <cell r="L135">
            <v>26175.841679933001</v>
          </cell>
        </row>
        <row r="136">
          <cell r="F136">
            <v>66930.376025991907</v>
          </cell>
          <cell r="G136">
            <v>876221.30284243706</v>
          </cell>
          <cell r="H136">
            <v>1594092.3239738501</v>
          </cell>
          <cell r="J136">
            <v>1956.51824047025</v>
          </cell>
          <cell r="K136">
            <v>1238125.80100635</v>
          </cell>
          <cell r="L136">
            <v>61131.167043247202</v>
          </cell>
        </row>
        <row r="137">
          <cell r="F137">
            <v>41842.784333060699</v>
          </cell>
          <cell r="G137">
            <v>1066919.5956379799</v>
          </cell>
          <cell r="H137">
            <v>2314050.3221577802</v>
          </cell>
          <cell r="J137">
            <v>21808.007559968701</v>
          </cell>
          <cell r="K137">
            <v>1174215.2155265</v>
          </cell>
          <cell r="L137">
            <v>363068.508202989</v>
          </cell>
        </row>
        <row r="138">
          <cell r="F138">
            <v>7974.2525341958699</v>
          </cell>
          <cell r="G138">
            <v>1274646.02509249</v>
          </cell>
          <cell r="H138">
            <v>1077435.7703422599</v>
          </cell>
          <cell r="J138">
            <v>13504.975354263301</v>
          </cell>
          <cell r="K138">
            <v>935099.16645540798</v>
          </cell>
          <cell r="L138">
            <v>887536.04852796299</v>
          </cell>
        </row>
        <row r="139">
          <cell r="F139">
            <v>8826.1164022197499</v>
          </cell>
          <cell r="G139">
            <v>1047221.51248463</v>
          </cell>
          <cell r="H139">
            <v>930354.803322147</v>
          </cell>
          <cell r="J139">
            <v>1655.55782916099</v>
          </cell>
          <cell r="K139">
            <v>697799.65867182706</v>
          </cell>
          <cell r="L139">
            <v>223237.84702726899</v>
          </cell>
        </row>
        <row r="140">
          <cell r="F140">
            <v>10045.2678925323</v>
          </cell>
          <cell r="G140">
            <v>376289.50874437898</v>
          </cell>
          <cell r="H140">
            <v>1729138.02260219</v>
          </cell>
          <cell r="J140">
            <v>2519.2518811537898</v>
          </cell>
          <cell r="K140">
            <v>332241.25477528601</v>
          </cell>
          <cell r="L140">
            <v>180552.26021676499</v>
          </cell>
        </row>
        <row r="141">
          <cell r="F141">
            <v>64066.544515235699</v>
          </cell>
          <cell r="G141">
            <v>579294.20315141603</v>
          </cell>
          <cell r="H141">
            <v>317253.45950828999</v>
          </cell>
          <cell r="J141">
            <v>6942.2666510665003</v>
          </cell>
          <cell r="K141">
            <v>144373.05230647299</v>
          </cell>
          <cell r="L141">
            <v>39882.253805930697</v>
          </cell>
        </row>
        <row r="142">
          <cell r="F142">
            <v>104687.355717978</v>
          </cell>
          <cell r="G142">
            <v>2738466.3609348601</v>
          </cell>
          <cell r="H142">
            <v>790143.78694431903</v>
          </cell>
          <cell r="J142">
            <v>41288.330771765097</v>
          </cell>
          <cell r="K142">
            <v>441781.20150610898</v>
          </cell>
          <cell r="L142">
            <v>132471.63760262699</v>
          </cell>
        </row>
        <row r="143">
          <cell r="F143">
            <v>29906.304127901902</v>
          </cell>
          <cell r="G143">
            <v>3480574.00293882</v>
          </cell>
          <cell r="H143">
            <v>2087481.78283184</v>
          </cell>
          <cell r="J143">
            <v>5117.0357371207401</v>
          </cell>
          <cell r="K143">
            <v>1304626.3560929301</v>
          </cell>
          <cell r="L143">
            <v>283973.00594401901</v>
          </cell>
        </row>
        <row r="144">
          <cell r="F144">
            <v>70409.780805152506</v>
          </cell>
          <cell r="G144">
            <v>3860506.65211961</v>
          </cell>
          <cell r="H144">
            <v>1582990.7372733401</v>
          </cell>
          <cell r="J144">
            <v>978.05286473583305</v>
          </cell>
          <cell r="K144">
            <v>653764.07475986099</v>
          </cell>
          <cell r="L144">
            <v>495528.20046408399</v>
          </cell>
        </row>
        <row r="145">
          <cell r="F145">
            <v>13553.7805223411</v>
          </cell>
          <cell r="G145">
            <v>2596182.36352685</v>
          </cell>
          <cell r="H145">
            <v>2008451.0419007901</v>
          </cell>
          <cell r="J145">
            <v>6.9672682060135702E-2</v>
          </cell>
          <cell r="K145">
            <v>56487.626026954502</v>
          </cell>
          <cell r="L145">
            <v>84332.1179550245</v>
          </cell>
        </row>
        <row r="146">
          <cell r="F146">
            <v>53838.484772088799</v>
          </cell>
          <cell r="G146">
            <v>1880555.73257158</v>
          </cell>
          <cell r="H146">
            <v>1576519.49916722</v>
          </cell>
          <cell r="J146">
            <v>6553.6585392591496</v>
          </cell>
          <cell r="K146">
            <v>53209.322467960003</v>
          </cell>
          <cell r="L146">
            <v>31764.350864809599</v>
          </cell>
        </row>
        <row r="147">
          <cell r="F147">
            <v>103761.76742640301</v>
          </cell>
          <cell r="G147">
            <v>3018962.9741633502</v>
          </cell>
          <cell r="H147">
            <v>1598528.3233032301</v>
          </cell>
          <cell r="J147">
            <v>5883.3179923625303</v>
          </cell>
          <cell r="K147">
            <v>321079.83426525199</v>
          </cell>
          <cell r="L147">
            <v>28825.829545455999</v>
          </cell>
        </row>
        <row r="148">
          <cell r="F148">
            <v>20784.8747594507</v>
          </cell>
          <cell r="G148">
            <v>6695358.77405087</v>
          </cell>
          <cell r="H148">
            <v>2971244.6736311801</v>
          </cell>
          <cell r="J148">
            <v>3330.4702977678298</v>
          </cell>
          <cell r="K148">
            <v>844961.10937457997</v>
          </cell>
          <cell r="L148">
            <v>324454.85030290298</v>
          </cell>
        </row>
        <row r="149">
          <cell r="F149">
            <v>7524.8988665020197</v>
          </cell>
          <cell r="G149">
            <v>1171770.12534896</v>
          </cell>
          <cell r="H149">
            <v>5562445.2999657895</v>
          </cell>
          <cell r="J149">
            <v>2901.2421132982699</v>
          </cell>
          <cell r="K149">
            <v>527078.42774688103</v>
          </cell>
          <cell r="L149">
            <v>254679.49112073399</v>
          </cell>
        </row>
        <row r="150">
          <cell r="F150">
            <v>170457.91028624499</v>
          </cell>
          <cell r="G150">
            <v>392624.76394739799</v>
          </cell>
          <cell r="H150">
            <v>2366944.1647468498</v>
          </cell>
          <cell r="J150">
            <v>11832.5843482622</v>
          </cell>
          <cell r="K150">
            <v>408380.61475767102</v>
          </cell>
          <cell r="L150">
            <v>994615.00518225098</v>
          </cell>
        </row>
        <row r="151">
          <cell r="G151">
            <v>6205992.3463995904</v>
          </cell>
          <cell r="H151">
            <v>632686.79126503097</v>
          </cell>
          <cell r="K151">
            <v>468629.152186163</v>
          </cell>
          <cell r="L151">
            <v>615312.13145048195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3"/>
  <sheetViews>
    <sheetView workbookViewId="0">
      <selection activeCell="S52" sqref="S52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9</v>
      </c>
    </row>
    <row r="2" spans="1:47" x14ac:dyDescent="0.25">
      <c r="A2" s="2"/>
      <c r="B2" s="2"/>
      <c r="C2" s="2"/>
      <c r="D2" s="2"/>
      <c r="E2" s="2"/>
    </row>
    <row r="3" spans="1:47" x14ac:dyDescent="0.25">
      <c r="A3" s="2"/>
      <c r="B3" s="2"/>
      <c r="C3" s="2"/>
      <c r="D3" s="3"/>
      <c r="E3" s="3"/>
    </row>
    <row r="4" spans="1:47" x14ac:dyDescent="0.25">
      <c r="A4" s="2"/>
      <c r="B4" s="2"/>
      <c r="C4" s="2"/>
      <c r="D4" s="2"/>
      <c r="E4" s="2"/>
      <c r="G4">
        <f>CORREL($D$27:$D$52,G27:G52)</f>
        <v>6.214922639424536E-2</v>
      </c>
      <c r="H4">
        <f t="shared" ref="H4:AU4" si="0">CORREL($D$27:$D$52,H27:H52)</f>
        <v>4.3413601395205725E-2</v>
      </c>
      <c r="I4">
        <f t="shared" si="0"/>
        <v>0.12068904452909571</v>
      </c>
      <c r="J4">
        <f t="shared" si="0"/>
        <v>1.1901950476185072E-3</v>
      </c>
      <c r="K4">
        <f t="shared" si="0"/>
        <v>0.10197998462171219</v>
      </c>
      <c r="L4">
        <f t="shared" si="0"/>
        <v>9.7094232730948096E-2</v>
      </c>
      <c r="M4">
        <f t="shared" si="0"/>
        <v>0.21554828823214284</v>
      </c>
      <c r="N4">
        <f t="shared" si="0"/>
        <v>8.0007481986449386E-2</v>
      </c>
      <c r="O4">
        <f t="shared" si="0"/>
        <v>6.6561340361090585E-2</v>
      </c>
      <c r="P4">
        <f t="shared" si="0"/>
        <v>-6.717438231371177E-2</v>
      </c>
      <c r="Q4">
        <f t="shared" si="0"/>
        <v>-0.10036059044483357</v>
      </c>
      <c r="R4">
        <f t="shared" si="0"/>
        <v>-0.11497301829538306</v>
      </c>
      <c r="S4">
        <f t="shared" si="0"/>
        <v>8.9735009579146527E-3</v>
      </c>
      <c r="T4">
        <f t="shared" si="0"/>
        <v>1.998955269610905E-2</v>
      </c>
      <c r="U4">
        <f t="shared" si="0"/>
        <v>0.26256096852734084</v>
      </c>
      <c r="V4">
        <f t="shared" si="0"/>
        <v>4.6964018076026938E-2</v>
      </c>
      <c r="W4">
        <f t="shared" si="0"/>
        <v>0.16925803034075612</v>
      </c>
      <c r="X4">
        <f t="shared" si="0"/>
        <v>4.5862091928854952E-2</v>
      </c>
      <c r="Y4">
        <f t="shared" si="0"/>
        <v>0.11937522642286696</v>
      </c>
      <c r="Z4">
        <f t="shared" si="0"/>
        <v>4.6971506869928112E-2</v>
      </c>
      <c r="AA4">
        <f t="shared" si="0"/>
        <v>-4.4641709332879139E-3</v>
      </c>
      <c r="AB4">
        <f t="shared" si="0"/>
        <v>-8.8998574116240667E-2</v>
      </c>
      <c r="AC4">
        <f t="shared" si="0"/>
        <v>-0.13478405371150459</v>
      </c>
      <c r="AD4">
        <f t="shared" si="0"/>
        <v>-0.13995577186988753</v>
      </c>
      <c r="AE4">
        <f t="shared" si="0"/>
        <v>-0.36332146469227744</v>
      </c>
      <c r="AF4">
        <f t="shared" si="0"/>
        <v>-0.33136999347202073</v>
      </c>
      <c r="AG4">
        <f t="shared" si="0"/>
        <v>-0.20455451518711401</v>
      </c>
      <c r="AH4">
        <f t="shared" si="0"/>
        <v>-0.15760325488006266</v>
      </c>
      <c r="AI4">
        <f t="shared" si="0"/>
        <v>-0.26871660178643419</v>
      </c>
      <c r="AJ4">
        <f t="shared" si="0"/>
        <v>-0.38433520122037779</v>
      </c>
      <c r="AK4">
        <f t="shared" si="0"/>
        <v>-0.45388997591540386</v>
      </c>
      <c r="AL4">
        <f t="shared" si="0"/>
        <v>-0.4115283792428639</v>
      </c>
      <c r="AM4">
        <f t="shared" si="0"/>
        <v>-0.42470671095849449</v>
      </c>
      <c r="AN4">
        <f t="shared" si="0"/>
        <v>-0.4679117499555957</v>
      </c>
      <c r="AO4">
        <f t="shared" si="0"/>
        <v>-0.47713487592228082</v>
      </c>
      <c r="AP4">
        <f t="shared" si="0"/>
        <v>-0.42508087732407107</v>
      </c>
      <c r="AQ4">
        <f t="shared" si="0"/>
        <v>-0.51872202800024214</v>
      </c>
      <c r="AR4">
        <f t="shared" si="0"/>
        <v>-0.47059599483044945</v>
      </c>
      <c r="AS4">
        <f t="shared" si="0"/>
        <v>-0.25762879051166521</v>
      </c>
      <c r="AT4">
        <f t="shared" si="0"/>
        <v>-0.29728848809290842</v>
      </c>
      <c r="AU4">
        <f t="shared" si="0"/>
        <v>-0.44548732881003644</v>
      </c>
    </row>
    <row r="5" spans="1:47" x14ac:dyDescent="0.25">
      <c r="A5" s="2"/>
      <c r="B5" s="2"/>
      <c r="C5" s="2"/>
      <c r="D5" s="2"/>
      <c r="E5" s="2"/>
      <c r="F5" t="s">
        <v>6</v>
      </c>
      <c r="G5" t="e">
        <f>CORREL($D$10:$D$26,G10:G26)</f>
        <v>#DIV/0!</v>
      </c>
      <c r="H5" t="e">
        <f t="shared" ref="H5:AU5" si="1">CORREL($D$10:$D$26,H10:H26)</f>
        <v>#DIV/0!</v>
      </c>
      <c r="I5" t="e">
        <f t="shared" si="1"/>
        <v>#DIV/0!</v>
      </c>
      <c r="J5" t="e">
        <f t="shared" si="1"/>
        <v>#DIV/0!</v>
      </c>
      <c r="K5" t="e">
        <f t="shared" si="1"/>
        <v>#DIV/0!</v>
      </c>
      <c r="L5" t="e">
        <f t="shared" si="1"/>
        <v>#DIV/0!</v>
      </c>
      <c r="M5" t="e">
        <f t="shared" si="1"/>
        <v>#DIV/0!</v>
      </c>
      <c r="N5" t="e">
        <f t="shared" si="1"/>
        <v>#DIV/0!</v>
      </c>
      <c r="O5" t="e">
        <f t="shared" si="1"/>
        <v>#DIV/0!</v>
      </c>
      <c r="P5" t="e">
        <f t="shared" si="1"/>
        <v>#DIV/0!</v>
      </c>
      <c r="Q5" t="e">
        <f t="shared" si="1"/>
        <v>#DIV/0!</v>
      </c>
      <c r="R5" t="e">
        <f t="shared" si="1"/>
        <v>#DIV/0!</v>
      </c>
      <c r="S5" t="e">
        <f t="shared" si="1"/>
        <v>#DIV/0!</v>
      </c>
      <c r="T5" t="e">
        <f t="shared" si="1"/>
        <v>#DIV/0!</v>
      </c>
      <c r="U5" t="e">
        <f t="shared" si="1"/>
        <v>#DIV/0!</v>
      </c>
      <c r="V5" t="e">
        <f t="shared" si="1"/>
        <v>#DIV/0!</v>
      </c>
      <c r="W5" t="e">
        <f t="shared" si="1"/>
        <v>#DIV/0!</v>
      </c>
      <c r="X5" t="e">
        <f t="shared" si="1"/>
        <v>#DIV/0!</v>
      </c>
      <c r="Y5" t="e">
        <f t="shared" si="1"/>
        <v>#DIV/0!</v>
      </c>
      <c r="Z5" t="e">
        <f t="shared" si="1"/>
        <v>#DIV/0!</v>
      </c>
      <c r="AA5" t="e">
        <f t="shared" si="1"/>
        <v>#DIV/0!</v>
      </c>
      <c r="AB5" t="e">
        <f t="shared" si="1"/>
        <v>#DIV/0!</v>
      </c>
      <c r="AC5" t="e">
        <f t="shared" si="1"/>
        <v>#DIV/0!</v>
      </c>
      <c r="AD5" t="e">
        <f t="shared" si="1"/>
        <v>#DIV/0!</v>
      </c>
      <c r="AE5" t="e">
        <f t="shared" si="1"/>
        <v>#DIV/0!</v>
      </c>
      <c r="AF5" t="e">
        <f t="shared" si="1"/>
        <v>#DIV/0!</v>
      </c>
      <c r="AG5" t="e">
        <f t="shared" si="1"/>
        <v>#DIV/0!</v>
      </c>
      <c r="AH5" t="e">
        <f t="shared" si="1"/>
        <v>#DIV/0!</v>
      </c>
      <c r="AI5" t="e">
        <f t="shared" si="1"/>
        <v>#DIV/0!</v>
      </c>
      <c r="AJ5" t="e">
        <f t="shared" si="1"/>
        <v>#DIV/0!</v>
      </c>
      <c r="AK5" t="e">
        <f t="shared" si="1"/>
        <v>#DIV/0!</v>
      </c>
      <c r="AL5" t="e">
        <f t="shared" si="1"/>
        <v>#DIV/0!</v>
      </c>
      <c r="AM5" t="e">
        <f t="shared" si="1"/>
        <v>#DIV/0!</v>
      </c>
      <c r="AN5" t="e">
        <f t="shared" si="1"/>
        <v>#DIV/0!</v>
      </c>
      <c r="AO5" t="e">
        <f t="shared" si="1"/>
        <v>#DIV/0!</v>
      </c>
      <c r="AP5" t="e">
        <f t="shared" si="1"/>
        <v>#DIV/0!</v>
      </c>
      <c r="AQ5" t="e">
        <f t="shared" si="1"/>
        <v>#DIV/0!</v>
      </c>
      <c r="AR5" t="e">
        <f t="shared" si="1"/>
        <v>#DIV/0!</v>
      </c>
      <c r="AS5" t="e">
        <f t="shared" si="1"/>
        <v>#DIV/0!</v>
      </c>
      <c r="AT5" t="e">
        <f t="shared" si="1"/>
        <v>#DIV/0!</v>
      </c>
      <c r="AU5" t="e">
        <f t="shared" si="1"/>
        <v>#DIV/0!</v>
      </c>
    </row>
    <row r="6" spans="1:47" x14ac:dyDescent="0.25">
      <c r="A6" s="2"/>
      <c r="B6" s="2"/>
      <c r="C6" s="2"/>
      <c r="D6" s="2"/>
      <c r="E6" s="2"/>
      <c r="F6" t="s">
        <v>3</v>
      </c>
      <c r="G6">
        <f>5+G7</f>
        <v>5</v>
      </c>
      <c r="H6">
        <f t="shared" ref="H6:K6" si="2">5+H7</f>
        <v>4</v>
      </c>
      <c r="I6">
        <f t="shared" si="2"/>
        <v>3</v>
      </c>
      <c r="J6">
        <f t="shared" si="2"/>
        <v>2</v>
      </c>
      <c r="K6">
        <f t="shared" si="2"/>
        <v>1</v>
      </c>
      <c r="L6">
        <f>17+L7</f>
        <v>12</v>
      </c>
      <c r="M6">
        <f t="shared" ref="M6:W6" si="3">17+M7</f>
        <v>11</v>
      </c>
      <c r="N6">
        <f t="shared" si="3"/>
        <v>10</v>
      </c>
      <c r="O6">
        <f t="shared" si="3"/>
        <v>9</v>
      </c>
      <c r="P6">
        <f t="shared" si="3"/>
        <v>8</v>
      </c>
      <c r="Q6">
        <f t="shared" si="3"/>
        <v>7</v>
      </c>
      <c r="R6">
        <f t="shared" si="3"/>
        <v>6</v>
      </c>
      <c r="S6">
        <f t="shared" si="3"/>
        <v>5</v>
      </c>
      <c r="T6">
        <f t="shared" si="3"/>
        <v>4</v>
      </c>
      <c r="U6">
        <f t="shared" si="3"/>
        <v>3</v>
      </c>
      <c r="V6">
        <f t="shared" si="3"/>
        <v>2</v>
      </c>
      <c r="W6">
        <f t="shared" si="3"/>
        <v>1</v>
      </c>
      <c r="X6">
        <f>29+X7</f>
        <v>12</v>
      </c>
      <c r="Y6">
        <f t="shared" ref="Y6:AI6" si="4">29+Y7</f>
        <v>11</v>
      </c>
      <c r="Z6">
        <f t="shared" si="4"/>
        <v>10</v>
      </c>
      <c r="AA6">
        <f t="shared" si="4"/>
        <v>9</v>
      </c>
      <c r="AB6">
        <f t="shared" si="4"/>
        <v>8</v>
      </c>
      <c r="AC6">
        <f t="shared" si="4"/>
        <v>7</v>
      </c>
      <c r="AD6">
        <f t="shared" si="4"/>
        <v>6</v>
      </c>
      <c r="AE6">
        <f t="shared" si="4"/>
        <v>5</v>
      </c>
      <c r="AF6">
        <f t="shared" si="4"/>
        <v>4</v>
      </c>
      <c r="AG6">
        <f t="shared" si="4"/>
        <v>3</v>
      </c>
      <c r="AH6">
        <f t="shared" si="4"/>
        <v>2</v>
      </c>
      <c r="AI6">
        <f t="shared" si="4"/>
        <v>1</v>
      </c>
      <c r="AJ6">
        <f>41+AJ7</f>
        <v>12</v>
      </c>
      <c r="AK6">
        <f t="shared" ref="AK6:AU6" si="5">41+AK7</f>
        <v>11</v>
      </c>
      <c r="AL6">
        <f t="shared" si="5"/>
        <v>10</v>
      </c>
      <c r="AM6">
        <f t="shared" si="5"/>
        <v>9</v>
      </c>
      <c r="AN6">
        <f t="shared" si="5"/>
        <v>8</v>
      </c>
      <c r="AO6">
        <f t="shared" si="5"/>
        <v>7</v>
      </c>
      <c r="AP6">
        <f t="shared" si="5"/>
        <v>6</v>
      </c>
      <c r="AQ6">
        <f t="shared" si="5"/>
        <v>5</v>
      </c>
      <c r="AR6">
        <f t="shared" si="5"/>
        <v>4</v>
      </c>
      <c r="AS6">
        <f t="shared" si="5"/>
        <v>3</v>
      </c>
      <c r="AT6">
        <f t="shared" si="5"/>
        <v>2</v>
      </c>
      <c r="AU6">
        <f t="shared" si="5"/>
        <v>1</v>
      </c>
    </row>
    <row r="7" spans="1:47" x14ac:dyDescent="0.25">
      <c r="A7" s="2"/>
      <c r="B7" s="2"/>
      <c r="C7" s="2"/>
      <c r="D7" s="2" t="s">
        <v>0</v>
      </c>
      <c r="E7" s="2"/>
      <c r="F7" t="s">
        <v>7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8</v>
      </c>
    </row>
    <row r="10" spans="1:47" x14ac:dyDescent="0.25">
      <c r="A10">
        <v>1982.375</v>
      </c>
      <c r="B10">
        <v>5</v>
      </c>
      <c r="C10" s="2">
        <v>1.6829712080392252</v>
      </c>
      <c r="G10" s="2">
        <v>1.6829712080392252</v>
      </c>
      <c r="H10" s="2">
        <v>2.2472897998692272</v>
      </c>
      <c r="I10" s="2">
        <v>1.5381377024192207</v>
      </c>
      <c r="J10" s="2">
        <v>0.95009040011922963</v>
      </c>
      <c r="K10" s="2">
        <v>0.16778843210923924</v>
      </c>
      <c r="L10" s="2">
        <v>-0.32820109656075358</v>
      </c>
      <c r="M10" s="2">
        <v>0.10288279560923042</v>
      </c>
      <c r="N10" s="2">
        <v>1.1606928748392318</v>
      </c>
      <c r="O10" s="2">
        <v>1.0248394490071275</v>
      </c>
      <c r="P10" s="2">
        <v>1.606789201499234</v>
      </c>
      <c r="Q10" s="2">
        <v>2.394840518709227</v>
      </c>
      <c r="R10" s="2">
        <v>1.0093508307130274</v>
      </c>
      <c r="S10" s="2">
        <v>0.70257197929922732</v>
      </c>
      <c r="T10" s="2">
        <v>0.71152544480922963</v>
      </c>
      <c r="U10" s="2">
        <v>-1.2758133939807617</v>
      </c>
      <c r="V10" s="2">
        <v>-1.1840317151307596</v>
      </c>
      <c r="W10" s="2">
        <v>-2.9731450761907507</v>
      </c>
      <c r="X10" s="2">
        <v>-0.826312025460755</v>
      </c>
      <c r="Y10" s="2">
        <v>-0.82430027525075733</v>
      </c>
      <c r="Z10" s="2">
        <v>-0.21680460930476167</v>
      </c>
      <c r="AA10" s="2">
        <v>1.2002363824092406</v>
      </c>
      <c r="AB10" s="2">
        <v>1.7415489131692448</v>
      </c>
      <c r="AC10" s="2">
        <v>1.1845717860692297</v>
      </c>
      <c r="AD10" s="2">
        <v>1.8719868955192429</v>
      </c>
      <c r="AE10" s="2">
        <v>0.19282233268922738</v>
      </c>
      <c r="AF10" s="2">
        <v>-0.41644266558675735</v>
      </c>
      <c r="AG10" s="2">
        <v>-0.7920709280307725</v>
      </c>
      <c r="AH10" s="2">
        <v>-3.1117011955307636</v>
      </c>
      <c r="AI10" s="2">
        <v>-1.754437314630755</v>
      </c>
      <c r="AJ10" s="2">
        <v>-0.6783287293607636</v>
      </c>
      <c r="AK10" s="2">
        <v>-0.13216066909075941</v>
      </c>
      <c r="AL10" s="2">
        <v>-1.2187106281307756</v>
      </c>
      <c r="AM10" s="2">
        <v>-0.23967928586077691</v>
      </c>
      <c r="AN10" s="2">
        <v>0.41425456986923609</v>
      </c>
      <c r="AO10" s="2">
        <v>1.4262948740692274</v>
      </c>
      <c r="AP10" s="2">
        <v>2.0884129651392276</v>
      </c>
      <c r="AQ10" s="2">
        <v>0.230319378419234</v>
      </c>
      <c r="AR10" s="2">
        <v>0.87058350376922755</v>
      </c>
      <c r="AS10" s="2">
        <v>-0.18409000339077064</v>
      </c>
      <c r="AT10" s="2">
        <v>1.3994548985492341</v>
      </c>
      <c r="AU10" s="2">
        <v>-1.1214605250507683</v>
      </c>
    </row>
    <row r="11" spans="1:47" x14ac:dyDescent="0.25">
      <c r="A11">
        <v>1983.375</v>
      </c>
      <c r="B11">
        <v>5</v>
      </c>
      <c r="C11" s="2">
        <v>-1.5365287291607705</v>
      </c>
      <c r="G11" s="2">
        <v>-1.5365287291607705</v>
      </c>
      <c r="H11" s="2">
        <v>-1.6037714177007616</v>
      </c>
      <c r="I11" s="2">
        <v>-4.4186573967507705</v>
      </c>
      <c r="J11" s="2">
        <v>-5.7546631341007721</v>
      </c>
      <c r="K11" s="2">
        <v>-4.2828241200607735</v>
      </c>
      <c r="L11" s="2">
        <v>-3.318813113430755</v>
      </c>
      <c r="M11" s="2">
        <v>-2.2869922902807649</v>
      </c>
      <c r="N11" s="2">
        <v>-1.1141125145307573</v>
      </c>
      <c r="O11" s="2">
        <v>-0.85833921068075947</v>
      </c>
      <c r="P11" s="2">
        <v>0.19842168935924309</v>
      </c>
      <c r="Q11" s="2">
        <v>9.0747949279244927E-2</v>
      </c>
      <c r="R11" s="2">
        <v>0.28020932696923401</v>
      </c>
      <c r="S11" s="2">
        <v>1.6829712080392252</v>
      </c>
      <c r="T11" s="2">
        <v>2.2472897998692272</v>
      </c>
      <c r="U11" s="2">
        <v>1.5381377024192207</v>
      </c>
      <c r="V11" s="2">
        <v>0.95009040011922963</v>
      </c>
      <c r="W11" s="2">
        <v>0.16778843210923924</v>
      </c>
      <c r="X11" s="2">
        <v>-0.32820109656075358</v>
      </c>
      <c r="Y11" s="2">
        <v>0.10288279560923042</v>
      </c>
      <c r="Z11" s="2">
        <v>1.1606928748392318</v>
      </c>
      <c r="AA11" s="2">
        <v>1.0248394490071275</v>
      </c>
      <c r="AB11" s="2">
        <v>1.606789201499234</v>
      </c>
      <c r="AC11" s="2">
        <v>2.394840518709227</v>
      </c>
      <c r="AD11" s="2">
        <v>1.0093508307130274</v>
      </c>
      <c r="AE11" s="2">
        <v>0.70257197929922732</v>
      </c>
      <c r="AF11" s="2">
        <v>0.71152544480922963</v>
      </c>
      <c r="AG11" s="2">
        <v>-1.2758133939807617</v>
      </c>
      <c r="AH11" s="2">
        <v>-1.1840317151307596</v>
      </c>
      <c r="AI11" s="2">
        <v>-2.9731450761907507</v>
      </c>
      <c r="AJ11" s="2">
        <v>-0.826312025460755</v>
      </c>
      <c r="AK11" s="2">
        <v>-0.82430027525075733</v>
      </c>
      <c r="AL11" s="2">
        <v>-0.21680460930476167</v>
      </c>
      <c r="AM11" s="2">
        <v>1.2002363824092406</v>
      </c>
      <c r="AN11" s="2">
        <v>1.7415489131692448</v>
      </c>
      <c r="AO11" s="2">
        <v>1.1845717860692297</v>
      </c>
      <c r="AP11" s="2">
        <v>1.8719868955192429</v>
      </c>
      <c r="AQ11" s="2">
        <v>0.19282233268922738</v>
      </c>
      <c r="AR11" s="2">
        <v>-0.41644266558675735</v>
      </c>
      <c r="AS11" s="2">
        <v>-0.7920709280307725</v>
      </c>
      <c r="AT11" s="2">
        <v>-3.1117011955307636</v>
      </c>
      <c r="AU11" s="2">
        <v>-1.754437314630755</v>
      </c>
    </row>
    <row r="12" spans="1:47" x14ac:dyDescent="0.25">
      <c r="A12">
        <v>1984.375</v>
      </c>
      <c r="B12">
        <v>5</v>
      </c>
      <c r="C12" s="2">
        <v>1.880515014489234</v>
      </c>
      <c r="G12" s="2">
        <v>1.880515014489234</v>
      </c>
      <c r="H12" s="2">
        <v>1.4169093568692384</v>
      </c>
      <c r="I12" s="2">
        <v>-1.459145150890766</v>
      </c>
      <c r="J12" s="2">
        <v>-0.25170846241076383</v>
      </c>
      <c r="K12" s="2">
        <v>-0.36195759964077051</v>
      </c>
      <c r="L12" s="2">
        <v>-0.47425017163075722</v>
      </c>
      <c r="M12" s="2">
        <v>-0.51962604492076825</v>
      </c>
      <c r="N12" s="2">
        <v>1.7054727707192336</v>
      </c>
      <c r="O12" s="2">
        <v>1.999494930519234</v>
      </c>
      <c r="P12" s="2">
        <v>1.7188996157552427</v>
      </c>
      <c r="Q12" s="2">
        <v>0.12128620823924474</v>
      </c>
      <c r="R12" s="2">
        <v>-1.4051694421937548</v>
      </c>
      <c r="S12" s="2">
        <v>-1.5365287291607705</v>
      </c>
      <c r="T12" s="2">
        <v>-1.6037714177007616</v>
      </c>
      <c r="U12" s="2">
        <v>-4.4186573967507705</v>
      </c>
      <c r="V12" s="2">
        <v>-5.7546631341007721</v>
      </c>
      <c r="W12" s="2">
        <v>-4.2828241200607735</v>
      </c>
      <c r="X12" s="2">
        <v>-3.318813113430755</v>
      </c>
      <c r="Y12" s="2">
        <v>-2.2869922902807649</v>
      </c>
      <c r="Z12" s="2">
        <v>-1.1141125145307573</v>
      </c>
      <c r="AA12" s="2">
        <v>-0.85833921068075947</v>
      </c>
      <c r="AB12" s="2">
        <v>0.19842168935924309</v>
      </c>
      <c r="AC12" s="2">
        <v>9.0747949279244927E-2</v>
      </c>
      <c r="AD12" s="2">
        <v>0.28020932696923401</v>
      </c>
      <c r="AE12" s="2">
        <v>1.6829712080392252</v>
      </c>
      <c r="AF12" s="2">
        <v>2.2472897998692272</v>
      </c>
      <c r="AG12" s="2">
        <v>1.5381377024192207</v>
      </c>
      <c r="AH12" s="2">
        <v>0.95009040011922963</v>
      </c>
      <c r="AI12" s="2">
        <v>0.16778843210923924</v>
      </c>
      <c r="AJ12" s="2">
        <v>-0.32820109656075358</v>
      </c>
      <c r="AK12" s="2">
        <v>0.10288279560923042</v>
      </c>
      <c r="AL12" s="2">
        <v>1.1606928748392318</v>
      </c>
      <c r="AM12" s="2">
        <v>1.0248394490071275</v>
      </c>
      <c r="AN12" s="2">
        <v>1.606789201499234</v>
      </c>
      <c r="AO12" s="2">
        <v>2.394840518709227</v>
      </c>
      <c r="AP12" s="2">
        <v>1.0093508307130274</v>
      </c>
      <c r="AQ12" s="2">
        <v>0.70257197929922732</v>
      </c>
      <c r="AR12" s="2">
        <v>0.71152544480922963</v>
      </c>
      <c r="AS12" s="2">
        <v>-1.2758133939807617</v>
      </c>
      <c r="AT12" s="2">
        <v>-1.1840317151307596</v>
      </c>
      <c r="AU12" s="2">
        <v>-2.9731450761907507</v>
      </c>
    </row>
    <row r="13" spans="1:47" x14ac:dyDescent="0.25">
      <c r="A13">
        <v>1985.375</v>
      </c>
      <c r="B13">
        <v>5</v>
      </c>
      <c r="C13" s="2">
        <v>3.018522973209234</v>
      </c>
      <c r="G13" s="2">
        <v>3.018522973209234</v>
      </c>
      <c r="H13" s="2">
        <v>3.2037219389892342</v>
      </c>
      <c r="I13" s="2">
        <v>2.8503516876992365</v>
      </c>
      <c r="J13" s="2">
        <v>1.5492982089822276</v>
      </c>
      <c r="K13" s="2">
        <v>-1.9206002569707727</v>
      </c>
      <c r="L13" s="2">
        <v>1.132073258699223</v>
      </c>
      <c r="M13" s="2">
        <v>0.48051006084922643</v>
      </c>
      <c r="N13" s="2">
        <v>1.0633639918392426</v>
      </c>
      <c r="O13" s="2">
        <v>0.96519801415922746</v>
      </c>
      <c r="P13" s="2">
        <v>1.8375980735592425</v>
      </c>
      <c r="Q13" s="2">
        <v>2.7315166602692278</v>
      </c>
      <c r="R13" s="2">
        <v>2.1734786425192314</v>
      </c>
      <c r="S13" s="2">
        <v>1.880515014489234</v>
      </c>
      <c r="T13" s="2">
        <v>1.4169093568692384</v>
      </c>
      <c r="U13" s="2">
        <v>-1.459145150890766</v>
      </c>
      <c r="V13" s="2">
        <v>-0.25170846241076383</v>
      </c>
      <c r="W13" s="2">
        <v>-0.36195759964077051</v>
      </c>
      <c r="X13" s="2">
        <v>-0.47425017163075722</v>
      </c>
      <c r="Y13" s="2">
        <v>-0.51962604492076825</v>
      </c>
      <c r="Z13" s="2">
        <v>1.7054727707192336</v>
      </c>
      <c r="AA13" s="2">
        <v>1.999494930519234</v>
      </c>
      <c r="AB13" s="2">
        <v>1.7188996157552427</v>
      </c>
      <c r="AC13" s="2">
        <v>0.12128620823924474</v>
      </c>
      <c r="AD13" s="2">
        <v>-1.4051694421937548</v>
      </c>
      <c r="AE13" s="2">
        <v>-1.5365287291607705</v>
      </c>
      <c r="AF13" s="2">
        <v>-1.6037714177007616</v>
      </c>
      <c r="AG13" s="2">
        <v>-4.4186573967507705</v>
      </c>
      <c r="AH13" s="2">
        <v>-5.7546631341007721</v>
      </c>
      <c r="AI13" s="2">
        <v>-4.2828241200607735</v>
      </c>
      <c r="AJ13" s="2">
        <v>-3.318813113430755</v>
      </c>
      <c r="AK13" s="2">
        <v>-2.2869922902807649</v>
      </c>
      <c r="AL13" s="2">
        <v>-1.1141125145307573</v>
      </c>
      <c r="AM13" s="2">
        <v>-0.85833921068075947</v>
      </c>
      <c r="AN13" s="2">
        <v>0.19842168935924309</v>
      </c>
      <c r="AO13" s="2">
        <v>9.0747949279244927E-2</v>
      </c>
      <c r="AP13" s="2">
        <v>0.28020932696923401</v>
      </c>
      <c r="AQ13" s="2">
        <v>1.6829712080392252</v>
      </c>
      <c r="AR13" s="2">
        <v>2.2472897998692272</v>
      </c>
      <c r="AS13" s="2">
        <v>1.5381377024192207</v>
      </c>
      <c r="AT13" s="2">
        <v>0.95009040011922963</v>
      </c>
      <c r="AU13" s="2">
        <v>0.16778843210923924</v>
      </c>
    </row>
    <row r="14" spans="1:47" x14ac:dyDescent="0.25">
      <c r="A14">
        <v>1986.375</v>
      </c>
      <c r="B14">
        <v>5</v>
      </c>
      <c r="C14" s="2">
        <v>1.1785690316392319</v>
      </c>
      <c r="G14" s="2">
        <v>1.1785690316392319</v>
      </c>
      <c r="H14" s="2">
        <v>1.7114235345992364</v>
      </c>
      <c r="I14" s="2">
        <v>-0.43541689654075511</v>
      </c>
      <c r="J14" s="2">
        <v>-2.7417317744307681</v>
      </c>
      <c r="K14" s="2">
        <v>-1.8271438100307529</v>
      </c>
      <c r="L14" s="2">
        <v>-1.8732676199307727</v>
      </c>
      <c r="M14" s="2">
        <v>0.73595420476922957</v>
      </c>
      <c r="N14" s="2">
        <v>1.5659244664692271</v>
      </c>
      <c r="O14" s="2">
        <v>1.8524098023792341</v>
      </c>
      <c r="P14" s="2">
        <v>2.4420961504492311</v>
      </c>
      <c r="Q14" s="2">
        <v>1.9535774414092228</v>
      </c>
      <c r="R14" s="2">
        <v>2.1399495708212228</v>
      </c>
      <c r="S14" s="2">
        <v>3.018522973209234</v>
      </c>
      <c r="T14" s="2">
        <v>3.2037219389892342</v>
      </c>
      <c r="U14" s="2">
        <v>2.8503516876992365</v>
      </c>
      <c r="V14" s="2">
        <v>1.5492982089822276</v>
      </c>
      <c r="W14" s="2">
        <v>-1.9206002569707727</v>
      </c>
      <c r="X14" s="2">
        <v>1.132073258699223</v>
      </c>
      <c r="Y14" s="2">
        <v>0.48051006084922643</v>
      </c>
      <c r="Z14" s="2">
        <v>1.0633639918392426</v>
      </c>
      <c r="AA14" s="2">
        <v>0.96519801415922746</v>
      </c>
      <c r="AB14" s="2">
        <v>1.8375980735592425</v>
      </c>
      <c r="AC14" s="2">
        <v>2.7315166602692278</v>
      </c>
      <c r="AD14" s="2">
        <v>2.1734786425192314</v>
      </c>
      <c r="AE14" s="2">
        <v>1.880515014489234</v>
      </c>
      <c r="AF14" s="2">
        <v>1.4169093568692384</v>
      </c>
      <c r="AG14" s="2">
        <v>-1.459145150890766</v>
      </c>
      <c r="AH14" s="2">
        <v>-0.25170846241076383</v>
      </c>
      <c r="AI14" s="2">
        <v>-0.36195759964077051</v>
      </c>
      <c r="AJ14" s="2">
        <v>-0.47425017163075722</v>
      </c>
      <c r="AK14" s="2">
        <v>-0.51962604492076825</v>
      </c>
      <c r="AL14" s="2">
        <v>1.7054727707192336</v>
      </c>
      <c r="AM14" s="2">
        <v>1.999494930519234</v>
      </c>
      <c r="AN14" s="2">
        <v>1.7188996157552427</v>
      </c>
      <c r="AO14" s="2">
        <v>0.12128620823924474</v>
      </c>
      <c r="AP14" s="2">
        <v>-1.4051694421937548</v>
      </c>
      <c r="AQ14" s="2">
        <v>-1.5365287291607705</v>
      </c>
      <c r="AR14" s="2">
        <v>-1.6037714177007616</v>
      </c>
      <c r="AS14" s="2">
        <v>-4.4186573967507705</v>
      </c>
      <c r="AT14" s="2">
        <v>-5.7546631341007721</v>
      </c>
      <c r="AU14" s="2">
        <v>-4.2828241200607735</v>
      </c>
    </row>
    <row r="15" spans="1:47" x14ac:dyDescent="0.25">
      <c r="A15">
        <v>1987.375</v>
      </c>
      <c r="B15">
        <v>5</v>
      </c>
      <c r="C15" s="2">
        <v>-0.33535354034076137</v>
      </c>
      <c r="G15" s="2">
        <v>-0.33535354034076137</v>
      </c>
      <c r="H15" s="2">
        <v>-1.3114206938707769</v>
      </c>
      <c r="I15" s="2">
        <v>-2.4788721167707712</v>
      </c>
      <c r="J15" s="2">
        <v>-2.8403952011307547</v>
      </c>
      <c r="K15" s="2">
        <v>-3.2496489045707593</v>
      </c>
      <c r="L15" s="2">
        <v>-3.9234169669407635</v>
      </c>
      <c r="M15" s="2">
        <v>-1.1159987036507704</v>
      </c>
      <c r="N15" s="2">
        <v>-0.73488822433075951</v>
      </c>
      <c r="O15" s="2">
        <v>2.1393244769225279E-2</v>
      </c>
      <c r="P15" s="2">
        <v>0.346637390069234</v>
      </c>
      <c r="Q15" s="2">
        <v>0.912020787759243</v>
      </c>
      <c r="R15" s="2">
        <v>0.75677649209923836</v>
      </c>
      <c r="S15" s="2">
        <v>1.1785690316392319</v>
      </c>
      <c r="T15" s="2">
        <v>1.7114235345992364</v>
      </c>
      <c r="U15" s="2">
        <v>-0.43541689654075511</v>
      </c>
      <c r="V15" s="2">
        <v>-2.7417317744307681</v>
      </c>
      <c r="W15" s="2">
        <v>-1.8271438100307529</v>
      </c>
      <c r="X15" s="2">
        <v>-1.8732676199307727</v>
      </c>
      <c r="Y15" s="2">
        <v>0.73595420476922957</v>
      </c>
      <c r="Z15" s="2">
        <v>1.5659244664692271</v>
      </c>
      <c r="AA15" s="2">
        <v>1.8524098023792341</v>
      </c>
      <c r="AB15" s="2">
        <v>2.4420961504492311</v>
      </c>
      <c r="AC15" s="2">
        <v>1.9535774414092228</v>
      </c>
      <c r="AD15" s="2">
        <v>2.1399495708212228</v>
      </c>
      <c r="AE15" s="2">
        <v>3.018522973209234</v>
      </c>
      <c r="AF15" s="2">
        <v>3.2037219389892342</v>
      </c>
      <c r="AG15" s="2">
        <v>2.8503516876992365</v>
      </c>
      <c r="AH15" s="2">
        <v>1.5492982089822276</v>
      </c>
      <c r="AI15" s="2">
        <v>-1.9206002569707727</v>
      </c>
      <c r="AJ15" s="2">
        <v>1.132073258699223</v>
      </c>
      <c r="AK15" s="2">
        <v>0.48051006084922643</v>
      </c>
      <c r="AL15" s="2">
        <v>1.0633639918392426</v>
      </c>
      <c r="AM15" s="2">
        <v>0.96519801415922746</v>
      </c>
      <c r="AN15" s="2">
        <v>1.8375980735592425</v>
      </c>
      <c r="AO15" s="2">
        <v>2.7315166602692278</v>
      </c>
      <c r="AP15" s="2">
        <v>2.1734786425192314</v>
      </c>
      <c r="AQ15" s="2">
        <v>1.880515014489234</v>
      </c>
      <c r="AR15" s="2">
        <v>1.4169093568692384</v>
      </c>
      <c r="AS15" s="2">
        <v>-1.459145150890766</v>
      </c>
      <c r="AT15" s="2">
        <v>-0.25170846241076383</v>
      </c>
      <c r="AU15" s="2">
        <v>-0.36195759964077051</v>
      </c>
    </row>
    <row r="16" spans="1:47" x14ac:dyDescent="0.25">
      <c r="A16">
        <v>1988.375</v>
      </c>
      <c r="B16">
        <v>5</v>
      </c>
      <c r="C16" s="2">
        <v>1.8152388873692404</v>
      </c>
      <c r="G16" s="2">
        <v>1.8152388873692404</v>
      </c>
      <c r="H16" s="2">
        <v>1.3004161718692424</v>
      </c>
      <c r="I16" s="2">
        <v>0.42120302822923172</v>
      </c>
      <c r="J16" s="2">
        <v>-1.738144879260775</v>
      </c>
      <c r="K16" s="2">
        <v>-1.4435084742307702</v>
      </c>
      <c r="L16" s="2">
        <v>-1.3359299806807639</v>
      </c>
      <c r="M16" s="2">
        <v>-1.46228869434076</v>
      </c>
      <c r="N16" s="2">
        <v>-1.0676690314607571</v>
      </c>
      <c r="O16" s="2">
        <v>-0.84388256081077684</v>
      </c>
      <c r="P16" s="2">
        <v>-0.98430620713077255</v>
      </c>
      <c r="Q16" s="2">
        <v>-1.0628494561707658</v>
      </c>
      <c r="R16" s="2">
        <v>-0.85776481624076351</v>
      </c>
      <c r="S16" s="2">
        <v>-0.33535354034076137</v>
      </c>
      <c r="T16" s="2">
        <v>-1.3114206938707769</v>
      </c>
      <c r="U16" s="2">
        <v>-2.4788721167707712</v>
      </c>
      <c r="V16" s="2">
        <v>-2.8403952011307547</v>
      </c>
      <c r="W16" s="2">
        <v>-3.2496489045707593</v>
      </c>
      <c r="X16" s="2">
        <v>-3.9234169669407635</v>
      </c>
      <c r="Y16" s="2">
        <v>-1.1159987036507704</v>
      </c>
      <c r="Z16" s="2">
        <v>-0.73488822433075951</v>
      </c>
      <c r="AA16" s="2">
        <v>2.1393244769225279E-2</v>
      </c>
      <c r="AB16" s="2">
        <v>0.346637390069234</v>
      </c>
      <c r="AC16" s="2">
        <v>0.912020787759243</v>
      </c>
      <c r="AD16" s="2">
        <v>0.75677649209923836</v>
      </c>
      <c r="AE16" s="2">
        <v>1.1785690316392319</v>
      </c>
      <c r="AF16" s="2">
        <v>1.7114235345992364</v>
      </c>
      <c r="AG16" s="2">
        <v>-0.43541689654075511</v>
      </c>
      <c r="AH16" s="2">
        <v>-2.7417317744307681</v>
      </c>
      <c r="AI16" s="2">
        <v>-1.8271438100307529</v>
      </c>
      <c r="AJ16" s="2">
        <v>-1.8732676199307727</v>
      </c>
      <c r="AK16" s="2">
        <v>0.73595420476922957</v>
      </c>
      <c r="AL16" s="2">
        <v>1.5659244664692271</v>
      </c>
      <c r="AM16" s="2">
        <v>1.8524098023792341</v>
      </c>
      <c r="AN16" s="2">
        <v>2.4420961504492311</v>
      </c>
      <c r="AO16" s="2">
        <v>1.9535774414092228</v>
      </c>
      <c r="AP16" s="2">
        <v>2.1399495708212228</v>
      </c>
      <c r="AQ16" s="2">
        <v>3.018522973209234</v>
      </c>
      <c r="AR16" s="2">
        <v>3.2037219389892342</v>
      </c>
      <c r="AS16" s="2">
        <v>2.8503516876992365</v>
      </c>
      <c r="AT16" s="2">
        <v>1.5492982089822276</v>
      </c>
      <c r="AU16" s="2">
        <v>-1.9206002569707727</v>
      </c>
    </row>
    <row r="17" spans="1:47" x14ac:dyDescent="0.25">
      <c r="A17">
        <v>1989.375</v>
      </c>
      <c r="B17">
        <v>5</v>
      </c>
      <c r="C17" s="2">
        <v>3.101098920829223</v>
      </c>
      <c r="G17" s="2">
        <v>3.101098920829223</v>
      </c>
      <c r="H17" s="2">
        <v>2.9412418136592424</v>
      </c>
      <c r="I17" s="2">
        <v>3.3389959835592316</v>
      </c>
      <c r="J17" s="2">
        <v>4.0775932636092254</v>
      </c>
      <c r="K17" s="2">
        <v>3.5894435184692313</v>
      </c>
      <c r="L17" s="2">
        <v>2.3186386828592394</v>
      </c>
      <c r="M17" s="2">
        <v>2.519808289969224</v>
      </c>
      <c r="N17" s="2">
        <v>2.8509511295692231</v>
      </c>
      <c r="O17" s="2">
        <v>4.210773910769225</v>
      </c>
      <c r="P17" s="2">
        <v>3.9125285119692315</v>
      </c>
      <c r="Q17" s="2">
        <v>4.1239791073692293</v>
      </c>
      <c r="R17" s="2">
        <v>2.838481122869227</v>
      </c>
      <c r="S17" s="2">
        <v>1.8152388873692404</v>
      </c>
      <c r="T17" s="2">
        <v>1.3004161718692424</v>
      </c>
      <c r="U17" s="2">
        <v>0.42120302822923172</v>
      </c>
      <c r="V17" s="2">
        <v>-1.738144879260775</v>
      </c>
      <c r="W17" s="2">
        <v>-1.4435084742307702</v>
      </c>
      <c r="X17" s="2">
        <v>-1.3359299806807639</v>
      </c>
      <c r="Y17" s="2">
        <v>-1.46228869434076</v>
      </c>
      <c r="Z17" s="2">
        <v>-1.0676690314607571</v>
      </c>
      <c r="AA17" s="2">
        <v>-0.84388256081077684</v>
      </c>
      <c r="AB17" s="2">
        <v>-0.98430620713077255</v>
      </c>
      <c r="AC17" s="2">
        <v>-1.0628494561707658</v>
      </c>
      <c r="AD17" s="2">
        <v>-0.85776481624076351</v>
      </c>
      <c r="AE17" s="2">
        <v>-0.33535354034076137</v>
      </c>
      <c r="AF17" s="2">
        <v>-1.3114206938707769</v>
      </c>
      <c r="AG17" s="2">
        <v>-2.4788721167707712</v>
      </c>
      <c r="AH17" s="2">
        <v>-2.8403952011307547</v>
      </c>
      <c r="AI17" s="2">
        <v>-3.2496489045707593</v>
      </c>
      <c r="AJ17" s="2">
        <v>-3.9234169669407635</v>
      </c>
      <c r="AK17" s="2">
        <v>-1.1159987036507704</v>
      </c>
      <c r="AL17" s="2">
        <v>-0.73488822433075951</v>
      </c>
      <c r="AM17" s="2">
        <v>2.1393244769225279E-2</v>
      </c>
      <c r="AN17" s="2">
        <v>0.346637390069234</v>
      </c>
      <c r="AO17" s="2">
        <v>0.912020787759243</v>
      </c>
      <c r="AP17" s="2">
        <v>0.75677649209923836</v>
      </c>
      <c r="AQ17" s="2">
        <v>1.1785690316392319</v>
      </c>
      <c r="AR17" s="2">
        <v>1.7114235345992364</v>
      </c>
      <c r="AS17" s="2">
        <v>-0.43541689654075511</v>
      </c>
      <c r="AT17" s="2">
        <v>-2.7417317744307681</v>
      </c>
      <c r="AU17" s="2">
        <v>-1.8271438100307529</v>
      </c>
    </row>
    <row r="18" spans="1:47" x14ac:dyDescent="0.25">
      <c r="A18">
        <v>1990.375</v>
      </c>
      <c r="B18">
        <v>5</v>
      </c>
      <c r="C18" s="2">
        <v>1.2389727557242383</v>
      </c>
      <c r="G18" s="2">
        <v>1.2389727557242383</v>
      </c>
      <c r="H18" s="2">
        <v>1.6186363016892316</v>
      </c>
      <c r="I18" s="2">
        <v>0.87342533512922516</v>
      </c>
      <c r="J18" s="2">
        <v>2.4928988691492382</v>
      </c>
      <c r="K18" s="2">
        <v>-6.0649675430752892E-2</v>
      </c>
      <c r="L18" s="2">
        <v>-0.80318400744077045</v>
      </c>
      <c r="M18" s="2">
        <v>1.7226007102992229</v>
      </c>
      <c r="N18" s="2">
        <v>2.123144150119245</v>
      </c>
      <c r="O18" s="2">
        <v>1.9350583343592276</v>
      </c>
      <c r="P18" s="2">
        <v>2.4970583207292276</v>
      </c>
      <c r="Q18" s="2">
        <v>3.1293092386692387</v>
      </c>
      <c r="R18" s="2">
        <v>2.5792642141692426</v>
      </c>
      <c r="S18" s="2">
        <v>3.101098920829223</v>
      </c>
      <c r="T18" s="2">
        <v>2.9412418136592424</v>
      </c>
      <c r="U18" s="2">
        <v>3.3389959835592316</v>
      </c>
      <c r="V18" s="2">
        <v>4.0775932636092254</v>
      </c>
      <c r="W18" s="2">
        <v>3.5894435184692313</v>
      </c>
      <c r="X18" s="2">
        <v>2.3186386828592394</v>
      </c>
      <c r="Y18" s="2">
        <v>2.519808289969224</v>
      </c>
      <c r="Z18" s="2">
        <v>2.8509511295692231</v>
      </c>
      <c r="AA18" s="2">
        <v>4.210773910769225</v>
      </c>
      <c r="AB18" s="2">
        <v>3.9125285119692315</v>
      </c>
      <c r="AC18" s="2">
        <v>4.1239791073692293</v>
      </c>
      <c r="AD18" s="2">
        <v>2.838481122869227</v>
      </c>
      <c r="AE18" s="2">
        <v>1.8152388873692404</v>
      </c>
      <c r="AF18" s="2">
        <v>1.3004161718692424</v>
      </c>
      <c r="AG18" s="2">
        <v>0.42120302822923172</v>
      </c>
      <c r="AH18" s="2">
        <v>-1.738144879260775</v>
      </c>
      <c r="AI18" s="2">
        <v>-1.4435084742307702</v>
      </c>
      <c r="AJ18" s="2">
        <v>-1.3359299806807639</v>
      </c>
      <c r="AK18" s="2">
        <v>-1.46228869434076</v>
      </c>
      <c r="AL18" s="2">
        <v>-1.0676690314607571</v>
      </c>
      <c r="AM18" s="2">
        <v>-0.84388256081077684</v>
      </c>
      <c r="AN18" s="2">
        <v>-0.98430620713077255</v>
      </c>
      <c r="AO18" s="2">
        <v>-1.0628494561707658</v>
      </c>
      <c r="AP18" s="2">
        <v>-0.85776481624076351</v>
      </c>
      <c r="AQ18" s="2">
        <v>-0.33535354034076137</v>
      </c>
      <c r="AR18" s="2">
        <v>-1.3114206938707769</v>
      </c>
      <c r="AS18" s="2">
        <v>-2.4788721167707712</v>
      </c>
      <c r="AT18" s="2">
        <v>-2.8403952011307547</v>
      </c>
      <c r="AU18" s="2">
        <v>-3.2496489045707593</v>
      </c>
    </row>
    <row r="19" spans="1:47" x14ac:dyDescent="0.25">
      <c r="A19">
        <v>1991.375</v>
      </c>
      <c r="B19">
        <v>5</v>
      </c>
      <c r="C19" s="2">
        <v>1.5588966751912405</v>
      </c>
      <c r="G19" s="2">
        <v>1.5588966751912405</v>
      </c>
      <c r="H19" s="2">
        <v>1.6316906620592251</v>
      </c>
      <c r="I19" s="2">
        <v>1.2957303481892386</v>
      </c>
      <c r="J19" s="2">
        <v>-1.2335507462607638</v>
      </c>
      <c r="K19" s="2">
        <v>0.16320301782923852</v>
      </c>
      <c r="L19" s="2">
        <v>1.1043187677692341</v>
      </c>
      <c r="M19" s="2">
        <v>2.7184411626292273</v>
      </c>
      <c r="N19" s="2">
        <v>1.6554374506492406</v>
      </c>
      <c r="O19" s="2">
        <v>0.73988715803922955</v>
      </c>
      <c r="P19" s="2">
        <v>1.2394592322392297</v>
      </c>
      <c r="Q19" s="2">
        <v>1.5319094081492275</v>
      </c>
      <c r="R19" s="2">
        <v>1.4473524387232231</v>
      </c>
      <c r="S19" s="2">
        <v>1.2389727557242383</v>
      </c>
      <c r="T19" s="2">
        <v>1.6186363016892316</v>
      </c>
      <c r="U19" s="2">
        <v>0.87342533512922516</v>
      </c>
      <c r="V19" s="2">
        <v>2.4928988691492382</v>
      </c>
      <c r="W19" s="2">
        <v>-6.0649675430752892E-2</v>
      </c>
      <c r="X19" s="2">
        <v>-0.80318400744077045</v>
      </c>
      <c r="Y19" s="2">
        <v>1.7226007102992229</v>
      </c>
      <c r="Z19" s="2">
        <v>2.123144150119245</v>
      </c>
      <c r="AA19" s="2">
        <v>1.9350583343592276</v>
      </c>
      <c r="AB19" s="2">
        <v>2.4970583207292276</v>
      </c>
      <c r="AC19" s="2">
        <v>3.1293092386692387</v>
      </c>
      <c r="AD19" s="2">
        <v>2.5792642141692426</v>
      </c>
      <c r="AE19" s="2">
        <v>3.101098920829223</v>
      </c>
      <c r="AF19" s="2">
        <v>2.9412418136592424</v>
      </c>
      <c r="AG19" s="2">
        <v>3.3389959835592316</v>
      </c>
      <c r="AH19" s="2">
        <v>4.0775932636092254</v>
      </c>
      <c r="AI19" s="2">
        <v>3.5894435184692313</v>
      </c>
      <c r="AJ19" s="2">
        <v>2.3186386828592394</v>
      </c>
      <c r="AK19" s="2">
        <v>2.519808289969224</v>
      </c>
      <c r="AL19" s="2">
        <v>2.8509511295692231</v>
      </c>
      <c r="AM19" s="2">
        <v>4.210773910769225</v>
      </c>
      <c r="AN19" s="2">
        <v>3.9125285119692315</v>
      </c>
      <c r="AO19" s="2">
        <v>4.1239791073692293</v>
      </c>
      <c r="AP19" s="2">
        <v>2.838481122869227</v>
      </c>
      <c r="AQ19" s="2">
        <v>1.8152388873692404</v>
      </c>
      <c r="AR19" s="2">
        <v>1.3004161718692424</v>
      </c>
      <c r="AS19" s="2">
        <v>0.42120302822923172</v>
      </c>
      <c r="AT19" s="2">
        <v>-1.738144879260775</v>
      </c>
      <c r="AU19" s="2">
        <v>-1.4435084742307702</v>
      </c>
    </row>
    <row r="20" spans="1:47" x14ac:dyDescent="0.25">
      <c r="A20">
        <v>1992.375</v>
      </c>
      <c r="B20">
        <v>5</v>
      </c>
      <c r="C20" s="2">
        <v>-0.84115852963076165</v>
      </c>
      <c r="G20" s="2">
        <v>-0.84115852963076165</v>
      </c>
      <c r="H20" s="2">
        <v>-1.4262157430307572</v>
      </c>
      <c r="I20" s="2">
        <v>-1.6423887356207789</v>
      </c>
      <c r="J20" s="2">
        <v>-2.3034867752407635</v>
      </c>
      <c r="K20" s="2">
        <v>-4.0346397557107512</v>
      </c>
      <c r="L20" s="2">
        <v>-1.5787000165107659</v>
      </c>
      <c r="M20" s="2">
        <v>-1.6823914399807602</v>
      </c>
      <c r="N20" s="2">
        <v>-0.45250741993075744</v>
      </c>
      <c r="O20" s="2">
        <v>-0.43909391222076166</v>
      </c>
      <c r="P20" s="2">
        <v>0.99610122664924261</v>
      </c>
      <c r="Q20" s="2">
        <v>1.3196503246692344</v>
      </c>
      <c r="R20" s="2">
        <v>1.5908299070092362</v>
      </c>
      <c r="S20" s="2">
        <v>1.5588966751912405</v>
      </c>
      <c r="T20" s="2">
        <v>1.6316906620592251</v>
      </c>
      <c r="U20" s="2">
        <v>1.2957303481892386</v>
      </c>
      <c r="V20" s="2">
        <v>-1.2335507462607638</v>
      </c>
      <c r="W20" s="2">
        <v>0.16320301782923852</v>
      </c>
      <c r="X20" s="2">
        <v>1.1043187677692341</v>
      </c>
      <c r="Y20" s="2">
        <v>2.7184411626292273</v>
      </c>
      <c r="Z20" s="2">
        <v>1.6554374506492406</v>
      </c>
      <c r="AA20" s="2">
        <v>0.73988715803922955</v>
      </c>
      <c r="AB20" s="2">
        <v>1.2394592322392297</v>
      </c>
      <c r="AC20" s="2">
        <v>1.5319094081492275</v>
      </c>
      <c r="AD20" s="2">
        <v>1.4473524387232231</v>
      </c>
      <c r="AE20" s="2">
        <v>1.2389727557242383</v>
      </c>
      <c r="AF20" s="2">
        <v>1.6186363016892316</v>
      </c>
      <c r="AG20" s="2">
        <v>0.87342533512922516</v>
      </c>
      <c r="AH20" s="2">
        <v>2.4928988691492382</v>
      </c>
      <c r="AI20" s="2">
        <v>-6.0649675430752892E-2</v>
      </c>
      <c r="AJ20" s="2">
        <v>-0.80318400744077045</v>
      </c>
      <c r="AK20" s="2">
        <v>1.7226007102992229</v>
      </c>
      <c r="AL20" s="2">
        <v>2.123144150119245</v>
      </c>
      <c r="AM20" s="2">
        <v>1.9350583343592276</v>
      </c>
      <c r="AN20" s="2">
        <v>2.4970583207292276</v>
      </c>
      <c r="AO20" s="2">
        <v>3.1293092386692387</v>
      </c>
      <c r="AP20" s="2">
        <v>2.5792642141692426</v>
      </c>
      <c r="AQ20" s="2">
        <v>3.101098920829223</v>
      </c>
      <c r="AR20" s="2">
        <v>2.9412418136592424</v>
      </c>
      <c r="AS20" s="2">
        <v>3.3389959835592316</v>
      </c>
      <c r="AT20" s="2">
        <v>4.0775932636092254</v>
      </c>
      <c r="AU20" s="2">
        <v>3.5894435184692313</v>
      </c>
    </row>
    <row r="21" spans="1:47" x14ac:dyDescent="0.25">
      <c r="A21">
        <v>1993.375</v>
      </c>
      <c r="B21">
        <v>5</v>
      </c>
      <c r="C21" s="2">
        <v>-1.7499852617307701</v>
      </c>
      <c r="G21" s="2">
        <v>-1.7499852617307701</v>
      </c>
      <c r="H21" s="2">
        <v>-1.4652308750507557</v>
      </c>
      <c r="I21" s="2">
        <v>-1.400128325530777</v>
      </c>
      <c r="J21" s="2">
        <v>-2.5427820538307531</v>
      </c>
      <c r="K21" s="2">
        <v>-6.6647353730779207E-2</v>
      </c>
      <c r="L21" s="2">
        <v>0.2562015870692339</v>
      </c>
      <c r="M21" s="2">
        <v>-0.76324945283075885</v>
      </c>
      <c r="N21" s="2">
        <v>-0.47740350051075731</v>
      </c>
      <c r="O21" s="2">
        <v>0.67246091184924062</v>
      </c>
      <c r="P21" s="2">
        <v>0.91106123696924057</v>
      </c>
      <c r="Q21" s="2">
        <v>0.30045070326922318</v>
      </c>
      <c r="R21" s="2">
        <v>-1.121383650430777</v>
      </c>
      <c r="S21" s="2">
        <v>-0.84115852963076165</v>
      </c>
      <c r="T21" s="2">
        <v>-1.4262157430307572</v>
      </c>
      <c r="U21" s="2">
        <v>-1.6423887356207789</v>
      </c>
      <c r="V21" s="2">
        <v>-2.3034867752407635</v>
      </c>
      <c r="W21" s="2">
        <v>-4.0346397557107512</v>
      </c>
      <c r="X21" s="2">
        <v>-1.5787000165107659</v>
      </c>
      <c r="Y21" s="2">
        <v>-1.6823914399807602</v>
      </c>
      <c r="Z21" s="2">
        <v>-0.45250741993075744</v>
      </c>
      <c r="AA21" s="2">
        <v>-0.43909391222076166</v>
      </c>
      <c r="AB21" s="2">
        <v>0.99610122664924261</v>
      </c>
      <c r="AC21" s="2">
        <v>1.3196503246692344</v>
      </c>
      <c r="AD21" s="2">
        <v>1.5908299070092362</v>
      </c>
      <c r="AE21" s="2">
        <v>1.5588966751912405</v>
      </c>
      <c r="AF21" s="2">
        <v>1.6316906620592251</v>
      </c>
      <c r="AG21" s="2">
        <v>1.2957303481892386</v>
      </c>
      <c r="AH21" s="2">
        <v>-1.2335507462607638</v>
      </c>
      <c r="AI21" s="2">
        <v>0.16320301782923852</v>
      </c>
      <c r="AJ21" s="2">
        <v>1.1043187677692341</v>
      </c>
      <c r="AK21" s="2">
        <v>2.7184411626292273</v>
      </c>
      <c r="AL21" s="2">
        <v>1.6554374506492406</v>
      </c>
      <c r="AM21" s="2">
        <v>0.73988715803922955</v>
      </c>
      <c r="AN21" s="2">
        <v>1.2394592322392297</v>
      </c>
      <c r="AO21" s="2">
        <v>1.5319094081492275</v>
      </c>
      <c r="AP21" s="2">
        <v>1.4473524387232231</v>
      </c>
      <c r="AQ21" s="2">
        <v>1.2389727557242383</v>
      </c>
      <c r="AR21" s="2">
        <v>1.6186363016892316</v>
      </c>
      <c r="AS21" s="2">
        <v>0.87342533512922516</v>
      </c>
      <c r="AT21" s="2">
        <v>2.4928988691492382</v>
      </c>
      <c r="AU21" s="2">
        <v>-6.0649675430752892E-2</v>
      </c>
    </row>
    <row r="22" spans="1:47" x14ac:dyDescent="0.25">
      <c r="A22">
        <v>1994.375</v>
      </c>
      <c r="B22">
        <v>5</v>
      </c>
      <c r="C22" s="2">
        <v>0.48058693018923609</v>
      </c>
      <c r="G22" s="2">
        <v>0.48058693018923609</v>
      </c>
      <c r="H22" s="2">
        <v>0.43658393346923852</v>
      </c>
      <c r="I22" s="2">
        <v>0.55829599056923407</v>
      </c>
      <c r="J22" s="2">
        <v>-0.26735246563077253</v>
      </c>
      <c r="K22" s="2">
        <v>-0.96840572933077751</v>
      </c>
      <c r="L22" s="2">
        <v>-1.3840851574307529</v>
      </c>
      <c r="M22" s="2">
        <v>-0.34274929363076823</v>
      </c>
      <c r="N22" s="2">
        <v>-1.003711165430766</v>
      </c>
      <c r="O22" s="2">
        <v>3.3413247869227392E-2</v>
      </c>
      <c r="P22" s="2">
        <v>-0.23892460953076178</v>
      </c>
      <c r="Q22" s="2">
        <v>-5.7858695630772616E-2</v>
      </c>
      <c r="R22" s="2">
        <v>-1.2440622765307658</v>
      </c>
      <c r="S22" s="2">
        <v>-1.7499852617307701</v>
      </c>
      <c r="T22" s="2">
        <v>-1.4652308750507557</v>
      </c>
      <c r="U22" s="2">
        <v>-1.400128325530777</v>
      </c>
      <c r="V22" s="2">
        <v>-2.5427820538307531</v>
      </c>
      <c r="W22" s="2">
        <v>-6.6647353730779207E-2</v>
      </c>
      <c r="X22" s="2">
        <v>0.2562015870692339</v>
      </c>
      <c r="Y22" s="2">
        <v>-0.76324945283075885</v>
      </c>
      <c r="Z22" s="2">
        <v>-0.47740350051075731</v>
      </c>
      <c r="AA22" s="2">
        <v>0.67246091184924062</v>
      </c>
      <c r="AB22" s="2">
        <v>0.91106123696924057</v>
      </c>
      <c r="AC22" s="2">
        <v>0.30045070326922318</v>
      </c>
      <c r="AD22" s="2">
        <v>-1.121383650430777</v>
      </c>
      <c r="AE22" s="2">
        <v>-0.84115852963076165</v>
      </c>
      <c r="AF22" s="2">
        <v>-1.4262157430307572</v>
      </c>
      <c r="AG22" s="2">
        <v>-1.6423887356207789</v>
      </c>
      <c r="AH22" s="2">
        <v>-2.3034867752407635</v>
      </c>
      <c r="AI22" s="2">
        <v>-4.0346397557107512</v>
      </c>
      <c r="AJ22" s="2">
        <v>-1.5787000165107659</v>
      </c>
      <c r="AK22" s="2">
        <v>-1.6823914399807602</v>
      </c>
      <c r="AL22" s="2">
        <v>-0.45250741993075744</v>
      </c>
      <c r="AM22" s="2">
        <v>-0.43909391222076166</v>
      </c>
      <c r="AN22" s="2">
        <v>0.99610122664924261</v>
      </c>
      <c r="AO22" s="2">
        <v>1.3196503246692344</v>
      </c>
      <c r="AP22" s="2">
        <v>1.5908299070092362</v>
      </c>
      <c r="AQ22" s="2">
        <v>1.5588966751912405</v>
      </c>
      <c r="AR22" s="2">
        <v>1.6316906620592251</v>
      </c>
      <c r="AS22" s="2">
        <v>1.2957303481892386</v>
      </c>
      <c r="AT22" s="2">
        <v>-1.2335507462607638</v>
      </c>
      <c r="AU22" s="2">
        <v>0.16320301782923852</v>
      </c>
    </row>
    <row r="23" spans="1:47" x14ac:dyDescent="0.25">
      <c r="A23">
        <v>1995.375</v>
      </c>
      <c r="B23">
        <v>5</v>
      </c>
      <c r="C23" s="2">
        <v>7.6683764169240554E-2</v>
      </c>
      <c r="G23" s="2">
        <v>7.6683764169240554E-2</v>
      </c>
      <c r="H23" s="2">
        <v>0.10972375916922747</v>
      </c>
      <c r="I23" s="2">
        <v>-0.31761633993075511</v>
      </c>
      <c r="J23" s="2">
        <v>-1.3699783146307574</v>
      </c>
      <c r="K23" s="2">
        <v>-2.2407406892407531</v>
      </c>
      <c r="L23" s="2">
        <v>-1.0063510335307699</v>
      </c>
      <c r="M23" s="2">
        <v>1.3061153370692451</v>
      </c>
      <c r="N23" s="2">
        <v>-0.22854296843077238</v>
      </c>
      <c r="O23" s="2">
        <v>0.54970240346922294</v>
      </c>
      <c r="P23" s="2">
        <v>1.4629862816792296</v>
      </c>
      <c r="Q23" s="2">
        <v>1.3126903932192404</v>
      </c>
      <c r="R23" s="2">
        <v>1.4165573207592337</v>
      </c>
      <c r="S23" s="2">
        <v>0.48058693018923609</v>
      </c>
      <c r="T23" s="2">
        <v>0.43658393346923852</v>
      </c>
      <c r="U23" s="2">
        <v>0.55829599056923407</v>
      </c>
      <c r="V23" s="2">
        <v>-0.26735246563077253</v>
      </c>
      <c r="W23" s="2">
        <v>-0.96840572933077751</v>
      </c>
      <c r="X23" s="2">
        <v>-1.3840851574307529</v>
      </c>
      <c r="Y23" s="2">
        <v>-0.34274929363076823</v>
      </c>
      <c r="Z23" s="2">
        <v>-1.003711165430766</v>
      </c>
      <c r="AA23" s="2">
        <v>3.3413247869227392E-2</v>
      </c>
      <c r="AB23" s="2">
        <v>-0.23892460953076178</v>
      </c>
      <c r="AC23" s="2">
        <v>-5.7858695630772616E-2</v>
      </c>
      <c r="AD23" s="2">
        <v>-1.2440622765307658</v>
      </c>
      <c r="AE23" s="2">
        <v>-1.7499852617307701</v>
      </c>
      <c r="AF23" s="2">
        <v>-1.4652308750507557</v>
      </c>
      <c r="AG23" s="2">
        <v>-1.400128325530777</v>
      </c>
      <c r="AH23" s="2">
        <v>-2.5427820538307531</v>
      </c>
      <c r="AI23" s="2">
        <v>-6.6647353730779207E-2</v>
      </c>
      <c r="AJ23" s="2">
        <v>0.2562015870692339</v>
      </c>
      <c r="AK23" s="2">
        <v>-0.76324945283075885</v>
      </c>
      <c r="AL23" s="2">
        <v>-0.47740350051075731</v>
      </c>
      <c r="AM23" s="2">
        <v>0.67246091184924062</v>
      </c>
      <c r="AN23" s="2">
        <v>0.91106123696924057</v>
      </c>
      <c r="AO23" s="2">
        <v>0.30045070326922318</v>
      </c>
      <c r="AP23" s="2">
        <v>-1.121383650430777</v>
      </c>
      <c r="AQ23" s="2">
        <v>-0.84115852963076165</v>
      </c>
      <c r="AR23" s="2">
        <v>-1.4262157430307572</v>
      </c>
      <c r="AS23" s="2">
        <v>-1.6423887356207789</v>
      </c>
      <c r="AT23" s="2">
        <v>-2.3034867752407635</v>
      </c>
      <c r="AU23" s="2">
        <v>-4.0346397557107512</v>
      </c>
    </row>
    <row r="24" spans="1:47" x14ac:dyDescent="0.25">
      <c r="A24">
        <v>1996.375</v>
      </c>
      <c r="B24">
        <v>5</v>
      </c>
      <c r="C24" s="2">
        <v>0.93481068946924495</v>
      </c>
      <c r="G24" s="2">
        <v>0.93481068946924495</v>
      </c>
      <c r="H24" s="2">
        <v>-9.6817897150762722E-2</v>
      </c>
      <c r="I24" s="2">
        <v>0.34425614486924488</v>
      </c>
      <c r="J24" s="2">
        <v>5.2294937169236277E-2</v>
      </c>
      <c r="K24" s="2">
        <v>0.12928496692922442</v>
      </c>
      <c r="L24" s="2">
        <v>-1.3773610517907746</v>
      </c>
      <c r="M24" s="2">
        <v>1.5170529866692426</v>
      </c>
      <c r="N24" s="2">
        <v>1.4887714762392252</v>
      </c>
      <c r="O24" s="2">
        <v>0.48882257341924473</v>
      </c>
      <c r="P24" s="2">
        <v>2.4735421464692338</v>
      </c>
      <c r="Q24" s="2">
        <v>1.2489220058692447</v>
      </c>
      <c r="R24" s="2">
        <v>0.55404742496924286</v>
      </c>
      <c r="S24" s="2">
        <v>7.6683764169240554E-2</v>
      </c>
      <c r="T24" s="2">
        <v>0.10972375916922747</v>
      </c>
      <c r="U24" s="2">
        <v>-0.31761633993075511</v>
      </c>
      <c r="V24" s="2">
        <v>-1.3699783146307574</v>
      </c>
      <c r="W24" s="2">
        <v>-2.2407406892407531</v>
      </c>
      <c r="X24" s="2">
        <v>-1.0063510335307699</v>
      </c>
      <c r="Y24" s="2">
        <v>1.3061153370692451</v>
      </c>
      <c r="Z24" s="2">
        <v>-0.22854296843077238</v>
      </c>
      <c r="AA24" s="2">
        <v>0.54970240346922294</v>
      </c>
      <c r="AB24" s="2">
        <v>1.4629862816792296</v>
      </c>
      <c r="AC24" s="2">
        <v>1.3126903932192404</v>
      </c>
      <c r="AD24" s="2">
        <v>1.4165573207592337</v>
      </c>
      <c r="AE24" s="2">
        <v>0.48058693018923609</v>
      </c>
      <c r="AF24" s="2">
        <v>0.43658393346923852</v>
      </c>
      <c r="AG24" s="2">
        <v>0.55829599056923407</v>
      </c>
      <c r="AH24" s="2">
        <v>-0.26735246563077253</v>
      </c>
      <c r="AI24" s="2">
        <v>-0.96840572933077751</v>
      </c>
      <c r="AJ24" s="2">
        <v>-1.3840851574307529</v>
      </c>
      <c r="AK24" s="2">
        <v>-0.34274929363076823</v>
      </c>
      <c r="AL24" s="2">
        <v>-1.003711165430766</v>
      </c>
      <c r="AM24" s="2">
        <v>3.3413247869227392E-2</v>
      </c>
      <c r="AN24" s="2">
        <v>-0.23892460953076178</v>
      </c>
      <c r="AO24" s="2">
        <v>-5.7858695630772616E-2</v>
      </c>
      <c r="AP24" s="2">
        <v>-1.2440622765307658</v>
      </c>
      <c r="AQ24" s="2">
        <v>-1.7499852617307701</v>
      </c>
      <c r="AR24" s="2">
        <v>-1.4652308750507557</v>
      </c>
      <c r="AS24" s="2">
        <v>-1.400128325530777</v>
      </c>
      <c r="AT24" s="2">
        <v>-2.5427820538307531</v>
      </c>
      <c r="AU24" s="2">
        <v>-6.6647353730779207E-2</v>
      </c>
    </row>
    <row r="25" spans="1:47" x14ac:dyDescent="0.25">
      <c r="A25">
        <v>1997.375</v>
      </c>
      <c r="B25">
        <v>5</v>
      </c>
      <c r="C25" s="2">
        <v>-1.0207669603507683</v>
      </c>
      <c r="G25" s="2">
        <v>-1.0207669603507683</v>
      </c>
      <c r="H25" s="2">
        <v>-9.7373376630768144E-2</v>
      </c>
      <c r="I25" s="2">
        <v>1.4184623768092359</v>
      </c>
      <c r="J25" s="2">
        <v>-0.48558845493075964</v>
      </c>
      <c r="K25" s="2">
        <v>-1.4328003235307725</v>
      </c>
      <c r="L25" s="2">
        <v>0.25270418406924511</v>
      </c>
      <c r="M25" s="2">
        <v>0.81910462036922738</v>
      </c>
      <c r="N25" s="2">
        <v>1.2670931882692424</v>
      </c>
      <c r="O25" s="2">
        <v>1.252030043689234</v>
      </c>
      <c r="P25" s="2">
        <v>2.7404304538592403</v>
      </c>
      <c r="Q25" s="2">
        <v>2.3489521429392384</v>
      </c>
      <c r="R25" s="2">
        <v>1.766043151369225</v>
      </c>
      <c r="S25" s="2">
        <v>0.93481068946924495</v>
      </c>
      <c r="T25" s="2">
        <v>-9.6817897150762722E-2</v>
      </c>
      <c r="U25" s="2">
        <v>0.34425614486924488</v>
      </c>
      <c r="V25" s="2">
        <v>5.2294937169236277E-2</v>
      </c>
      <c r="W25" s="2">
        <v>0.12928496692922442</v>
      </c>
      <c r="X25" s="2">
        <v>-1.3773610517907746</v>
      </c>
      <c r="Y25" s="2">
        <v>1.5170529866692426</v>
      </c>
      <c r="Z25" s="2">
        <v>1.4887714762392252</v>
      </c>
      <c r="AA25" s="2">
        <v>0.48882257341924473</v>
      </c>
      <c r="AB25" s="2">
        <v>2.4735421464692338</v>
      </c>
      <c r="AC25" s="2">
        <v>1.2489220058692447</v>
      </c>
      <c r="AD25" s="2">
        <v>0.55404742496924286</v>
      </c>
      <c r="AE25" s="2">
        <v>7.6683764169240554E-2</v>
      </c>
      <c r="AF25" s="2">
        <v>0.10972375916922747</v>
      </c>
      <c r="AG25" s="2">
        <v>-0.31761633993075511</v>
      </c>
      <c r="AH25" s="2">
        <v>-1.3699783146307574</v>
      </c>
      <c r="AI25" s="2">
        <v>-2.2407406892407531</v>
      </c>
      <c r="AJ25" s="2">
        <v>-1.0063510335307699</v>
      </c>
      <c r="AK25" s="2">
        <v>1.3061153370692451</v>
      </c>
      <c r="AL25" s="2">
        <v>-0.22854296843077238</v>
      </c>
      <c r="AM25" s="2">
        <v>0.54970240346922294</v>
      </c>
      <c r="AN25" s="2">
        <v>1.4629862816792296</v>
      </c>
      <c r="AO25" s="2">
        <v>1.3126903932192404</v>
      </c>
      <c r="AP25" s="2">
        <v>1.4165573207592337</v>
      </c>
      <c r="AQ25" s="2">
        <v>0.48058693018923609</v>
      </c>
      <c r="AR25" s="2">
        <v>0.43658393346923852</v>
      </c>
      <c r="AS25" s="2">
        <v>0.55829599056923407</v>
      </c>
      <c r="AT25" s="2">
        <v>-0.26735246563077253</v>
      </c>
      <c r="AU25" s="2">
        <v>-0.96840572933077751</v>
      </c>
    </row>
    <row r="26" spans="1:47" x14ac:dyDescent="0.25">
      <c r="A26">
        <v>1998.375</v>
      </c>
      <c r="B26">
        <v>5</v>
      </c>
      <c r="C26" s="2">
        <v>0.36530161782924503</v>
      </c>
      <c r="G26" s="2">
        <v>0.36530161782924503</v>
      </c>
      <c r="H26" s="2">
        <v>-0.67479155132076152</v>
      </c>
      <c r="I26" s="2">
        <v>-2.787153976350762</v>
      </c>
      <c r="J26" s="2">
        <v>-4.7932476183307555</v>
      </c>
      <c r="K26" s="2">
        <v>-5.1007095236207638</v>
      </c>
      <c r="L26" s="2">
        <v>-3.1512866676807603</v>
      </c>
      <c r="M26" s="2">
        <v>-3.1398037807207642</v>
      </c>
      <c r="N26" s="2">
        <v>-2.6304183801607746</v>
      </c>
      <c r="O26" s="2">
        <v>-2.6443173447007617</v>
      </c>
      <c r="P26" s="2">
        <v>-2.0635819996307614</v>
      </c>
      <c r="Q26" s="2">
        <v>-1.616506618360757</v>
      </c>
      <c r="R26" s="2">
        <v>-2.2607291906107592</v>
      </c>
      <c r="S26" s="2">
        <v>-1.0207669603507683</v>
      </c>
      <c r="T26" s="2">
        <v>-9.7373376630768144E-2</v>
      </c>
      <c r="U26" s="2">
        <v>1.4184623768092359</v>
      </c>
      <c r="V26" s="2">
        <v>-0.48558845493075964</v>
      </c>
      <c r="W26" s="2">
        <v>-1.4328003235307725</v>
      </c>
      <c r="X26" s="2">
        <v>0.25270418406924511</v>
      </c>
      <c r="Y26" s="2">
        <v>0.81910462036922738</v>
      </c>
      <c r="Z26" s="2">
        <v>1.2670931882692424</v>
      </c>
      <c r="AA26" s="2">
        <v>1.252030043689234</v>
      </c>
      <c r="AB26" s="2">
        <v>2.7404304538592403</v>
      </c>
      <c r="AC26" s="2">
        <v>2.3489521429392384</v>
      </c>
      <c r="AD26" s="2">
        <v>1.766043151369225</v>
      </c>
      <c r="AE26" s="2">
        <v>0.93481068946924495</v>
      </c>
      <c r="AF26" s="2">
        <v>-9.6817897150762722E-2</v>
      </c>
      <c r="AG26" s="2">
        <v>0.34425614486924488</v>
      </c>
      <c r="AH26" s="2">
        <v>5.2294937169236277E-2</v>
      </c>
      <c r="AI26" s="2">
        <v>0.12928496692922442</v>
      </c>
      <c r="AJ26" s="2">
        <v>-1.3773610517907746</v>
      </c>
      <c r="AK26" s="2">
        <v>1.5170529866692426</v>
      </c>
      <c r="AL26" s="2">
        <v>1.4887714762392252</v>
      </c>
      <c r="AM26" s="2">
        <v>0.48882257341924473</v>
      </c>
      <c r="AN26" s="2">
        <v>2.4735421464692338</v>
      </c>
      <c r="AO26" s="2">
        <v>1.2489220058692447</v>
      </c>
      <c r="AP26" s="2">
        <v>0.55404742496924286</v>
      </c>
      <c r="AQ26" s="2">
        <v>7.6683764169240554E-2</v>
      </c>
      <c r="AR26" s="2">
        <v>0.10972375916922747</v>
      </c>
      <c r="AS26" s="2">
        <v>-0.31761633993075511</v>
      </c>
      <c r="AT26" s="2">
        <v>-1.3699783146307574</v>
      </c>
      <c r="AU26" s="2">
        <v>-2.2407406892407531</v>
      </c>
    </row>
    <row r="27" spans="1:47" x14ac:dyDescent="0.25">
      <c r="A27">
        <v>1999.375</v>
      </c>
      <c r="B27">
        <v>5</v>
      </c>
      <c r="C27" s="2">
        <v>4.2896200438692365</v>
      </c>
      <c r="D27">
        <v>13.165231151980741</v>
      </c>
      <c r="G27" s="2">
        <v>4.2896200438692365</v>
      </c>
      <c r="H27" s="2">
        <v>4.2750099174692346</v>
      </c>
      <c r="I27" s="2">
        <v>2.720610813269225</v>
      </c>
      <c r="J27" s="2">
        <v>2.0505162265692274</v>
      </c>
      <c r="K27" s="2">
        <v>2.0362881506692445</v>
      </c>
      <c r="L27" s="2">
        <v>3.053984121499234</v>
      </c>
      <c r="M27" s="2">
        <v>2.044175869139242</v>
      </c>
      <c r="N27" s="2">
        <v>3.7128887155072277</v>
      </c>
      <c r="O27" s="2">
        <v>3.4363206710852405</v>
      </c>
      <c r="P27" s="2">
        <v>4.4289432049292321</v>
      </c>
      <c r="Q27" s="2">
        <v>3.8889257109492208</v>
      </c>
      <c r="R27" s="2">
        <v>2.0395898820592362</v>
      </c>
      <c r="S27" s="2">
        <v>0.36530161782924503</v>
      </c>
      <c r="T27" s="2">
        <v>-0.67479155132076152</v>
      </c>
      <c r="U27" s="2">
        <v>-2.787153976350762</v>
      </c>
      <c r="V27" s="2">
        <v>-4.7932476183307555</v>
      </c>
      <c r="W27" s="2">
        <v>-5.1007095236207638</v>
      </c>
      <c r="X27" s="2">
        <v>-3.1512866676807603</v>
      </c>
      <c r="Y27" s="2">
        <v>-3.1398037807207642</v>
      </c>
      <c r="Z27" s="2">
        <v>-2.6304183801607746</v>
      </c>
      <c r="AA27" s="2">
        <v>-2.6443173447007617</v>
      </c>
      <c r="AB27" s="2">
        <v>-2.0635819996307614</v>
      </c>
      <c r="AC27" s="2">
        <v>-1.616506618360757</v>
      </c>
      <c r="AD27" s="2">
        <v>-2.2607291906107592</v>
      </c>
      <c r="AE27" s="2">
        <v>-1.0207669603507683</v>
      </c>
      <c r="AF27" s="2">
        <v>-9.7373376630768144E-2</v>
      </c>
      <c r="AG27" s="2">
        <v>1.4184623768092359</v>
      </c>
      <c r="AH27" s="2">
        <v>-0.48558845493075964</v>
      </c>
      <c r="AI27" s="2">
        <v>-1.4328003235307725</v>
      </c>
      <c r="AJ27" s="2">
        <v>0.25270418406924511</v>
      </c>
      <c r="AK27" s="2">
        <v>0.81910462036922738</v>
      </c>
      <c r="AL27" s="2">
        <v>1.2670931882692424</v>
      </c>
      <c r="AM27" s="2">
        <v>1.252030043689234</v>
      </c>
      <c r="AN27" s="2">
        <v>2.7404304538592403</v>
      </c>
      <c r="AO27" s="2">
        <v>2.3489521429392384</v>
      </c>
      <c r="AP27" s="2">
        <v>1.766043151369225</v>
      </c>
      <c r="AQ27" s="2">
        <v>0.93481068946924495</v>
      </c>
      <c r="AR27" s="2">
        <v>-9.6817897150762722E-2</v>
      </c>
      <c r="AS27" s="2">
        <v>0.34425614486924488</v>
      </c>
      <c r="AT27" s="2">
        <v>5.2294937169236277E-2</v>
      </c>
      <c r="AU27" s="2">
        <v>0.12928496692922442</v>
      </c>
    </row>
    <row r="28" spans="1:47" x14ac:dyDescent="0.25">
      <c r="A28">
        <v>2000.375</v>
      </c>
      <c r="B28">
        <v>5</v>
      </c>
      <c r="C28" s="2">
        <v>3.5373226747692317</v>
      </c>
      <c r="D28">
        <v>14.364807496133853</v>
      </c>
      <c r="G28" s="2">
        <v>3.5373226747692317</v>
      </c>
      <c r="H28" s="2">
        <v>3.0903652242692421</v>
      </c>
      <c r="I28" s="2">
        <v>1.4600406446692253</v>
      </c>
      <c r="J28" s="2">
        <v>0.9794701684692293</v>
      </c>
      <c r="K28" s="2">
        <v>4.1817926795692255</v>
      </c>
      <c r="L28" s="2">
        <v>3.394136948569225</v>
      </c>
      <c r="M28" s="2">
        <v>3.509488163569245</v>
      </c>
      <c r="N28" s="2">
        <v>4.1367831363692362</v>
      </c>
      <c r="O28" s="2">
        <v>3.8332401099692253</v>
      </c>
      <c r="P28" s="2">
        <v>3.4883985685692318</v>
      </c>
      <c r="Q28" s="2">
        <v>4.7052333398692276</v>
      </c>
      <c r="R28" s="2">
        <v>4.0284021538692274</v>
      </c>
      <c r="S28" s="2">
        <v>4.2896200438692365</v>
      </c>
      <c r="T28" s="2">
        <v>4.2750099174692346</v>
      </c>
      <c r="U28" s="2">
        <v>2.720610813269225</v>
      </c>
      <c r="V28" s="2">
        <v>2.0505162265692274</v>
      </c>
      <c r="W28" s="2">
        <v>2.0362881506692445</v>
      </c>
      <c r="X28" s="2">
        <v>3.053984121499234</v>
      </c>
      <c r="Y28" s="2">
        <v>2.044175869139242</v>
      </c>
      <c r="Z28" s="2">
        <v>3.7128887155072277</v>
      </c>
      <c r="AA28" s="2">
        <v>3.4363206710852405</v>
      </c>
      <c r="AB28" s="2">
        <v>4.4289432049292321</v>
      </c>
      <c r="AC28" s="2">
        <v>3.8889257109492208</v>
      </c>
      <c r="AD28" s="2">
        <v>2.0395898820592362</v>
      </c>
      <c r="AE28" s="2">
        <v>0.36530161782924503</v>
      </c>
      <c r="AF28" s="2">
        <v>-0.67479155132076152</v>
      </c>
      <c r="AG28" s="2">
        <v>-2.787153976350762</v>
      </c>
      <c r="AH28" s="2">
        <v>-4.7932476183307555</v>
      </c>
      <c r="AI28" s="2">
        <v>-5.1007095236207638</v>
      </c>
      <c r="AJ28" s="2">
        <v>-3.1512866676807603</v>
      </c>
      <c r="AK28" s="2">
        <v>-3.1398037807207642</v>
      </c>
      <c r="AL28" s="2">
        <v>-2.6304183801607746</v>
      </c>
      <c r="AM28" s="2">
        <v>-2.6443173447007617</v>
      </c>
      <c r="AN28" s="2">
        <v>-2.0635819996307614</v>
      </c>
      <c r="AO28" s="2">
        <v>-1.616506618360757</v>
      </c>
      <c r="AP28" s="2">
        <v>-2.2607291906107592</v>
      </c>
      <c r="AQ28" s="2">
        <v>-1.0207669603507683</v>
      </c>
      <c r="AR28" s="2">
        <v>-9.7373376630768144E-2</v>
      </c>
      <c r="AS28" s="2">
        <v>1.4184623768092359</v>
      </c>
      <c r="AT28" s="2">
        <v>-0.48558845493075964</v>
      </c>
      <c r="AU28" s="2">
        <v>-1.4328003235307725</v>
      </c>
    </row>
    <row r="29" spans="1:47" x14ac:dyDescent="0.25">
      <c r="A29">
        <v>2001.375</v>
      </c>
      <c r="B29">
        <v>5</v>
      </c>
      <c r="C29" s="2">
        <v>2.8748315578692294</v>
      </c>
      <c r="D29">
        <v>13.865094028579398</v>
      </c>
      <c r="G29" s="2">
        <v>2.8748315578692294</v>
      </c>
      <c r="H29" s="2">
        <v>3.2092950798692228</v>
      </c>
      <c r="I29" s="2">
        <v>1.7469426557692425</v>
      </c>
      <c r="J29" s="2">
        <v>1.4616929183692422</v>
      </c>
      <c r="K29" s="2">
        <v>-0.38835567963076423</v>
      </c>
      <c r="L29" s="2">
        <v>-0.22668680423076398</v>
      </c>
      <c r="M29" s="2">
        <v>1.6595333543692334</v>
      </c>
      <c r="N29" s="2">
        <v>2.6644051674692379</v>
      </c>
      <c r="O29" s="2">
        <v>2.5123353872692271</v>
      </c>
      <c r="P29" s="2">
        <v>3.4102340611692208</v>
      </c>
      <c r="Q29" s="2">
        <v>3.4716817257692343</v>
      </c>
      <c r="R29" s="2">
        <v>3.2955469341692334</v>
      </c>
      <c r="S29" s="2">
        <v>3.5373226747692317</v>
      </c>
      <c r="T29" s="2">
        <v>3.0903652242692421</v>
      </c>
      <c r="U29" s="2">
        <v>1.4600406446692253</v>
      </c>
      <c r="V29" s="2">
        <v>0.9794701684692293</v>
      </c>
      <c r="W29" s="2">
        <v>4.1817926795692255</v>
      </c>
      <c r="X29" s="2">
        <v>3.394136948569225</v>
      </c>
      <c r="Y29" s="2">
        <v>3.509488163569245</v>
      </c>
      <c r="Z29" s="2">
        <v>4.1367831363692362</v>
      </c>
      <c r="AA29" s="2">
        <v>3.8332401099692253</v>
      </c>
      <c r="AB29" s="2">
        <v>3.4883985685692318</v>
      </c>
      <c r="AC29" s="2">
        <v>4.7052333398692276</v>
      </c>
      <c r="AD29" s="2">
        <v>4.0284021538692274</v>
      </c>
      <c r="AE29" s="2">
        <v>4.2896200438692365</v>
      </c>
      <c r="AF29" s="2">
        <v>4.2750099174692346</v>
      </c>
      <c r="AG29" s="2">
        <v>2.720610813269225</v>
      </c>
      <c r="AH29" s="2">
        <v>2.0505162265692274</v>
      </c>
      <c r="AI29" s="2">
        <v>2.0362881506692445</v>
      </c>
      <c r="AJ29" s="2">
        <v>3.053984121499234</v>
      </c>
      <c r="AK29" s="2">
        <v>2.044175869139242</v>
      </c>
      <c r="AL29" s="2">
        <v>3.7128887155072277</v>
      </c>
      <c r="AM29" s="2">
        <v>3.4363206710852405</v>
      </c>
      <c r="AN29" s="2">
        <v>4.4289432049292321</v>
      </c>
      <c r="AO29" s="2">
        <v>3.8889257109492208</v>
      </c>
      <c r="AP29" s="2">
        <v>2.0395898820592362</v>
      </c>
      <c r="AQ29" s="2">
        <v>0.36530161782924503</v>
      </c>
      <c r="AR29" s="2">
        <v>-0.67479155132076152</v>
      </c>
      <c r="AS29" s="2">
        <v>-2.787153976350762</v>
      </c>
      <c r="AT29" s="2">
        <v>-4.7932476183307555</v>
      </c>
      <c r="AU29" s="2">
        <v>-5.1007095236207638</v>
      </c>
    </row>
    <row r="30" spans="1:47" x14ac:dyDescent="0.25">
      <c r="A30">
        <v>2002.375</v>
      </c>
      <c r="B30">
        <v>5</v>
      </c>
      <c r="C30" s="2">
        <v>1.9076068417692387</v>
      </c>
      <c r="D30">
        <v>13.381365383995966</v>
      </c>
      <c r="G30" s="2">
        <v>1.9076068417692387</v>
      </c>
      <c r="H30" s="2">
        <v>3.0384176178892228</v>
      </c>
      <c r="I30" s="2">
        <v>2.3836384248692406</v>
      </c>
      <c r="J30" s="2">
        <v>1.7291000883692318</v>
      </c>
      <c r="K30" s="2">
        <v>0.57640479186923832</v>
      </c>
      <c r="L30" s="2">
        <v>0.41005423246923839</v>
      </c>
      <c r="M30" s="2">
        <v>0.95477888506922737</v>
      </c>
      <c r="N30" s="2">
        <v>2.6059359112692251</v>
      </c>
      <c r="O30" s="2">
        <v>2.3933862785692384</v>
      </c>
      <c r="P30" s="2">
        <v>2.724954240169227</v>
      </c>
      <c r="Q30" s="2">
        <v>3.197693081169227</v>
      </c>
      <c r="R30" s="2">
        <v>3.2077139517692337</v>
      </c>
      <c r="S30" s="2">
        <v>2.8748315578692294</v>
      </c>
      <c r="T30" s="2">
        <v>3.2092950798692228</v>
      </c>
      <c r="U30" s="2">
        <v>1.7469426557692425</v>
      </c>
      <c r="V30" s="2">
        <v>1.4616929183692422</v>
      </c>
      <c r="W30" s="2">
        <v>-0.38835567963076423</v>
      </c>
      <c r="X30" s="2">
        <v>-0.22668680423076398</v>
      </c>
      <c r="Y30" s="2">
        <v>1.6595333543692334</v>
      </c>
      <c r="Z30" s="2">
        <v>2.6644051674692379</v>
      </c>
      <c r="AA30" s="2">
        <v>2.5123353872692271</v>
      </c>
      <c r="AB30" s="2">
        <v>3.4102340611692208</v>
      </c>
      <c r="AC30" s="2">
        <v>3.4716817257692343</v>
      </c>
      <c r="AD30" s="2">
        <v>3.2955469341692334</v>
      </c>
      <c r="AE30" s="2">
        <v>3.5373226747692317</v>
      </c>
      <c r="AF30" s="2">
        <v>3.0903652242692421</v>
      </c>
      <c r="AG30" s="2">
        <v>1.4600406446692253</v>
      </c>
      <c r="AH30" s="2">
        <v>0.9794701684692293</v>
      </c>
      <c r="AI30" s="2">
        <v>4.1817926795692255</v>
      </c>
      <c r="AJ30" s="2">
        <v>3.394136948569225</v>
      </c>
      <c r="AK30" s="2">
        <v>3.509488163569245</v>
      </c>
      <c r="AL30" s="2">
        <v>4.1367831363692362</v>
      </c>
      <c r="AM30" s="2">
        <v>3.8332401099692253</v>
      </c>
      <c r="AN30" s="2">
        <v>3.4883985685692318</v>
      </c>
      <c r="AO30" s="2">
        <v>4.7052333398692276</v>
      </c>
      <c r="AP30" s="2">
        <v>4.0284021538692274</v>
      </c>
      <c r="AQ30" s="2">
        <v>4.2896200438692365</v>
      </c>
      <c r="AR30" s="2">
        <v>4.2750099174692346</v>
      </c>
      <c r="AS30" s="2">
        <v>2.720610813269225</v>
      </c>
      <c r="AT30" s="2">
        <v>2.0505162265692274</v>
      </c>
      <c r="AU30" s="2">
        <v>2.0362881506692445</v>
      </c>
    </row>
    <row r="31" spans="1:47" x14ac:dyDescent="0.25">
      <c r="A31">
        <v>2003.375</v>
      </c>
      <c r="B31">
        <v>5</v>
      </c>
      <c r="C31" s="2">
        <v>2.2880968023692252</v>
      </c>
      <c r="D31">
        <v>12.618881744751254</v>
      </c>
      <c r="G31" s="2">
        <v>2.2880968023692252</v>
      </c>
      <c r="H31" s="2">
        <v>1.3477316226692384</v>
      </c>
      <c r="I31" s="2">
        <v>-0.21509650943075509</v>
      </c>
      <c r="J31" s="2">
        <v>-1.3804676941707616</v>
      </c>
      <c r="K31" s="2">
        <v>-3.3722278468307572</v>
      </c>
      <c r="L31" s="2">
        <v>-2.8223534988307661</v>
      </c>
      <c r="M31" s="2">
        <v>-2.5511742228307752</v>
      </c>
      <c r="N31" s="2">
        <v>-0.85183288539076163</v>
      </c>
      <c r="O31" s="2">
        <v>0.39340332639922526</v>
      </c>
      <c r="P31" s="2">
        <v>0.59083584561924296</v>
      </c>
      <c r="Q31" s="2">
        <v>1.6826666062692384</v>
      </c>
      <c r="R31" s="2">
        <v>1.4205022298692254</v>
      </c>
      <c r="S31" s="2">
        <v>1.9076068417692387</v>
      </c>
      <c r="T31" s="2">
        <v>3.0384176178892228</v>
      </c>
      <c r="U31" s="2">
        <v>2.3836384248692406</v>
      </c>
      <c r="V31" s="2">
        <v>1.7291000883692318</v>
      </c>
      <c r="W31" s="2">
        <v>0.57640479186923832</v>
      </c>
      <c r="X31" s="2">
        <v>0.41005423246923839</v>
      </c>
      <c r="Y31" s="2">
        <v>0.95477888506922737</v>
      </c>
      <c r="Z31" s="2">
        <v>2.6059359112692251</v>
      </c>
      <c r="AA31" s="2">
        <v>2.3933862785692384</v>
      </c>
      <c r="AB31" s="2">
        <v>2.724954240169227</v>
      </c>
      <c r="AC31" s="2">
        <v>3.197693081169227</v>
      </c>
      <c r="AD31" s="2">
        <v>3.2077139517692337</v>
      </c>
      <c r="AE31" s="2">
        <v>2.8748315578692294</v>
      </c>
      <c r="AF31" s="2">
        <v>3.2092950798692228</v>
      </c>
      <c r="AG31" s="2">
        <v>1.7469426557692425</v>
      </c>
      <c r="AH31" s="2">
        <v>1.4616929183692422</v>
      </c>
      <c r="AI31" s="2">
        <v>-0.38835567963076423</v>
      </c>
      <c r="AJ31" s="2">
        <v>-0.22668680423076398</v>
      </c>
      <c r="AK31" s="2">
        <v>1.6595333543692334</v>
      </c>
      <c r="AL31" s="2">
        <v>2.6644051674692379</v>
      </c>
      <c r="AM31" s="2">
        <v>2.5123353872692271</v>
      </c>
      <c r="AN31" s="2">
        <v>3.4102340611692208</v>
      </c>
      <c r="AO31" s="2">
        <v>3.4716817257692343</v>
      </c>
      <c r="AP31" s="2">
        <v>3.2955469341692334</v>
      </c>
      <c r="AQ31" s="2">
        <v>3.5373226747692317</v>
      </c>
      <c r="AR31" s="2">
        <v>3.0903652242692421</v>
      </c>
      <c r="AS31" s="2">
        <v>1.4600406446692253</v>
      </c>
      <c r="AT31" s="2">
        <v>0.9794701684692293</v>
      </c>
      <c r="AU31" s="2">
        <v>4.1817926795692255</v>
      </c>
    </row>
    <row r="32" spans="1:47" x14ac:dyDescent="0.25">
      <c r="A32">
        <v>2004.375</v>
      </c>
      <c r="B32">
        <v>5</v>
      </c>
      <c r="C32" s="2">
        <v>1.3046613783592229</v>
      </c>
      <c r="D32">
        <v>13.718844651656854</v>
      </c>
      <c r="G32" s="2">
        <v>1.3046613783592229</v>
      </c>
      <c r="H32" s="2">
        <v>0.59094081723922087</v>
      </c>
      <c r="I32" s="2">
        <v>1.4408482313592275</v>
      </c>
      <c r="J32" s="2">
        <v>-1.6729482482407596</v>
      </c>
      <c r="K32" s="2">
        <v>-1.095964693210753</v>
      </c>
      <c r="L32" s="2">
        <v>-1.0499957530007684</v>
      </c>
      <c r="M32" s="2">
        <v>1.8076010837492387</v>
      </c>
      <c r="N32" s="2">
        <v>5.9040367769244984E-2</v>
      </c>
      <c r="O32" s="2">
        <v>1.020079867869234</v>
      </c>
      <c r="P32" s="2">
        <v>1.3330668343492251</v>
      </c>
      <c r="Q32" s="2">
        <v>2.0764134763692423</v>
      </c>
      <c r="R32" s="2">
        <v>1.538133375409245</v>
      </c>
      <c r="S32" s="2">
        <v>2.2880968023692252</v>
      </c>
      <c r="T32" s="2">
        <v>1.3477316226692384</v>
      </c>
      <c r="U32" s="2">
        <v>-0.21509650943075509</v>
      </c>
      <c r="V32" s="2">
        <v>-1.3804676941707616</v>
      </c>
      <c r="W32" s="2">
        <v>-3.3722278468307572</v>
      </c>
      <c r="X32" s="2">
        <v>-2.8223534988307661</v>
      </c>
      <c r="Y32" s="2">
        <v>-2.5511742228307752</v>
      </c>
      <c r="Z32" s="2">
        <v>-0.85183288539076163</v>
      </c>
      <c r="AA32" s="2">
        <v>0.39340332639922526</v>
      </c>
      <c r="AB32" s="2">
        <v>0.59083584561924296</v>
      </c>
      <c r="AC32" s="2">
        <v>1.6826666062692384</v>
      </c>
      <c r="AD32" s="2">
        <v>1.4205022298692254</v>
      </c>
      <c r="AE32" s="2">
        <v>1.9076068417692387</v>
      </c>
      <c r="AF32" s="2">
        <v>3.0384176178892228</v>
      </c>
      <c r="AG32" s="2">
        <v>2.3836384248692406</v>
      </c>
      <c r="AH32" s="2">
        <v>1.7291000883692318</v>
      </c>
      <c r="AI32" s="2">
        <v>0.57640479186923832</v>
      </c>
      <c r="AJ32" s="2">
        <v>0.41005423246923839</v>
      </c>
      <c r="AK32" s="2">
        <v>0.95477888506922737</v>
      </c>
      <c r="AL32" s="2">
        <v>2.6059359112692251</v>
      </c>
      <c r="AM32" s="2">
        <v>2.3933862785692384</v>
      </c>
      <c r="AN32" s="2">
        <v>2.724954240169227</v>
      </c>
      <c r="AO32" s="2">
        <v>3.197693081169227</v>
      </c>
      <c r="AP32" s="2">
        <v>3.2077139517692337</v>
      </c>
      <c r="AQ32" s="2">
        <v>2.8748315578692294</v>
      </c>
      <c r="AR32" s="2">
        <v>3.2092950798692228</v>
      </c>
      <c r="AS32" s="2">
        <v>1.7469426557692425</v>
      </c>
      <c r="AT32" s="2">
        <v>1.4616929183692422</v>
      </c>
      <c r="AU32" s="2">
        <v>-0.38835567963076423</v>
      </c>
    </row>
    <row r="33" spans="1:47" x14ac:dyDescent="0.25">
      <c r="A33">
        <v>2005.375</v>
      </c>
      <c r="B33">
        <v>5</v>
      </c>
      <c r="C33" s="2">
        <v>-0.5079246517307725</v>
      </c>
      <c r="D33">
        <v>14.666757922860278</v>
      </c>
      <c r="G33" s="2">
        <v>-0.5079246517307725</v>
      </c>
      <c r="H33" s="2">
        <v>0.29846351686923395</v>
      </c>
      <c r="I33" s="2">
        <v>-1.6761749096307603</v>
      </c>
      <c r="J33" s="2">
        <v>-1.3825177939307545</v>
      </c>
      <c r="K33" s="2">
        <v>-1.774578943930764</v>
      </c>
      <c r="L33" s="2">
        <v>-0.34530564288076371</v>
      </c>
      <c r="M33" s="2">
        <v>0.32788333794924063</v>
      </c>
      <c r="N33" s="2">
        <v>0.44187939644322305</v>
      </c>
      <c r="O33" s="2">
        <v>0.97939350272924519</v>
      </c>
      <c r="P33" s="2">
        <v>0.19707756144923189</v>
      </c>
      <c r="Q33" s="2">
        <v>0.82747681711923837</v>
      </c>
      <c r="R33" s="2">
        <v>1.9188675702592293</v>
      </c>
      <c r="S33" s="2">
        <v>1.3046613783592229</v>
      </c>
      <c r="T33" s="2">
        <v>0.59094081723922087</v>
      </c>
      <c r="U33" s="2">
        <v>1.4408482313592275</v>
      </c>
      <c r="V33" s="2">
        <v>-1.6729482482407596</v>
      </c>
      <c r="W33" s="2">
        <v>-1.095964693210753</v>
      </c>
      <c r="X33" s="2">
        <v>-1.0499957530007684</v>
      </c>
      <c r="Y33" s="2">
        <v>1.8076010837492387</v>
      </c>
      <c r="Z33" s="2">
        <v>5.9040367769244984E-2</v>
      </c>
      <c r="AA33" s="2">
        <v>1.020079867869234</v>
      </c>
      <c r="AB33" s="2">
        <v>1.3330668343492251</v>
      </c>
      <c r="AC33" s="2">
        <v>2.0764134763692423</v>
      </c>
      <c r="AD33" s="2">
        <v>1.538133375409245</v>
      </c>
      <c r="AE33" s="2">
        <v>2.2880968023692252</v>
      </c>
      <c r="AF33" s="2">
        <v>1.3477316226692384</v>
      </c>
      <c r="AG33" s="2">
        <v>-0.21509650943075509</v>
      </c>
      <c r="AH33" s="2">
        <v>-1.3804676941707616</v>
      </c>
      <c r="AI33" s="2">
        <v>-3.3722278468307572</v>
      </c>
      <c r="AJ33" s="2">
        <v>-2.8223534988307661</v>
      </c>
      <c r="AK33" s="2">
        <v>-2.5511742228307752</v>
      </c>
      <c r="AL33" s="2">
        <v>-0.85183288539076163</v>
      </c>
      <c r="AM33" s="2">
        <v>0.39340332639922526</v>
      </c>
      <c r="AN33" s="2">
        <v>0.59083584561924296</v>
      </c>
      <c r="AO33" s="2">
        <v>1.6826666062692384</v>
      </c>
      <c r="AP33" s="2">
        <v>1.4205022298692254</v>
      </c>
      <c r="AQ33" s="2">
        <v>1.9076068417692387</v>
      </c>
      <c r="AR33" s="2">
        <v>3.0384176178892228</v>
      </c>
      <c r="AS33" s="2">
        <v>2.3836384248692406</v>
      </c>
      <c r="AT33" s="2">
        <v>1.7291000883692318</v>
      </c>
      <c r="AU33" s="2">
        <v>0.57640479186923832</v>
      </c>
    </row>
    <row r="34" spans="1:47" x14ac:dyDescent="0.25">
      <c r="A34">
        <v>2006.375</v>
      </c>
      <c r="B34">
        <v>5</v>
      </c>
      <c r="C34" s="2">
        <v>2.1628221249392339</v>
      </c>
      <c r="D34">
        <v>14.178702680805586</v>
      </c>
      <c r="G34" s="2">
        <v>2.1628221249392339</v>
      </c>
      <c r="H34" s="2">
        <v>2.2926456901192314</v>
      </c>
      <c r="I34" s="2">
        <v>1.9418874460192272</v>
      </c>
      <c r="J34" s="2">
        <v>1.5328446123392316</v>
      </c>
      <c r="K34" s="2">
        <v>0.24639725443924221</v>
      </c>
      <c r="L34" s="2">
        <v>-1.7059552504307725</v>
      </c>
      <c r="M34" s="2">
        <v>2.3657050289692316</v>
      </c>
      <c r="N34" s="2">
        <v>2.1485403461692405</v>
      </c>
      <c r="O34" s="2">
        <v>1.8314558438692428</v>
      </c>
      <c r="P34" s="2">
        <v>1.3496924048692274</v>
      </c>
      <c r="Q34" s="2">
        <v>1.4338550498692317</v>
      </c>
      <c r="R34" s="2">
        <v>0.3387690722692363</v>
      </c>
      <c r="S34" s="2">
        <v>-0.5079246517307725</v>
      </c>
      <c r="T34" s="2">
        <v>0.29846351686923395</v>
      </c>
      <c r="U34" s="2">
        <v>-1.6761749096307603</v>
      </c>
      <c r="V34" s="2">
        <v>-1.3825177939307545</v>
      </c>
      <c r="W34" s="2">
        <v>-1.774578943930764</v>
      </c>
      <c r="X34" s="2">
        <v>-0.34530564288076371</v>
      </c>
      <c r="Y34" s="2">
        <v>0.32788333794924063</v>
      </c>
      <c r="Z34" s="2">
        <v>0.44187939644322305</v>
      </c>
      <c r="AA34" s="2">
        <v>0.97939350272924519</v>
      </c>
      <c r="AB34" s="2">
        <v>0.19707756144923189</v>
      </c>
      <c r="AC34" s="2">
        <v>0.82747681711923837</v>
      </c>
      <c r="AD34" s="2">
        <v>1.9188675702592293</v>
      </c>
      <c r="AE34" s="2">
        <v>1.3046613783592229</v>
      </c>
      <c r="AF34" s="2">
        <v>0.59094081723922087</v>
      </c>
      <c r="AG34" s="2">
        <v>1.4408482313592275</v>
      </c>
      <c r="AH34" s="2">
        <v>-1.6729482482407596</v>
      </c>
      <c r="AI34" s="2">
        <v>-1.095964693210753</v>
      </c>
      <c r="AJ34" s="2">
        <v>-1.0499957530007684</v>
      </c>
      <c r="AK34" s="2">
        <v>1.8076010837492387</v>
      </c>
      <c r="AL34" s="2">
        <v>5.9040367769244984E-2</v>
      </c>
      <c r="AM34" s="2">
        <v>1.020079867869234</v>
      </c>
      <c r="AN34" s="2">
        <v>1.3330668343492251</v>
      </c>
      <c r="AO34" s="2">
        <v>2.0764134763692423</v>
      </c>
      <c r="AP34" s="2">
        <v>1.538133375409245</v>
      </c>
      <c r="AQ34" s="2">
        <v>2.2880968023692252</v>
      </c>
      <c r="AR34" s="2">
        <v>1.3477316226692384</v>
      </c>
      <c r="AS34" s="2">
        <v>-0.21509650943075509</v>
      </c>
      <c r="AT34" s="2">
        <v>-1.3804676941707616</v>
      </c>
      <c r="AU34" s="2">
        <v>-3.3722278468307572</v>
      </c>
    </row>
    <row r="35" spans="1:47" x14ac:dyDescent="0.25">
      <c r="A35">
        <v>2007.375</v>
      </c>
      <c r="B35">
        <v>5</v>
      </c>
      <c r="C35" s="2">
        <v>2.2741382218892316</v>
      </c>
      <c r="D35">
        <v>14.589081689416194</v>
      </c>
      <c r="G35" s="2">
        <v>2.2741382218892316</v>
      </c>
      <c r="H35" s="2">
        <v>0.91576861426923528</v>
      </c>
      <c r="I35" s="2">
        <v>1.5584511780692361</v>
      </c>
      <c r="J35" s="2">
        <v>-0.38390259033377455</v>
      </c>
      <c r="K35" s="2">
        <v>-0.29827832770077151</v>
      </c>
      <c r="L35" s="2">
        <v>-1.3194225846907526</v>
      </c>
      <c r="M35" s="2">
        <v>0.34878441866923404</v>
      </c>
      <c r="N35" s="2">
        <v>0.133375123389223</v>
      </c>
      <c r="O35" s="2">
        <v>1.2713854909392337</v>
      </c>
      <c r="P35" s="2">
        <v>1.789928194669234</v>
      </c>
      <c r="Q35" s="2">
        <v>1.2275044462992428</v>
      </c>
      <c r="R35" s="2">
        <v>1.816965704619234</v>
      </c>
      <c r="S35" s="2">
        <v>2.1628221249392339</v>
      </c>
      <c r="T35" s="2">
        <v>2.2926456901192314</v>
      </c>
      <c r="U35" s="2">
        <v>1.9418874460192272</v>
      </c>
      <c r="V35" s="2">
        <v>1.5328446123392316</v>
      </c>
      <c r="W35" s="2">
        <v>0.24639725443924221</v>
      </c>
      <c r="X35" s="2">
        <v>-1.7059552504307725</v>
      </c>
      <c r="Y35" s="2">
        <v>2.3657050289692316</v>
      </c>
      <c r="Z35" s="2">
        <v>2.1485403461692405</v>
      </c>
      <c r="AA35" s="2">
        <v>1.8314558438692428</v>
      </c>
      <c r="AB35" s="2">
        <v>1.3496924048692274</v>
      </c>
      <c r="AC35" s="2">
        <v>1.4338550498692317</v>
      </c>
      <c r="AD35" s="2">
        <v>0.3387690722692363</v>
      </c>
      <c r="AE35" s="2">
        <v>-0.5079246517307725</v>
      </c>
      <c r="AF35" s="2">
        <v>0.29846351686923395</v>
      </c>
      <c r="AG35" s="2">
        <v>-1.6761749096307603</v>
      </c>
      <c r="AH35" s="2">
        <v>-1.3825177939307545</v>
      </c>
      <c r="AI35" s="2">
        <v>-1.774578943930764</v>
      </c>
      <c r="AJ35" s="2">
        <v>-0.34530564288076371</v>
      </c>
      <c r="AK35" s="2">
        <v>0.32788333794924063</v>
      </c>
      <c r="AL35" s="2">
        <v>0.44187939644322305</v>
      </c>
      <c r="AM35" s="2">
        <v>0.97939350272924519</v>
      </c>
      <c r="AN35" s="2">
        <v>0.19707756144923189</v>
      </c>
      <c r="AO35" s="2">
        <v>0.82747681711923837</v>
      </c>
      <c r="AP35" s="2">
        <v>1.9188675702592293</v>
      </c>
      <c r="AQ35" s="2">
        <v>1.3046613783592229</v>
      </c>
      <c r="AR35" s="2">
        <v>0.59094081723922087</v>
      </c>
      <c r="AS35" s="2">
        <v>1.4408482313592275</v>
      </c>
      <c r="AT35" s="2">
        <v>-1.6729482482407596</v>
      </c>
      <c r="AU35" s="2">
        <v>-1.095964693210753</v>
      </c>
    </row>
    <row r="36" spans="1:47" x14ac:dyDescent="0.25">
      <c r="A36">
        <v>2008.375</v>
      </c>
      <c r="B36">
        <v>5</v>
      </c>
      <c r="C36" s="2">
        <v>3.1445083440692292</v>
      </c>
      <c r="D36">
        <v>14.242615364590851</v>
      </c>
      <c r="G36" s="2">
        <v>3.1445083440692292</v>
      </c>
      <c r="H36" s="2">
        <v>4.3037038856692229</v>
      </c>
      <c r="I36" s="2">
        <v>3.5141544352692451</v>
      </c>
      <c r="J36" s="2">
        <v>2.0171252992692406</v>
      </c>
      <c r="K36" s="2">
        <v>2.6252510639492432</v>
      </c>
      <c r="L36" s="2">
        <v>2.6049737380592211</v>
      </c>
      <c r="M36" s="2">
        <v>1.9780654593992426</v>
      </c>
      <c r="N36" s="2">
        <v>3.8121810804692426</v>
      </c>
      <c r="O36" s="2">
        <v>2.9581203447292252</v>
      </c>
      <c r="P36" s="2">
        <v>2.7815152350692447</v>
      </c>
      <c r="Q36" s="2">
        <v>2.0566604165692253</v>
      </c>
      <c r="R36" s="2">
        <v>2.5920905191692314</v>
      </c>
      <c r="S36" s="2">
        <v>2.2741382218892316</v>
      </c>
      <c r="T36" s="2">
        <v>0.91576861426923528</v>
      </c>
      <c r="U36" s="2">
        <v>1.5584511780692361</v>
      </c>
      <c r="V36" s="2">
        <v>-0.38390259033377455</v>
      </c>
      <c r="W36" s="2">
        <v>-0.29827832770077151</v>
      </c>
      <c r="X36" s="2">
        <v>-1.3194225846907526</v>
      </c>
      <c r="Y36" s="2">
        <v>0.34878441866923404</v>
      </c>
      <c r="Z36" s="2">
        <v>0.133375123389223</v>
      </c>
      <c r="AA36" s="2">
        <v>1.2713854909392337</v>
      </c>
      <c r="AB36" s="2">
        <v>1.789928194669234</v>
      </c>
      <c r="AC36" s="2">
        <v>1.2275044462992428</v>
      </c>
      <c r="AD36" s="2">
        <v>1.816965704619234</v>
      </c>
      <c r="AE36" s="2">
        <v>2.1628221249392339</v>
      </c>
      <c r="AF36" s="2">
        <v>2.2926456901192314</v>
      </c>
      <c r="AG36" s="2">
        <v>1.9418874460192272</v>
      </c>
      <c r="AH36" s="2">
        <v>1.5328446123392316</v>
      </c>
      <c r="AI36" s="2">
        <v>0.24639725443924221</v>
      </c>
      <c r="AJ36" s="2">
        <v>-1.7059552504307725</v>
      </c>
      <c r="AK36" s="2">
        <v>2.3657050289692316</v>
      </c>
      <c r="AL36" s="2">
        <v>2.1485403461692405</v>
      </c>
      <c r="AM36" s="2">
        <v>1.8314558438692428</v>
      </c>
      <c r="AN36" s="2">
        <v>1.3496924048692274</v>
      </c>
      <c r="AO36" s="2">
        <v>1.4338550498692317</v>
      </c>
      <c r="AP36" s="2">
        <v>0.3387690722692363</v>
      </c>
      <c r="AQ36" s="2">
        <v>-0.5079246517307725</v>
      </c>
      <c r="AR36" s="2">
        <v>0.29846351686923395</v>
      </c>
      <c r="AS36" s="2">
        <v>-1.6761749096307603</v>
      </c>
      <c r="AT36" s="2">
        <v>-1.3825177939307545</v>
      </c>
      <c r="AU36" s="2">
        <v>-1.774578943930764</v>
      </c>
    </row>
    <row r="37" spans="1:47" x14ac:dyDescent="0.25">
      <c r="A37">
        <v>2009.375</v>
      </c>
      <c r="B37">
        <v>5</v>
      </c>
      <c r="C37" s="2">
        <v>2.8559780762592273</v>
      </c>
      <c r="D37">
        <v>14.281815056337482</v>
      </c>
      <c r="G37" s="2">
        <v>2.8559780762592273</v>
      </c>
      <c r="H37" s="2">
        <v>3.3982535946892316</v>
      </c>
      <c r="I37" s="2">
        <v>3.7437798352422273</v>
      </c>
      <c r="J37" s="2">
        <v>3.1401515433092211</v>
      </c>
      <c r="K37" s="2">
        <v>2.3256610174192414</v>
      </c>
      <c r="L37" s="2">
        <v>3.0732084994992381</v>
      </c>
      <c r="M37" s="2">
        <v>2.4197133966692208</v>
      </c>
      <c r="N37" s="2">
        <v>3.7297149387692254</v>
      </c>
      <c r="O37" s="2">
        <v>3.1178040014692385</v>
      </c>
      <c r="P37" s="2">
        <v>3.3034292364692428</v>
      </c>
      <c r="Q37" s="2">
        <v>3.5154691291692206</v>
      </c>
      <c r="R37" s="2">
        <v>3.7396919383692429</v>
      </c>
      <c r="S37" s="2">
        <v>3.1445083440692292</v>
      </c>
      <c r="T37" s="2">
        <v>4.3037038856692229</v>
      </c>
      <c r="U37" s="2">
        <v>3.5141544352692451</v>
      </c>
      <c r="V37" s="2">
        <v>2.0171252992692406</v>
      </c>
      <c r="W37" s="2">
        <v>2.6252510639492432</v>
      </c>
      <c r="X37" s="2">
        <v>2.6049737380592211</v>
      </c>
      <c r="Y37" s="2">
        <v>1.9780654593992426</v>
      </c>
      <c r="Z37" s="2">
        <v>3.8121810804692426</v>
      </c>
      <c r="AA37" s="2">
        <v>2.9581203447292252</v>
      </c>
      <c r="AB37" s="2">
        <v>2.7815152350692447</v>
      </c>
      <c r="AC37" s="2">
        <v>2.0566604165692253</v>
      </c>
      <c r="AD37" s="2">
        <v>2.5920905191692314</v>
      </c>
      <c r="AE37" s="2">
        <v>2.2741382218892316</v>
      </c>
      <c r="AF37" s="2">
        <v>0.91576861426923528</v>
      </c>
      <c r="AG37" s="2">
        <v>1.5584511780692361</v>
      </c>
      <c r="AH37" s="2">
        <v>-0.38390259033377455</v>
      </c>
      <c r="AI37" s="2">
        <v>-0.29827832770077151</v>
      </c>
      <c r="AJ37" s="2">
        <v>-1.3194225846907526</v>
      </c>
      <c r="AK37" s="2">
        <v>0.34878441866923404</v>
      </c>
      <c r="AL37" s="2">
        <v>0.133375123389223</v>
      </c>
      <c r="AM37" s="2">
        <v>1.2713854909392337</v>
      </c>
      <c r="AN37" s="2">
        <v>1.789928194669234</v>
      </c>
      <c r="AO37" s="2">
        <v>1.2275044462992428</v>
      </c>
      <c r="AP37" s="2">
        <v>1.816965704619234</v>
      </c>
      <c r="AQ37" s="2">
        <v>2.1628221249392339</v>
      </c>
      <c r="AR37" s="2">
        <v>2.2926456901192314</v>
      </c>
      <c r="AS37" s="2">
        <v>1.9418874460192272</v>
      </c>
      <c r="AT37" s="2">
        <v>1.5328446123392316</v>
      </c>
      <c r="AU37" s="2">
        <v>0.24639725443924221</v>
      </c>
    </row>
    <row r="38" spans="1:47" x14ac:dyDescent="0.25">
      <c r="A38">
        <v>2010.375</v>
      </c>
      <c r="B38">
        <v>5</v>
      </c>
      <c r="C38" s="2">
        <v>2.1367981933692386</v>
      </c>
      <c r="D38">
        <v>14.654509933326345</v>
      </c>
      <c r="G38" s="2">
        <v>2.1367981933692386</v>
      </c>
      <c r="H38" s="2">
        <v>1.1052457697692384</v>
      </c>
      <c r="I38" s="2">
        <v>-0.48756181103076601</v>
      </c>
      <c r="J38" s="2">
        <v>-2.6477017098307662</v>
      </c>
      <c r="K38" s="2">
        <v>-3.3208245141307722</v>
      </c>
      <c r="L38" s="2">
        <v>-2.4654593805307572</v>
      </c>
      <c r="M38" s="2">
        <v>1.0901500019244892E-2</v>
      </c>
      <c r="N38" s="2">
        <v>-0.44134536233076377</v>
      </c>
      <c r="O38" s="2">
        <v>0.55891123916923846</v>
      </c>
      <c r="P38" s="2">
        <v>1.2312497751892382</v>
      </c>
      <c r="Q38" s="2">
        <v>1.1174872949192272</v>
      </c>
      <c r="R38" s="2">
        <v>1.0325521682292274</v>
      </c>
      <c r="S38" s="2">
        <v>2.8559780762592273</v>
      </c>
      <c r="T38" s="2">
        <v>3.3982535946892316</v>
      </c>
      <c r="U38" s="2">
        <v>3.7437798352422273</v>
      </c>
      <c r="V38" s="2">
        <v>3.1401515433092211</v>
      </c>
      <c r="W38" s="2">
        <v>2.3256610174192414</v>
      </c>
      <c r="X38" s="2">
        <v>3.0732084994992381</v>
      </c>
      <c r="Y38" s="2">
        <v>2.4197133966692208</v>
      </c>
      <c r="Z38" s="2">
        <v>3.7297149387692254</v>
      </c>
      <c r="AA38" s="2">
        <v>3.1178040014692385</v>
      </c>
      <c r="AB38" s="2">
        <v>3.3034292364692428</v>
      </c>
      <c r="AC38" s="2">
        <v>3.5154691291692206</v>
      </c>
      <c r="AD38" s="2">
        <v>3.7396919383692429</v>
      </c>
      <c r="AE38" s="2">
        <v>3.1445083440692292</v>
      </c>
      <c r="AF38" s="2">
        <v>4.3037038856692229</v>
      </c>
      <c r="AG38" s="2">
        <v>3.5141544352692451</v>
      </c>
      <c r="AH38" s="2">
        <v>2.0171252992692406</v>
      </c>
      <c r="AI38" s="2">
        <v>2.6252510639492432</v>
      </c>
      <c r="AJ38" s="2">
        <v>2.6049737380592211</v>
      </c>
      <c r="AK38" s="2">
        <v>1.9780654593992426</v>
      </c>
      <c r="AL38" s="2">
        <v>3.8121810804692426</v>
      </c>
      <c r="AM38" s="2">
        <v>2.9581203447292252</v>
      </c>
      <c r="AN38" s="2">
        <v>2.7815152350692447</v>
      </c>
      <c r="AO38" s="2">
        <v>2.0566604165692253</v>
      </c>
      <c r="AP38" s="2">
        <v>2.5920905191692314</v>
      </c>
      <c r="AQ38" s="2">
        <v>2.2741382218892316</v>
      </c>
      <c r="AR38" s="2">
        <v>0.91576861426923528</v>
      </c>
      <c r="AS38" s="2">
        <v>1.5584511780692361</v>
      </c>
      <c r="AT38" s="2">
        <v>-0.38390259033377455</v>
      </c>
      <c r="AU38" s="2">
        <v>-0.29827832770077151</v>
      </c>
    </row>
    <row r="39" spans="1:47" x14ac:dyDescent="0.25">
      <c r="A39">
        <v>2011.375</v>
      </c>
      <c r="B39">
        <v>5</v>
      </c>
      <c r="C39" s="2">
        <v>2.994733051169236</v>
      </c>
      <c r="D39">
        <v>13.890094489292126</v>
      </c>
      <c r="G39" s="2">
        <v>2.994733051169236</v>
      </c>
      <c r="H39" s="2">
        <v>3.7169376469992383</v>
      </c>
      <c r="I39" s="2">
        <v>2.6917547487692408</v>
      </c>
      <c r="J39" s="2">
        <v>4.0854112138192225</v>
      </c>
      <c r="K39" s="2">
        <v>1.239910041719225</v>
      </c>
      <c r="L39" s="2">
        <v>3.7306486162292316</v>
      </c>
      <c r="M39" s="2">
        <v>4.031058309969243</v>
      </c>
      <c r="N39" s="2">
        <v>3.7667653419692209</v>
      </c>
      <c r="O39" s="2">
        <v>4.2842263740692337</v>
      </c>
      <c r="P39" s="2">
        <v>5.3692223996192361</v>
      </c>
      <c r="Q39" s="2">
        <v>5.3632401589792407</v>
      </c>
      <c r="R39" s="2">
        <v>3.3288297101692361</v>
      </c>
      <c r="S39" s="2">
        <v>2.1367981933692386</v>
      </c>
      <c r="T39" s="2">
        <v>1.1052457697692384</v>
      </c>
      <c r="U39" s="2">
        <v>-0.48756181103076601</v>
      </c>
      <c r="V39" s="2">
        <v>-2.6477017098307662</v>
      </c>
      <c r="W39" s="2">
        <v>-3.3208245141307722</v>
      </c>
      <c r="X39" s="2">
        <v>-2.4654593805307572</v>
      </c>
      <c r="Y39" s="2">
        <v>1.0901500019244892E-2</v>
      </c>
      <c r="Z39" s="2">
        <v>-0.44134536233076377</v>
      </c>
      <c r="AA39" s="2">
        <v>0.55891123916923846</v>
      </c>
      <c r="AB39" s="2">
        <v>1.2312497751892382</v>
      </c>
      <c r="AC39" s="2">
        <v>1.1174872949192272</v>
      </c>
      <c r="AD39" s="2">
        <v>1.0325521682292274</v>
      </c>
      <c r="AE39" s="2">
        <v>2.8559780762592273</v>
      </c>
      <c r="AF39" s="2">
        <v>3.3982535946892316</v>
      </c>
      <c r="AG39" s="2">
        <v>3.7437798352422273</v>
      </c>
      <c r="AH39" s="2">
        <v>3.1401515433092211</v>
      </c>
      <c r="AI39" s="2">
        <v>2.3256610174192414</v>
      </c>
      <c r="AJ39" s="2">
        <v>3.0732084994992381</v>
      </c>
      <c r="AK39" s="2">
        <v>2.4197133966692208</v>
      </c>
      <c r="AL39" s="2">
        <v>3.7297149387692254</v>
      </c>
      <c r="AM39" s="2">
        <v>3.1178040014692385</v>
      </c>
      <c r="AN39" s="2">
        <v>3.3034292364692428</v>
      </c>
      <c r="AO39" s="2">
        <v>3.5154691291692206</v>
      </c>
      <c r="AP39" s="2">
        <v>3.7396919383692429</v>
      </c>
      <c r="AQ39" s="2">
        <v>3.1445083440692292</v>
      </c>
      <c r="AR39" s="2">
        <v>4.3037038856692229</v>
      </c>
      <c r="AS39" s="2">
        <v>3.5141544352692451</v>
      </c>
      <c r="AT39" s="2">
        <v>2.0171252992692406</v>
      </c>
      <c r="AU39" s="2">
        <v>2.6252510639492432</v>
      </c>
    </row>
    <row r="40" spans="1:47" x14ac:dyDescent="0.25">
      <c r="A40">
        <v>2012.375</v>
      </c>
      <c r="B40">
        <v>5</v>
      </c>
      <c r="C40" s="2">
        <v>3.3148665312692316</v>
      </c>
      <c r="D40">
        <v>13.743321301321949</v>
      </c>
      <c r="G40" s="2">
        <v>3.3148665312692316</v>
      </c>
      <c r="H40" s="2">
        <v>2.7316463550692207</v>
      </c>
      <c r="I40" s="2">
        <v>2.9837590889692205</v>
      </c>
      <c r="J40" s="2">
        <v>0.95535216508924714</v>
      </c>
      <c r="K40" s="2">
        <v>1.7700253141892386</v>
      </c>
      <c r="L40" s="2">
        <v>2.882561274810246</v>
      </c>
      <c r="M40" s="2">
        <v>4.0480641576192209</v>
      </c>
      <c r="N40" s="2">
        <v>3.3780577038692257</v>
      </c>
      <c r="O40" s="2">
        <v>3.505408443069232</v>
      </c>
      <c r="P40" s="2">
        <v>3.303517913359225</v>
      </c>
      <c r="Q40" s="2">
        <v>3.6558712369092294</v>
      </c>
      <c r="R40" s="2">
        <v>2.754497701969234</v>
      </c>
      <c r="S40" s="2">
        <v>2.994733051169236</v>
      </c>
      <c r="T40" s="2">
        <v>3.7169376469992383</v>
      </c>
      <c r="U40" s="2">
        <v>2.6917547487692408</v>
      </c>
      <c r="V40" s="2">
        <v>4.0854112138192225</v>
      </c>
      <c r="W40" s="2">
        <v>1.239910041719225</v>
      </c>
      <c r="X40" s="2">
        <v>3.7306486162292316</v>
      </c>
      <c r="Y40" s="2">
        <v>4.031058309969243</v>
      </c>
      <c r="Z40" s="2">
        <v>3.7667653419692209</v>
      </c>
      <c r="AA40" s="2">
        <v>4.2842263740692337</v>
      </c>
      <c r="AB40" s="2">
        <v>5.3692223996192361</v>
      </c>
      <c r="AC40" s="2">
        <v>5.3632401589792407</v>
      </c>
      <c r="AD40" s="2">
        <v>3.3288297101692361</v>
      </c>
      <c r="AE40" s="2">
        <v>2.1367981933692386</v>
      </c>
      <c r="AF40" s="2">
        <v>1.1052457697692384</v>
      </c>
      <c r="AG40" s="2">
        <v>-0.48756181103076601</v>
      </c>
      <c r="AH40" s="2">
        <v>-2.6477017098307662</v>
      </c>
      <c r="AI40" s="2">
        <v>-3.3208245141307722</v>
      </c>
      <c r="AJ40" s="2">
        <v>-2.4654593805307572</v>
      </c>
      <c r="AK40" s="2">
        <v>1.0901500019244892E-2</v>
      </c>
      <c r="AL40" s="2">
        <v>-0.44134536233076377</v>
      </c>
      <c r="AM40" s="2">
        <v>0.55891123916923846</v>
      </c>
      <c r="AN40" s="2">
        <v>1.2312497751892382</v>
      </c>
      <c r="AO40" s="2">
        <v>1.1174872949192272</v>
      </c>
      <c r="AP40" s="2">
        <v>1.0325521682292274</v>
      </c>
      <c r="AQ40" s="2">
        <v>2.8559780762592273</v>
      </c>
      <c r="AR40" s="2">
        <v>3.3982535946892316</v>
      </c>
      <c r="AS40" s="2">
        <v>3.7437798352422273</v>
      </c>
      <c r="AT40" s="2">
        <v>3.1401515433092211</v>
      </c>
      <c r="AU40" s="2">
        <v>2.3256610174192414</v>
      </c>
    </row>
    <row r="41" spans="1:47" x14ac:dyDescent="0.25">
      <c r="A41">
        <v>2013.375</v>
      </c>
      <c r="B41">
        <v>5</v>
      </c>
      <c r="C41" s="2">
        <v>2.6100064923692252</v>
      </c>
      <c r="D41">
        <v>14.363133589473669</v>
      </c>
      <c r="G41" s="2">
        <v>2.6100064923692252</v>
      </c>
      <c r="H41" s="2">
        <v>2.4413346113592227</v>
      </c>
      <c r="I41" s="2">
        <v>1.7311234118592274</v>
      </c>
      <c r="J41" s="2">
        <v>1.2031396460692443</v>
      </c>
      <c r="K41" s="2">
        <v>0.36910590186924719</v>
      </c>
      <c r="L41" s="2">
        <v>0.81033411676924127</v>
      </c>
      <c r="M41" s="2">
        <v>1.2795358532692251</v>
      </c>
      <c r="N41" s="2">
        <v>1.5053767653692383</v>
      </c>
      <c r="O41" s="2">
        <v>3.135958294269245</v>
      </c>
      <c r="P41" s="2">
        <v>3.1158533679692386</v>
      </c>
      <c r="Q41" s="2">
        <v>3.1915599164692323</v>
      </c>
      <c r="R41" s="2">
        <v>2.4713739030692272</v>
      </c>
      <c r="S41" s="2">
        <v>3.3148665312692316</v>
      </c>
      <c r="T41" s="2">
        <v>2.7316463550692207</v>
      </c>
      <c r="U41" s="2">
        <v>2.9837590889692205</v>
      </c>
      <c r="V41" s="2">
        <v>0.95535216508924714</v>
      </c>
      <c r="W41" s="2">
        <v>1.7700253141892386</v>
      </c>
      <c r="X41" s="2">
        <v>2.882561274810246</v>
      </c>
      <c r="Y41" s="2">
        <v>4.0480641576192209</v>
      </c>
      <c r="Z41" s="2">
        <v>3.3780577038692257</v>
      </c>
      <c r="AA41" s="2">
        <v>3.505408443069232</v>
      </c>
      <c r="AB41" s="2">
        <v>3.303517913359225</v>
      </c>
      <c r="AC41" s="2">
        <v>3.6558712369092294</v>
      </c>
      <c r="AD41" s="2">
        <v>2.754497701969234</v>
      </c>
      <c r="AE41" s="2">
        <v>2.994733051169236</v>
      </c>
      <c r="AF41" s="2">
        <v>3.7169376469992383</v>
      </c>
      <c r="AG41" s="2">
        <v>2.6917547487692408</v>
      </c>
      <c r="AH41" s="2">
        <v>4.0854112138192225</v>
      </c>
      <c r="AI41" s="2">
        <v>1.239910041719225</v>
      </c>
      <c r="AJ41" s="2">
        <v>3.7306486162292316</v>
      </c>
      <c r="AK41" s="2">
        <v>4.031058309969243</v>
      </c>
      <c r="AL41" s="2">
        <v>3.7667653419692209</v>
      </c>
      <c r="AM41" s="2">
        <v>4.2842263740692337</v>
      </c>
      <c r="AN41" s="2">
        <v>5.3692223996192361</v>
      </c>
      <c r="AO41" s="2">
        <v>5.3632401589792407</v>
      </c>
      <c r="AP41" s="2">
        <v>3.3288297101692361</v>
      </c>
      <c r="AQ41" s="2">
        <v>2.1367981933692386</v>
      </c>
      <c r="AR41" s="2">
        <v>1.1052457697692384</v>
      </c>
      <c r="AS41" s="2">
        <v>-0.48756181103076601</v>
      </c>
      <c r="AT41" s="2">
        <v>-2.6477017098307662</v>
      </c>
      <c r="AU41" s="2">
        <v>-3.3208245141307722</v>
      </c>
    </row>
    <row r="42" spans="1:47" x14ac:dyDescent="0.25">
      <c r="A42">
        <v>2014.375</v>
      </c>
      <c r="B42">
        <v>5</v>
      </c>
      <c r="C42" s="2">
        <v>1.4034630548992453</v>
      </c>
      <c r="D42">
        <v>12.667456290192639</v>
      </c>
      <c r="G42" s="2">
        <v>1.4034630548992453</v>
      </c>
      <c r="H42" s="2">
        <v>0.41214923718922075</v>
      </c>
      <c r="I42" s="2">
        <v>0.28743131410924311</v>
      </c>
      <c r="J42" s="2">
        <v>1.0879898171392406</v>
      </c>
      <c r="K42" s="2">
        <v>-0.77898724903076388</v>
      </c>
      <c r="L42" s="2">
        <v>1.0610023320692252</v>
      </c>
      <c r="M42" s="2">
        <v>2.2475169349192448</v>
      </c>
      <c r="N42" s="2">
        <v>1.7144541562192339</v>
      </c>
      <c r="O42" s="2">
        <v>1.7441879054492251</v>
      </c>
      <c r="P42" s="2">
        <v>2.441292262069223</v>
      </c>
      <c r="Q42" s="2">
        <v>3.4288168388092322</v>
      </c>
      <c r="R42" s="2">
        <v>3.176564167829234</v>
      </c>
      <c r="S42" s="2">
        <v>2.6100064923692252</v>
      </c>
      <c r="T42" s="2">
        <v>2.4413346113592227</v>
      </c>
      <c r="U42" s="2">
        <v>1.7311234118592274</v>
      </c>
      <c r="V42" s="2">
        <v>1.2031396460692443</v>
      </c>
      <c r="W42" s="2">
        <v>0.36910590186924719</v>
      </c>
      <c r="X42" s="2">
        <v>0.81033411676924127</v>
      </c>
      <c r="Y42" s="2">
        <v>1.2795358532692251</v>
      </c>
      <c r="Z42" s="2">
        <v>1.5053767653692383</v>
      </c>
      <c r="AA42" s="2">
        <v>3.135958294269245</v>
      </c>
      <c r="AB42" s="2">
        <v>3.1158533679692386</v>
      </c>
      <c r="AC42" s="2">
        <v>3.1915599164692323</v>
      </c>
      <c r="AD42" s="2">
        <v>2.4713739030692272</v>
      </c>
      <c r="AE42" s="2">
        <v>3.3148665312692316</v>
      </c>
      <c r="AF42" s="2">
        <v>2.7316463550692207</v>
      </c>
      <c r="AG42" s="2">
        <v>2.9837590889692205</v>
      </c>
      <c r="AH42" s="2">
        <v>0.95535216508924714</v>
      </c>
      <c r="AI42" s="2">
        <v>1.7700253141892386</v>
      </c>
      <c r="AJ42" s="2">
        <v>2.882561274810246</v>
      </c>
      <c r="AK42" s="2">
        <v>4.0480641576192209</v>
      </c>
      <c r="AL42" s="2">
        <v>3.3780577038692257</v>
      </c>
      <c r="AM42" s="2">
        <v>3.505408443069232</v>
      </c>
      <c r="AN42" s="2">
        <v>3.303517913359225</v>
      </c>
      <c r="AO42" s="2">
        <v>3.6558712369092294</v>
      </c>
      <c r="AP42" s="2">
        <v>2.754497701969234</v>
      </c>
      <c r="AQ42" s="2">
        <v>2.994733051169236</v>
      </c>
      <c r="AR42" s="2">
        <v>3.7169376469992383</v>
      </c>
      <c r="AS42" s="2">
        <v>2.6917547487692408</v>
      </c>
      <c r="AT42" s="2">
        <v>4.0854112138192225</v>
      </c>
      <c r="AU42" s="2">
        <v>1.239910041719225</v>
      </c>
    </row>
    <row r="43" spans="1:47" x14ac:dyDescent="0.25">
      <c r="A43">
        <v>2015.375</v>
      </c>
      <c r="B43">
        <v>5</v>
      </c>
      <c r="C43" s="2">
        <v>-3.0684870940772491E-2</v>
      </c>
      <c r="D43">
        <v>13.579970216671891</v>
      </c>
      <c r="G43" s="2">
        <v>-3.0684870940772491E-2</v>
      </c>
      <c r="H43" s="2">
        <v>0.45460829456923418</v>
      </c>
      <c r="I43" s="2">
        <v>3.5930787669227304E-2</v>
      </c>
      <c r="J43" s="2">
        <v>-1.4061045382307595</v>
      </c>
      <c r="K43" s="2">
        <v>-2.1196752670907553</v>
      </c>
      <c r="L43" s="2">
        <v>-2.2526105113207597</v>
      </c>
      <c r="M43" s="2">
        <v>-1.2621451354507678</v>
      </c>
      <c r="N43" s="2">
        <v>-0.56983358888077473</v>
      </c>
      <c r="O43" s="2">
        <v>0.10178133444922077</v>
      </c>
      <c r="P43" s="2">
        <v>0.71163629737922962</v>
      </c>
      <c r="Q43" s="2">
        <v>1.2302889477092382</v>
      </c>
      <c r="R43" s="2">
        <v>1.5207169755392274</v>
      </c>
      <c r="S43" s="2">
        <v>1.4034630548992453</v>
      </c>
      <c r="T43" s="2">
        <v>0.41214923718922075</v>
      </c>
      <c r="U43" s="2">
        <v>0.28743131410924311</v>
      </c>
      <c r="V43" s="2">
        <v>1.0879898171392406</v>
      </c>
      <c r="W43" s="2">
        <v>-0.77898724903076388</v>
      </c>
      <c r="X43" s="2">
        <v>1.0610023320692252</v>
      </c>
      <c r="Y43" s="2">
        <v>2.2475169349192448</v>
      </c>
      <c r="Z43" s="2">
        <v>1.7144541562192339</v>
      </c>
      <c r="AA43" s="2">
        <v>1.7441879054492251</v>
      </c>
      <c r="AB43" s="2">
        <v>2.441292262069223</v>
      </c>
      <c r="AC43" s="2">
        <v>3.4288168388092322</v>
      </c>
      <c r="AD43" s="2">
        <v>3.176564167829234</v>
      </c>
      <c r="AE43" s="2">
        <v>2.6100064923692252</v>
      </c>
      <c r="AF43" s="2">
        <v>2.4413346113592227</v>
      </c>
      <c r="AG43" s="2">
        <v>1.7311234118592274</v>
      </c>
      <c r="AH43" s="2">
        <v>1.2031396460692443</v>
      </c>
      <c r="AI43" s="2">
        <v>0.36910590186924719</v>
      </c>
      <c r="AJ43" s="2">
        <v>0.81033411676924127</v>
      </c>
      <c r="AK43" s="2">
        <v>1.2795358532692251</v>
      </c>
      <c r="AL43" s="2">
        <v>1.5053767653692383</v>
      </c>
      <c r="AM43" s="2">
        <v>3.135958294269245</v>
      </c>
      <c r="AN43" s="2">
        <v>3.1158533679692386</v>
      </c>
      <c r="AO43" s="2">
        <v>3.1915599164692323</v>
      </c>
      <c r="AP43" s="2">
        <v>2.4713739030692272</v>
      </c>
      <c r="AQ43" s="2">
        <v>3.3148665312692316</v>
      </c>
      <c r="AR43" s="2">
        <v>2.7316463550692207</v>
      </c>
      <c r="AS43" s="2">
        <v>2.9837590889692205</v>
      </c>
      <c r="AT43" s="2">
        <v>0.95535216508924714</v>
      </c>
      <c r="AU43" s="2">
        <v>1.7700253141892386</v>
      </c>
    </row>
    <row r="44" spans="1:47" x14ac:dyDescent="0.25">
      <c r="A44">
        <v>2016.375</v>
      </c>
      <c r="B44">
        <v>5</v>
      </c>
      <c r="C44" s="2">
        <v>-3.6238594620772724E-2</v>
      </c>
      <c r="D44">
        <v>14.551469008881927</v>
      </c>
      <c r="G44" s="2">
        <v>-3.6238594620772724E-2</v>
      </c>
      <c r="H44" s="2">
        <v>-1.9728460609507639</v>
      </c>
      <c r="I44" s="2">
        <v>-2.3126394715807717</v>
      </c>
      <c r="J44" s="2">
        <v>-4.0803512152507615</v>
      </c>
      <c r="K44" s="2">
        <v>-5.0763222569207516</v>
      </c>
      <c r="L44" s="2">
        <v>-3.4209596195307723</v>
      </c>
      <c r="M44" s="2">
        <v>-1.3308764840307548</v>
      </c>
      <c r="N44" s="2">
        <v>-3.1528870372307658</v>
      </c>
      <c r="O44" s="2">
        <v>-1.9948764680307747</v>
      </c>
      <c r="P44" s="2">
        <v>-1.5252614967307725</v>
      </c>
      <c r="Q44" s="2">
        <v>-1.6149105574307594</v>
      </c>
      <c r="R44" s="2">
        <v>-0.92363914943077907</v>
      </c>
      <c r="S44" s="2">
        <v>-3.0684870940772491E-2</v>
      </c>
      <c r="T44" s="2">
        <v>0.45460829456923418</v>
      </c>
      <c r="U44" s="2">
        <v>3.5930787669227304E-2</v>
      </c>
      <c r="V44" s="2">
        <v>-1.4061045382307595</v>
      </c>
      <c r="W44" s="2">
        <v>-2.1196752670907553</v>
      </c>
      <c r="X44" s="2">
        <v>-2.2526105113207597</v>
      </c>
      <c r="Y44" s="2">
        <v>-1.2621451354507678</v>
      </c>
      <c r="Z44" s="2">
        <v>-0.56983358888077473</v>
      </c>
      <c r="AA44" s="2">
        <v>0.10178133444922077</v>
      </c>
      <c r="AB44" s="2">
        <v>0.71163629737922962</v>
      </c>
      <c r="AC44" s="2">
        <v>1.2302889477092382</v>
      </c>
      <c r="AD44" s="2">
        <v>1.5207169755392274</v>
      </c>
      <c r="AE44" s="2">
        <v>1.4034630548992453</v>
      </c>
      <c r="AF44" s="2">
        <v>0.41214923718922075</v>
      </c>
      <c r="AG44" s="2">
        <v>0.28743131410924311</v>
      </c>
      <c r="AH44" s="2">
        <v>1.0879898171392406</v>
      </c>
      <c r="AI44" s="2">
        <v>-0.77898724903076388</v>
      </c>
      <c r="AJ44" s="2">
        <v>1.0610023320692252</v>
      </c>
      <c r="AK44" s="2">
        <v>2.2475169349192448</v>
      </c>
      <c r="AL44" s="2">
        <v>1.7144541562192339</v>
      </c>
      <c r="AM44" s="2">
        <v>1.7441879054492251</v>
      </c>
      <c r="AN44" s="2">
        <v>2.441292262069223</v>
      </c>
      <c r="AO44" s="2">
        <v>3.4288168388092322</v>
      </c>
      <c r="AP44" s="2">
        <v>3.176564167829234</v>
      </c>
      <c r="AQ44" s="2">
        <v>2.6100064923692252</v>
      </c>
      <c r="AR44" s="2">
        <v>2.4413346113592227</v>
      </c>
      <c r="AS44" s="2">
        <v>1.7311234118592274</v>
      </c>
      <c r="AT44" s="2">
        <v>1.2031396460692443</v>
      </c>
      <c r="AU44" s="2">
        <v>0.36910590186924719</v>
      </c>
    </row>
    <row r="45" spans="1:47" x14ac:dyDescent="0.25">
      <c r="A45">
        <v>2017.375</v>
      </c>
      <c r="B45">
        <v>5</v>
      </c>
      <c r="C45" s="2">
        <v>0.6355308827592252</v>
      </c>
      <c r="D45">
        <v>14.274826487471008</v>
      </c>
      <c r="G45" s="2">
        <v>0.6355308827592252</v>
      </c>
      <c r="H45" s="2">
        <v>0.2263728185012383</v>
      </c>
      <c r="I45" s="2">
        <v>0.75269428361922963</v>
      </c>
      <c r="J45" s="2">
        <v>0.10561636126922933</v>
      </c>
      <c r="K45" s="2">
        <v>0.53788867355923242</v>
      </c>
      <c r="L45" s="2">
        <v>1.3136739487692362</v>
      </c>
      <c r="M45" s="2">
        <v>0.48803656106923615</v>
      </c>
      <c r="N45" s="2">
        <v>0.91796129348923017</v>
      </c>
      <c r="O45" s="2">
        <v>2.3205943892092407</v>
      </c>
      <c r="P45" s="2">
        <v>2.8199650322192427</v>
      </c>
      <c r="Q45" s="2">
        <v>2.6337997278192273</v>
      </c>
      <c r="R45" s="2">
        <v>1.1669819309692406</v>
      </c>
      <c r="S45" s="2">
        <v>-3.6238594620772724E-2</v>
      </c>
      <c r="T45" s="2">
        <v>-1.9728460609507639</v>
      </c>
      <c r="U45" s="2">
        <v>-2.3126394715807717</v>
      </c>
      <c r="V45" s="2">
        <v>-4.0803512152507615</v>
      </c>
      <c r="W45" s="2">
        <v>-5.0763222569207516</v>
      </c>
      <c r="X45" s="2">
        <v>-3.4209596195307723</v>
      </c>
      <c r="Y45" s="2">
        <v>-1.3308764840307548</v>
      </c>
      <c r="Z45" s="2">
        <v>-3.1528870372307658</v>
      </c>
      <c r="AA45" s="2">
        <v>-1.9948764680307747</v>
      </c>
      <c r="AB45" s="2">
        <v>-1.5252614967307725</v>
      </c>
      <c r="AC45" s="2">
        <v>-1.6149105574307594</v>
      </c>
      <c r="AD45" s="2">
        <v>-0.92363914943077907</v>
      </c>
      <c r="AE45" s="2">
        <v>-3.0684870940772491E-2</v>
      </c>
      <c r="AF45" s="2">
        <v>0.45460829456923418</v>
      </c>
      <c r="AG45" s="2">
        <v>3.5930787669227304E-2</v>
      </c>
      <c r="AH45" s="2">
        <v>-1.4061045382307595</v>
      </c>
      <c r="AI45" s="2">
        <v>-2.1196752670907553</v>
      </c>
      <c r="AJ45" s="2">
        <v>-2.2526105113207597</v>
      </c>
      <c r="AK45" s="2">
        <v>-1.2621451354507678</v>
      </c>
      <c r="AL45" s="2">
        <v>-0.56983358888077473</v>
      </c>
      <c r="AM45" s="2">
        <v>0.10178133444922077</v>
      </c>
      <c r="AN45" s="2">
        <v>0.71163629737922962</v>
      </c>
      <c r="AO45" s="2">
        <v>1.2302889477092382</v>
      </c>
      <c r="AP45" s="2">
        <v>1.5207169755392274</v>
      </c>
      <c r="AQ45" s="2">
        <v>1.4034630548992453</v>
      </c>
      <c r="AR45" s="2">
        <v>0.41214923718922075</v>
      </c>
      <c r="AS45" s="2">
        <v>0.28743131410924311</v>
      </c>
      <c r="AT45" s="2">
        <v>1.0879898171392406</v>
      </c>
      <c r="AU45" s="2">
        <v>-0.77898724903076388</v>
      </c>
    </row>
    <row r="46" spans="1:47" x14ac:dyDescent="0.25">
      <c r="A46">
        <v>2018.375</v>
      </c>
      <c r="B46">
        <v>5</v>
      </c>
      <c r="C46" s="2">
        <v>2.0574152523692271</v>
      </c>
      <c r="D46">
        <v>14.512874357030462</v>
      </c>
      <c r="G46" s="2">
        <v>2.0574152523692271</v>
      </c>
      <c r="H46" s="2">
        <v>2.057989922469234</v>
      </c>
      <c r="I46" s="2">
        <v>2.4866597172692426</v>
      </c>
      <c r="J46" s="2">
        <v>1.7138665980692449</v>
      </c>
      <c r="K46" s="2">
        <v>9.4529943569231722E-2</v>
      </c>
      <c r="L46" s="2">
        <v>0.60212085066922516</v>
      </c>
      <c r="M46" s="2">
        <v>2.3005714547692206</v>
      </c>
      <c r="N46" s="2">
        <v>2.2583431590692404</v>
      </c>
      <c r="O46" s="2">
        <v>1.6955769090092339</v>
      </c>
      <c r="P46" s="2">
        <v>2.0752345825592298</v>
      </c>
      <c r="Q46" s="2">
        <v>2.4774201739092447</v>
      </c>
      <c r="R46" s="2">
        <v>0.86056713492922976</v>
      </c>
      <c r="S46" s="2">
        <v>0.6355308827592252</v>
      </c>
      <c r="T46" s="2">
        <v>0.2263728185012383</v>
      </c>
      <c r="U46" s="2">
        <v>0.75269428361922963</v>
      </c>
      <c r="V46" s="2">
        <v>0.10561636126922933</v>
      </c>
      <c r="W46" s="2">
        <v>0.53788867355923242</v>
      </c>
      <c r="X46" s="2">
        <v>1.3136739487692362</v>
      </c>
      <c r="Y46" s="2">
        <v>0.48803656106923615</v>
      </c>
      <c r="Z46" s="2">
        <v>0.91796129348923017</v>
      </c>
      <c r="AA46" s="2">
        <v>2.3205943892092407</v>
      </c>
      <c r="AB46" s="2">
        <v>2.8199650322192427</v>
      </c>
      <c r="AC46" s="2">
        <v>2.6337997278192273</v>
      </c>
      <c r="AD46" s="2">
        <v>1.1669819309692406</v>
      </c>
      <c r="AE46" s="2">
        <v>-3.6238594620772724E-2</v>
      </c>
      <c r="AF46" s="2">
        <v>-1.9728460609507639</v>
      </c>
      <c r="AG46" s="2">
        <v>-2.3126394715807717</v>
      </c>
      <c r="AH46" s="2">
        <v>-4.0803512152507615</v>
      </c>
      <c r="AI46" s="2">
        <v>-5.0763222569207516</v>
      </c>
      <c r="AJ46" s="2">
        <v>-3.4209596195307723</v>
      </c>
      <c r="AK46" s="2">
        <v>-1.3308764840307548</v>
      </c>
      <c r="AL46" s="2">
        <v>-3.1528870372307658</v>
      </c>
      <c r="AM46" s="2">
        <v>-1.9948764680307747</v>
      </c>
      <c r="AN46" s="2">
        <v>-1.5252614967307725</v>
      </c>
      <c r="AO46" s="2">
        <v>-1.6149105574307594</v>
      </c>
      <c r="AP46" s="2">
        <v>-0.92363914943077907</v>
      </c>
      <c r="AQ46" s="2">
        <v>-3.0684870940772491E-2</v>
      </c>
      <c r="AR46" s="2">
        <v>0.45460829456923418</v>
      </c>
      <c r="AS46" s="2">
        <v>3.5930787669227304E-2</v>
      </c>
      <c r="AT46" s="2">
        <v>-1.4061045382307595</v>
      </c>
      <c r="AU46" s="2">
        <v>-2.1196752670907553</v>
      </c>
    </row>
    <row r="47" spans="1:47" x14ac:dyDescent="0.25">
      <c r="A47">
        <v>2019.375</v>
      </c>
      <c r="B47">
        <v>5</v>
      </c>
      <c r="C47" s="2">
        <v>0.16846339816923617</v>
      </c>
      <c r="D47">
        <v>14.270730126534731</v>
      </c>
      <c r="G47" s="2">
        <v>0.16846339816923617</v>
      </c>
      <c r="H47" s="2">
        <v>-0.47616772613075503</v>
      </c>
      <c r="I47" s="2">
        <v>-0.53457451533077904</v>
      </c>
      <c r="J47" s="2">
        <v>0.49570576106923198</v>
      </c>
      <c r="K47" s="2">
        <v>-1.7311455758407726</v>
      </c>
      <c r="L47" s="2">
        <v>-0.96561260333077037</v>
      </c>
      <c r="M47" s="2">
        <v>-0.49344882973076382</v>
      </c>
      <c r="N47" s="2">
        <v>-0.57542024343075715</v>
      </c>
      <c r="O47" s="2">
        <v>0.80345345206922736</v>
      </c>
      <c r="P47" s="2">
        <v>1.1295069963692277</v>
      </c>
      <c r="Q47" s="2">
        <v>2.2252832571692274</v>
      </c>
      <c r="R47" s="2">
        <v>1.4889856663692449</v>
      </c>
      <c r="S47" s="2">
        <v>2.0574152523692271</v>
      </c>
      <c r="T47" s="2">
        <v>2.057989922469234</v>
      </c>
      <c r="U47" s="2">
        <v>2.4866597172692426</v>
      </c>
      <c r="V47" s="2">
        <v>1.7138665980692449</v>
      </c>
      <c r="W47" s="2">
        <v>9.4529943569231722E-2</v>
      </c>
      <c r="X47" s="2">
        <v>0.60212085066922516</v>
      </c>
      <c r="Y47" s="2">
        <v>2.3005714547692206</v>
      </c>
      <c r="Z47" s="2">
        <v>2.2583431590692404</v>
      </c>
      <c r="AA47" s="2">
        <v>1.6955769090092339</v>
      </c>
      <c r="AB47" s="2">
        <v>2.0752345825592298</v>
      </c>
      <c r="AC47" s="2">
        <v>2.4774201739092447</v>
      </c>
      <c r="AD47" s="2">
        <v>0.86056713492922976</v>
      </c>
      <c r="AE47" s="2">
        <v>0.6355308827592252</v>
      </c>
      <c r="AF47" s="2">
        <v>0.2263728185012383</v>
      </c>
      <c r="AG47" s="2">
        <v>0.75269428361922963</v>
      </c>
      <c r="AH47" s="2">
        <v>0.10561636126922933</v>
      </c>
      <c r="AI47" s="2">
        <v>0.53788867355923242</v>
      </c>
      <c r="AJ47" s="2">
        <v>1.3136739487692362</v>
      </c>
      <c r="AK47" s="2">
        <v>0.48803656106923615</v>
      </c>
      <c r="AL47" s="2">
        <v>0.91796129348923017</v>
      </c>
      <c r="AM47" s="2">
        <v>2.3205943892092407</v>
      </c>
      <c r="AN47" s="2">
        <v>2.8199650322192427</v>
      </c>
      <c r="AO47" s="2">
        <v>2.6337997278192273</v>
      </c>
      <c r="AP47" s="2">
        <v>1.1669819309692406</v>
      </c>
      <c r="AQ47" s="2">
        <v>-3.6238594620772724E-2</v>
      </c>
      <c r="AR47" s="2">
        <v>-1.9728460609507639</v>
      </c>
      <c r="AS47" s="2">
        <v>-2.3126394715807717</v>
      </c>
      <c r="AT47" s="2">
        <v>-4.0803512152507615</v>
      </c>
      <c r="AU47" s="2">
        <v>-5.0763222569207516</v>
      </c>
    </row>
    <row r="48" spans="1:47" x14ac:dyDescent="0.25">
      <c r="A48">
        <v>2020.375</v>
      </c>
      <c r="B48">
        <v>5</v>
      </c>
      <c r="C48" s="2">
        <v>0.94188844476923839</v>
      </c>
      <c r="D48">
        <v>14.284593966000836</v>
      </c>
      <c r="G48" s="2">
        <v>0.94188844476923839</v>
      </c>
      <c r="H48" s="2">
        <v>1.418113753069234</v>
      </c>
      <c r="I48" s="2">
        <v>2.890156064869227</v>
      </c>
      <c r="J48" s="2">
        <v>0.72176298916923387</v>
      </c>
      <c r="K48" s="2">
        <v>0.50067563736922516</v>
      </c>
      <c r="L48" s="2">
        <v>-1.2565737220307747</v>
      </c>
      <c r="M48" s="2">
        <v>-1.0369431740307637</v>
      </c>
      <c r="N48" s="2">
        <v>0.70103079876923413</v>
      </c>
      <c r="O48" s="2">
        <v>0.37751908686922514</v>
      </c>
      <c r="P48" s="2">
        <v>0.59593210106922745</v>
      </c>
      <c r="Q48" s="2">
        <v>0.41449108666922962</v>
      </c>
      <c r="R48" s="2">
        <v>0.73665835736922736</v>
      </c>
      <c r="S48" s="2">
        <v>0.16846339816923617</v>
      </c>
      <c r="T48" s="2">
        <v>-0.47616772613075503</v>
      </c>
      <c r="U48" s="2">
        <v>-0.53457451533077904</v>
      </c>
      <c r="V48" s="2">
        <v>0.49570576106923198</v>
      </c>
      <c r="W48" s="2">
        <v>-1.7311455758407726</v>
      </c>
      <c r="X48" s="2">
        <v>-0.96561260333077037</v>
      </c>
      <c r="Y48" s="2">
        <v>-0.49344882973076382</v>
      </c>
      <c r="Z48" s="2">
        <v>-0.57542024343075715</v>
      </c>
      <c r="AA48" s="2">
        <v>0.80345345206922736</v>
      </c>
      <c r="AB48" s="2">
        <v>1.1295069963692277</v>
      </c>
      <c r="AC48" s="2">
        <v>2.2252832571692274</v>
      </c>
      <c r="AD48" s="2">
        <v>1.4889856663692449</v>
      </c>
      <c r="AE48" s="2">
        <v>2.0574152523692271</v>
      </c>
      <c r="AF48" s="2">
        <v>2.057989922469234</v>
      </c>
      <c r="AG48" s="2">
        <v>2.4866597172692426</v>
      </c>
      <c r="AH48" s="2">
        <v>1.7138665980692449</v>
      </c>
      <c r="AI48" s="2">
        <v>9.4529943569231722E-2</v>
      </c>
      <c r="AJ48" s="2">
        <v>0.60212085066922516</v>
      </c>
      <c r="AK48" s="2">
        <v>2.3005714547692206</v>
      </c>
      <c r="AL48" s="2">
        <v>2.2583431590692404</v>
      </c>
      <c r="AM48" s="2">
        <v>1.6955769090092339</v>
      </c>
      <c r="AN48" s="2">
        <v>2.0752345825592298</v>
      </c>
      <c r="AO48" s="2">
        <v>2.4774201739092447</v>
      </c>
      <c r="AP48" s="2">
        <v>0.86056713492922976</v>
      </c>
      <c r="AQ48" s="2">
        <v>0.6355308827592252</v>
      </c>
      <c r="AR48" s="2">
        <v>0.2263728185012383</v>
      </c>
      <c r="AS48" s="2">
        <v>0.75269428361922963</v>
      </c>
      <c r="AT48" s="2">
        <v>0.10561636126922933</v>
      </c>
      <c r="AU48" s="2">
        <v>0.53788867355923242</v>
      </c>
    </row>
    <row r="49" spans="1:47" x14ac:dyDescent="0.25">
      <c r="A49">
        <v>2021.375</v>
      </c>
      <c r="B49">
        <v>5</v>
      </c>
      <c r="C49" s="2">
        <v>3.013470621229243</v>
      </c>
      <c r="D49">
        <v>14.904491505019235</v>
      </c>
      <c r="G49" s="2">
        <v>3.013470621229243</v>
      </c>
      <c r="H49" s="2">
        <v>3.4358862912692407</v>
      </c>
      <c r="I49" s="2">
        <v>4.1419505337292053</v>
      </c>
      <c r="J49" s="2">
        <v>1.6625542466692296</v>
      </c>
      <c r="K49" s="2">
        <v>0.56966047319922519</v>
      </c>
      <c r="L49" s="2">
        <v>7.4266250269225065E-2</v>
      </c>
      <c r="M49" s="2">
        <v>2.7389921961692316</v>
      </c>
      <c r="N49" s="2">
        <v>2.6532131311692275</v>
      </c>
      <c r="O49" s="2">
        <v>2.7449835301692338</v>
      </c>
      <c r="P49" s="2">
        <v>2.4282919043692339</v>
      </c>
      <c r="Q49" s="2">
        <v>2.4569034265692382</v>
      </c>
      <c r="R49" s="2">
        <v>1.9575282925692208</v>
      </c>
      <c r="S49" s="2">
        <v>0.94188844476923839</v>
      </c>
      <c r="T49" s="2">
        <v>1.418113753069234</v>
      </c>
      <c r="U49" s="2">
        <v>2.890156064869227</v>
      </c>
      <c r="V49" s="2">
        <v>0.72176298916923387</v>
      </c>
      <c r="W49" s="2">
        <v>0.50067563736922516</v>
      </c>
      <c r="X49" s="2">
        <v>-1.2565737220307747</v>
      </c>
      <c r="Y49" s="2">
        <v>-1.0369431740307637</v>
      </c>
      <c r="Z49" s="2">
        <v>0.70103079876923413</v>
      </c>
      <c r="AA49" s="2">
        <v>0.37751908686922514</v>
      </c>
      <c r="AB49" s="2">
        <v>0.59593210106922745</v>
      </c>
      <c r="AC49" s="2">
        <v>0.41449108666922962</v>
      </c>
      <c r="AD49" s="2">
        <v>0.73665835736922736</v>
      </c>
      <c r="AE49" s="2">
        <v>0.16846339816923617</v>
      </c>
      <c r="AF49" s="2">
        <v>-0.47616772613075503</v>
      </c>
      <c r="AG49" s="2">
        <v>-0.53457451533077904</v>
      </c>
      <c r="AH49" s="2">
        <v>0.49570576106923198</v>
      </c>
      <c r="AI49" s="2">
        <v>-1.7311455758407726</v>
      </c>
      <c r="AJ49" s="2">
        <v>-0.96561260333077037</v>
      </c>
      <c r="AK49" s="2">
        <v>-0.49344882973076382</v>
      </c>
      <c r="AL49" s="2">
        <v>-0.57542024343075715</v>
      </c>
      <c r="AM49" s="2">
        <v>0.80345345206922736</v>
      </c>
      <c r="AN49" s="2">
        <v>1.1295069963692277</v>
      </c>
      <c r="AO49" s="2">
        <v>2.2252832571692274</v>
      </c>
      <c r="AP49" s="2">
        <v>1.4889856663692449</v>
      </c>
      <c r="AQ49" s="2">
        <v>2.0574152523692271</v>
      </c>
      <c r="AR49" s="2">
        <v>2.057989922469234</v>
      </c>
      <c r="AS49" s="2">
        <v>2.4866597172692426</v>
      </c>
      <c r="AT49" s="2">
        <v>1.7138665980692449</v>
      </c>
      <c r="AU49" s="2">
        <v>9.4529943569231722E-2</v>
      </c>
    </row>
    <row r="50" spans="1:47" x14ac:dyDescent="0.25">
      <c r="A50">
        <v>2022.375</v>
      </c>
      <c r="B50">
        <v>5</v>
      </c>
      <c r="C50" s="2">
        <v>4.3843827266992443</v>
      </c>
      <c r="D50">
        <v>15.531548371694265</v>
      </c>
      <c r="G50" s="2">
        <v>4.3843827266992443</v>
      </c>
      <c r="H50" s="2">
        <v>3.738704460969243</v>
      </c>
      <c r="I50" s="2">
        <v>2.5391773460692382</v>
      </c>
      <c r="J50" s="2">
        <v>1.5244433762692298</v>
      </c>
      <c r="K50" s="2">
        <v>1.1166221583692315</v>
      </c>
      <c r="L50" s="2">
        <v>3.7450370694692299</v>
      </c>
      <c r="M50" s="2">
        <v>3.3026885758992401</v>
      </c>
      <c r="N50" s="2">
        <v>3.7375478410922232</v>
      </c>
      <c r="O50" s="2">
        <v>3.2127393982092203</v>
      </c>
      <c r="P50" s="2">
        <v>2.8442826277692275</v>
      </c>
      <c r="Q50" s="2">
        <v>4.163303717119228</v>
      </c>
      <c r="R50" s="2">
        <v>2.8356994875692361</v>
      </c>
      <c r="S50" s="2">
        <v>3.013470621229243</v>
      </c>
      <c r="T50" s="2">
        <v>3.4358862912692407</v>
      </c>
      <c r="U50" s="2">
        <v>4.1419505337292053</v>
      </c>
      <c r="V50" s="2">
        <v>1.6625542466692296</v>
      </c>
      <c r="W50" s="2">
        <v>0.56966047319922519</v>
      </c>
      <c r="X50" s="2">
        <v>7.4266250269225065E-2</v>
      </c>
      <c r="Y50" s="2">
        <v>2.7389921961692316</v>
      </c>
      <c r="Z50" s="2">
        <v>2.6532131311692275</v>
      </c>
      <c r="AA50" s="2">
        <v>2.7449835301692338</v>
      </c>
      <c r="AB50" s="2">
        <v>2.4282919043692339</v>
      </c>
      <c r="AC50" s="2">
        <v>2.4569034265692382</v>
      </c>
      <c r="AD50" s="2">
        <v>1.9575282925692208</v>
      </c>
      <c r="AE50" s="2">
        <v>0.94188844476923839</v>
      </c>
      <c r="AF50" s="2">
        <v>1.418113753069234</v>
      </c>
      <c r="AG50" s="2">
        <v>2.890156064869227</v>
      </c>
      <c r="AH50" s="2">
        <v>0.72176298916923387</v>
      </c>
      <c r="AI50" s="2">
        <v>0.50067563736922516</v>
      </c>
      <c r="AJ50" s="2">
        <v>-1.2565737220307747</v>
      </c>
      <c r="AK50" s="2">
        <v>-1.0369431740307637</v>
      </c>
      <c r="AL50" s="2">
        <v>0.70103079876923413</v>
      </c>
      <c r="AM50" s="2">
        <v>0.37751908686922514</v>
      </c>
      <c r="AN50" s="2">
        <v>0.59593210106922745</v>
      </c>
      <c r="AO50" s="2">
        <v>0.41449108666922962</v>
      </c>
      <c r="AP50" s="2">
        <v>0.73665835736922736</v>
      </c>
      <c r="AQ50" s="2">
        <v>0.16846339816923617</v>
      </c>
      <c r="AR50" s="2">
        <v>-0.47616772613075503</v>
      </c>
      <c r="AS50" s="2">
        <v>-0.53457451533077904</v>
      </c>
      <c r="AT50" s="2">
        <v>0.49570576106923198</v>
      </c>
      <c r="AU50" s="2">
        <v>-1.7311455758407726</v>
      </c>
    </row>
    <row r="51" spans="1:47" x14ac:dyDescent="0.25">
      <c r="A51">
        <v>2023.375</v>
      </c>
      <c r="B51">
        <v>5</v>
      </c>
      <c r="C51" s="2">
        <v>2.5315232330692252</v>
      </c>
      <c r="D51">
        <v>14.677110299179809</v>
      </c>
      <c r="G51" s="2">
        <v>2.5315232330692252</v>
      </c>
      <c r="H51" s="2">
        <v>2.4242919410692383</v>
      </c>
      <c r="I51" s="2">
        <v>3.0204558906692407</v>
      </c>
      <c r="J51" s="2">
        <v>2.5160163088692427</v>
      </c>
      <c r="K51" s="2">
        <v>0.21799792796922957</v>
      </c>
      <c r="L51" s="2">
        <v>1.0712564202692405</v>
      </c>
      <c r="M51" s="2">
        <v>3.5479114080692211</v>
      </c>
      <c r="N51" s="2">
        <v>3.5468615474692231</v>
      </c>
      <c r="O51" s="2">
        <v>3.5616315340692255</v>
      </c>
      <c r="P51" s="2">
        <v>4.1160447731392207</v>
      </c>
      <c r="Q51" s="2">
        <v>4.716440559979227</v>
      </c>
      <c r="R51" s="2">
        <v>3.4192657767092252</v>
      </c>
      <c r="S51" s="2">
        <v>4.3843827266992443</v>
      </c>
      <c r="T51" s="2">
        <v>3.738704460969243</v>
      </c>
      <c r="U51" s="2">
        <v>2.5391773460692382</v>
      </c>
      <c r="V51" s="2">
        <v>1.5244433762692298</v>
      </c>
      <c r="W51" s="2">
        <v>1.1166221583692315</v>
      </c>
      <c r="X51" s="2">
        <v>3.7450370694692299</v>
      </c>
      <c r="Y51" s="2">
        <v>3.3026885758992401</v>
      </c>
      <c r="Z51" s="2">
        <v>3.7375478410922232</v>
      </c>
      <c r="AA51" s="2">
        <v>3.2127393982092203</v>
      </c>
      <c r="AB51" s="2">
        <v>2.8442826277692275</v>
      </c>
      <c r="AC51" s="2">
        <v>4.163303717119228</v>
      </c>
      <c r="AD51" s="2">
        <v>2.8356994875692361</v>
      </c>
      <c r="AE51" s="2">
        <v>3.013470621229243</v>
      </c>
      <c r="AF51" s="2">
        <v>3.4358862912692407</v>
      </c>
      <c r="AG51" s="2">
        <v>4.1419505337292053</v>
      </c>
      <c r="AH51" s="2">
        <v>1.6625542466692296</v>
      </c>
      <c r="AI51" s="2">
        <v>0.56966047319922519</v>
      </c>
      <c r="AJ51" s="2">
        <v>7.4266250269225065E-2</v>
      </c>
      <c r="AK51" s="2">
        <v>2.7389921961692316</v>
      </c>
      <c r="AL51" s="2">
        <v>2.6532131311692275</v>
      </c>
      <c r="AM51" s="2">
        <v>2.7449835301692338</v>
      </c>
      <c r="AN51" s="2">
        <v>2.4282919043692339</v>
      </c>
      <c r="AO51" s="2">
        <v>2.4569034265692382</v>
      </c>
      <c r="AP51" s="2">
        <v>1.9575282925692208</v>
      </c>
      <c r="AQ51" s="2">
        <v>0.94188844476923839</v>
      </c>
      <c r="AR51" s="2">
        <v>1.418113753069234</v>
      </c>
      <c r="AS51" s="2">
        <v>2.890156064869227</v>
      </c>
      <c r="AT51" s="2">
        <v>0.72176298916923387</v>
      </c>
      <c r="AU51" s="2">
        <v>0.50067563736922516</v>
      </c>
    </row>
    <row r="52" spans="1:47" x14ac:dyDescent="0.25">
      <c r="A52">
        <v>2024</v>
      </c>
      <c r="D52">
        <v>13.35773077814296</v>
      </c>
      <c r="S52" s="2">
        <v>2.5315232330692252</v>
      </c>
      <c r="T52" s="2">
        <v>2.4242919410692383</v>
      </c>
      <c r="U52" s="2">
        <v>3.0204558906692407</v>
      </c>
      <c r="V52" s="2">
        <v>2.5160163088692427</v>
      </c>
      <c r="W52" s="2">
        <v>0.21799792796922957</v>
      </c>
      <c r="X52" s="2">
        <v>1.0712564202692405</v>
      </c>
      <c r="Y52" s="2">
        <v>3.5479114080692211</v>
      </c>
      <c r="Z52" s="2">
        <v>3.5468615474692231</v>
      </c>
      <c r="AA52" s="2">
        <v>3.5616315340692255</v>
      </c>
      <c r="AB52" s="2">
        <v>4.1160447731392207</v>
      </c>
      <c r="AC52" s="2">
        <v>4.716440559979227</v>
      </c>
      <c r="AD52" s="2">
        <v>3.4192657767092252</v>
      </c>
      <c r="AE52" s="2">
        <v>4.3843827266992443</v>
      </c>
      <c r="AF52" s="2">
        <v>3.738704460969243</v>
      </c>
      <c r="AG52" s="2">
        <v>2.5391773460692382</v>
      </c>
      <c r="AH52" s="2">
        <v>1.5244433762692298</v>
      </c>
      <c r="AI52" s="2">
        <v>1.1166221583692315</v>
      </c>
      <c r="AJ52" s="2">
        <v>3.7450370694692299</v>
      </c>
      <c r="AK52" s="2">
        <v>3.3026885758992401</v>
      </c>
      <c r="AL52" s="2">
        <v>3.7375478410922232</v>
      </c>
      <c r="AM52" s="2">
        <v>3.2127393982092203</v>
      </c>
      <c r="AN52" s="2">
        <v>2.8442826277692275</v>
      </c>
      <c r="AO52" s="2">
        <v>4.163303717119228</v>
      </c>
      <c r="AP52" s="2">
        <v>2.8356994875692361</v>
      </c>
      <c r="AQ52" s="2">
        <v>3.013470621229243</v>
      </c>
      <c r="AR52" s="2">
        <v>3.4358862912692407</v>
      </c>
      <c r="AS52" s="2">
        <v>4.1419505337292053</v>
      </c>
      <c r="AT52" s="2">
        <v>1.6625542466692296</v>
      </c>
      <c r="AU52" s="2">
        <v>0.56966047319922519</v>
      </c>
    </row>
    <row r="53" spans="1:47" x14ac:dyDescent="0.25">
      <c r="AE53" s="2">
        <v>2.5315232330692252</v>
      </c>
      <c r="AF53" s="2">
        <v>2.4242919410692383</v>
      </c>
      <c r="AK53" s="2">
        <v>3.5479114080692211</v>
      </c>
      <c r="AQ53" s="2">
        <v>4.3843827266992443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7033-81E1-4DFA-93A4-73BB4CD64C21}">
  <dimension ref="A1:AG69"/>
  <sheetViews>
    <sheetView workbookViewId="0">
      <selection activeCell="V16" sqref="V16"/>
    </sheetView>
  </sheetViews>
  <sheetFormatPr defaultRowHeight="15" x14ac:dyDescent="0.25"/>
  <sheetData>
    <row r="1" spans="1:1" x14ac:dyDescent="0.25">
      <c r="A1" t="s">
        <v>9</v>
      </c>
    </row>
    <row r="18" spans="2:27" x14ac:dyDescent="0.25">
      <c r="B18" t="s">
        <v>10</v>
      </c>
    </row>
    <row r="19" spans="2:27" x14ac:dyDescent="0.25">
      <c r="B19" t="s">
        <v>11</v>
      </c>
      <c r="K19" t="s">
        <v>13</v>
      </c>
    </row>
    <row r="20" spans="2:27" x14ac:dyDescent="0.25">
      <c r="B20" t="s">
        <v>12</v>
      </c>
      <c r="K20" t="s">
        <v>14</v>
      </c>
      <c r="M20">
        <v>2.532</v>
      </c>
      <c r="N20" t="s">
        <v>15</v>
      </c>
    </row>
    <row r="21" spans="2:27" x14ac:dyDescent="0.25">
      <c r="K21" t="s">
        <v>16</v>
      </c>
      <c r="L21">
        <v>-0.1694</v>
      </c>
      <c r="M21">
        <v>15.52</v>
      </c>
      <c r="N21">
        <f>M21+L21*M20</f>
        <v>15.091079199999999</v>
      </c>
      <c r="O21" s="1">
        <f>EXP(N21)</f>
        <v>3580736.9888596456</v>
      </c>
      <c r="P21" t="s">
        <v>17</v>
      </c>
    </row>
    <row r="22" spans="2:27" x14ac:dyDescent="0.25">
      <c r="L22" t="s">
        <v>18</v>
      </c>
    </row>
    <row r="25" spans="2:27" x14ac:dyDescent="0.25">
      <c r="B25" t="s">
        <v>28</v>
      </c>
    </row>
    <row r="28" spans="2:27" x14ac:dyDescent="0.25">
      <c r="W28">
        <v>1.2</v>
      </c>
      <c r="X28">
        <v>2.2000000000000002</v>
      </c>
      <c r="Y28">
        <v>1.3</v>
      </c>
      <c r="Z28">
        <v>2.2999999999999998</v>
      </c>
      <c r="AA28" t="s">
        <v>27</v>
      </c>
    </row>
    <row r="29" spans="2:27" x14ac:dyDescent="0.25">
      <c r="T29" t="s">
        <v>26</v>
      </c>
      <c r="U29" t="s">
        <v>25</v>
      </c>
      <c r="W29">
        <v>1.62</v>
      </c>
      <c r="X29">
        <v>0.52</v>
      </c>
      <c r="Y29">
        <v>4.54</v>
      </c>
      <c r="Z29">
        <v>0.23</v>
      </c>
      <c r="AA29">
        <v>6.9</v>
      </c>
    </row>
    <row r="41" spans="2:28" x14ac:dyDescent="0.25">
      <c r="B41" t="s">
        <v>19</v>
      </c>
      <c r="K41" t="s">
        <v>24</v>
      </c>
      <c r="N41">
        <v>2.532</v>
      </c>
      <c r="O41" t="s">
        <v>22</v>
      </c>
      <c r="Q41" t="s">
        <v>16</v>
      </c>
      <c r="R41">
        <f>L42+K42*N41</f>
        <v>13.881587999999999</v>
      </c>
      <c r="S41" s="1">
        <f>EXP(R41)</f>
        <v>1068309.4460208905</v>
      </c>
      <c r="T41" t="s">
        <v>23</v>
      </c>
      <c r="V41" t="s">
        <v>58</v>
      </c>
    </row>
    <row r="42" spans="2:28" x14ac:dyDescent="0.25">
      <c r="K42">
        <v>-0.34100000000000003</v>
      </c>
      <c r="L42">
        <v>14.744999999999999</v>
      </c>
      <c r="U42" t="s">
        <v>31</v>
      </c>
      <c r="V42" t="s">
        <v>29</v>
      </c>
      <c r="W42" t="s">
        <v>30</v>
      </c>
      <c r="Y42" t="s">
        <v>32</v>
      </c>
    </row>
    <row r="43" spans="2:28" ht="15.75" thickBot="1" x14ac:dyDescent="0.3">
      <c r="C43" t="s">
        <v>20</v>
      </c>
    </row>
    <row r="44" spans="2:28" x14ac:dyDescent="0.25">
      <c r="C44" t="s">
        <v>21</v>
      </c>
      <c r="R44">
        <f>EXP(V44)</f>
        <v>3803140.4034464085</v>
      </c>
      <c r="U44">
        <v>0.36530161782924503</v>
      </c>
      <c r="V44">
        <v>15.151337705357593</v>
      </c>
      <c r="W44">
        <v>14.364807496133853</v>
      </c>
      <c r="Y44" s="6" t="s">
        <v>33</v>
      </c>
      <c r="Z44" s="6"/>
    </row>
    <row r="45" spans="2:28" x14ac:dyDescent="0.25">
      <c r="U45">
        <v>4.2896200438692365</v>
      </c>
      <c r="V45">
        <v>12.471062555593877</v>
      </c>
      <c r="W45">
        <v>13.865094028579398</v>
      </c>
      <c r="Y45" t="s">
        <v>34</v>
      </c>
      <c r="Z45">
        <v>0.77213408382056758</v>
      </c>
    </row>
    <row r="46" spans="2:28" x14ac:dyDescent="0.25">
      <c r="U46">
        <v>3.5373226747692317</v>
      </c>
      <c r="V46">
        <v>12.556123537047469</v>
      </c>
      <c r="W46">
        <v>13.381365383995966</v>
      </c>
      <c r="Y46" t="s">
        <v>35</v>
      </c>
      <c r="Z46">
        <v>0.59619104339742734</v>
      </c>
      <c r="AB46" t="s">
        <v>59</v>
      </c>
    </row>
    <row r="47" spans="2:28" x14ac:dyDescent="0.25">
      <c r="U47">
        <v>2.8748315578692294</v>
      </c>
      <c r="V47">
        <v>12.095438833477848</v>
      </c>
      <c r="W47">
        <v>12.618881744751254</v>
      </c>
      <c r="Y47" t="s">
        <v>36</v>
      </c>
      <c r="Z47">
        <v>0.55948113825173895</v>
      </c>
    </row>
    <row r="48" spans="2:28" x14ac:dyDescent="0.25">
      <c r="U48">
        <v>1.9076068417692387</v>
      </c>
      <c r="V48">
        <v>14.042706115438804</v>
      </c>
      <c r="W48">
        <v>13.718844651656854</v>
      </c>
      <c r="Y48" t="s">
        <v>37</v>
      </c>
      <c r="Z48">
        <v>0.43904716710835978</v>
      </c>
    </row>
    <row r="49" spans="2:33" ht="15.75" thickBot="1" x14ac:dyDescent="0.3">
      <c r="U49">
        <v>2.2880968023692252</v>
      </c>
      <c r="V49">
        <v>14.439498983121398</v>
      </c>
      <c r="W49">
        <v>14.666757922860278</v>
      </c>
      <c r="Y49" s="4" t="s">
        <v>38</v>
      </c>
      <c r="Z49" s="4">
        <v>25</v>
      </c>
    </row>
    <row r="50" spans="2:33" x14ac:dyDescent="0.25">
      <c r="U50">
        <v>1.3046613783592229</v>
      </c>
      <c r="V50">
        <v>12.89746304737835</v>
      </c>
      <c r="W50">
        <v>14.178702680805586</v>
      </c>
    </row>
    <row r="51" spans="2:33" ht="15.75" thickBot="1" x14ac:dyDescent="0.3">
      <c r="U51">
        <v>-0.5079246517307725</v>
      </c>
      <c r="V51">
        <v>14.543681663011697</v>
      </c>
      <c r="W51">
        <v>14.589081689416194</v>
      </c>
      <c r="Y51" t="s">
        <v>39</v>
      </c>
    </row>
    <row r="52" spans="2:33" x14ac:dyDescent="0.25">
      <c r="U52">
        <v>2.1628221249392339</v>
      </c>
      <c r="V52">
        <v>15.36345121439428</v>
      </c>
      <c r="W52">
        <v>14.242615364590851</v>
      </c>
      <c r="Y52" s="5"/>
      <c r="Z52" s="5" t="s">
        <v>44</v>
      </c>
      <c r="AA52" s="5" t="s">
        <v>45</v>
      </c>
      <c r="AB52" s="5" t="s">
        <v>46</v>
      </c>
      <c r="AC52" s="5" t="s">
        <v>47</v>
      </c>
      <c r="AD52" s="5" t="s">
        <v>48</v>
      </c>
    </row>
    <row r="53" spans="2:33" x14ac:dyDescent="0.25">
      <c r="U53">
        <v>2.2741382218892316</v>
      </c>
      <c r="V53">
        <v>14.093056748879375</v>
      </c>
      <c r="W53">
        <v>14.281815056337482</v>
      </c>
      <c r="Y53" t="s">
        <v>40</v>
      </c>
      <c r="Z53">
        <v>2</v>
      </c>
      <c r="AA53">
        <v>6.2611562104723877</v>
      </c>
      <c r="AB53">
        <v>3.1305781052361938</v>
      </c>
      <c r="AC53">
        <v>16.24060430097434</v>
      </c>
      <c r="AD53">
        <v>4.6551686819909345E-5</v>
      </c>
    </row>
    <row r="54" spans="2:33" x14ac:dyDescent="0.25">
      <c r="U54">
        <v>3.1445083440692292</v>
      </c>
      <c r="V54">
        <v>13.68337396682881</v>
      </c>
      <c r="W54">
        <v>14.654509933326345</v>
      </c>
      <c r="Y54" t="s">
        <v>41</v>
      </c>
      <c r="Z54">
        <v>22</v>
      </c>
      <c r="AA54">
        <v>4.2407731288092716</v>
      </c>
      <c r="AB54">
        <v>0.19276241494587598</v>
      </c>
    </row>
    <row r="55" spans="2:33" ht="15.75" thickBot="1" x14ac:dyDescent="0.3">
      <c r="U55">
        <v>2.8559780762592273</v>
      </c>
      <c r="V55">
        <v>13.880286171903732</v>
      </c>
      <c r="W55">
        <v>13.890094489292126</v>
      </c>
      <c r="Y55" s="4" t="s">
        <v>42</v>
      </c>
      <c r="Z55" s="4">
        <v>24</v>
      </c>
      <c r="AA55" s="4">
        <v>10.501929339281659</v>
      </c>
      <c r="AB55" s="4"/>
      <c r="AC55" s="4"/>
      <c r="AD55" s="4"/>
    </row>
    <row r="56" spans="2:33" ht="15.75" thickBot="1" x14ac:dyDescent="0.3">
      <c r="U56">
        <v>2.1367981933692386</v>
      </c>
      <c r="V56">
        <v>14.05817907065061</v>
      </c>
      <c r="W56">
        <v>13.743321301321949</v>
      </c>
    </row>
    <row r="57" spans="2:33" x14ac:dyDescent="0.25">
      <c r="U57">
        <v>2.994733051169236</v>
      </c>
      <c r="V57">
        <v>13.861651036228389</v>
      </c>
      <c r="W57">
        <v>14.363133589473669</v>
      </c>
      <c r="Y57" s="5"/>
      <c r="Z57" s="5" t="s">
        <v>49</v>
      </c>
      <c r="AA57" s="5" t="s">
        <v>37</v>
      </c>
      <c r="AB57" s="5" t="s">
        <v>50</v>
      </c>
      <c r="AC57" s="5" t="s">
        <v>51</v>
      </c>
      <c r="AD57" s="5" t="s">
        <v>52</v>
      </c>
      <c r="AE57" s="5" t="s">
        <v>53</v>
      </c>
      <c r="AF57" s="5" t="s">
        <v>54</v>
      </c>
      <c r="AG57" s="5" t="s">
        <v>55</v>
      </c>
    </row>
    <row r="58" spans="2:33" x14ac:dyDescent="0.25">
      <c r="U58">
        <v>3.3148665312692316</v>
      </c>
      <c r="V58">
        <v>12.838114096161991</v>
      </c>
      <c r="W58">
        <v>12.667456290192639</v>
      </c>
      <c r="Y58" t="s">
        <v>43</v>
      </c>
      <c r="Z58">
        <v>6.4429855383277292</v>
      </c>
      <c r="AA58">
        <v>2.0313807437295561</v>
      </c>
      <c r="AB58">
        <v>3.1717271900976054</v>
      </c>
      <c r="AC58">
        <v>4.4163732835511031E-3</v>
      </c>
      <c r="AD58">
        <v>2.2301597232481534</v>
      </c>
      <c r="AE58">
        <v>10.655811353407305</v>
      </c>
      <c r="AF58">
        <v>2.2301597232481534</v>
      </c>
      <c r="AG58">
        <v>10.655811353407305</v>
      </c>
    </row>
    <row r="59" spans="2:33" x14ac:dyDescent="0.25">
      <c r="U59">
        <v>2.6100064923692252</v>
      </c>
      <c r="V59">
        <v>13.269565750391141</v>
      </c>
      <c r="W59">
        <v>13.579970216671891</v>
      </c>
      <c r="Y59" t="s">
        <v>56</v>
      </c>
      <c r="Z59">
        <v>3.1650299934313175E-2</v>
      </c>
      <c r="AA59">
        <v>9.7822621920551606E-2</v>
      </c>
      <c r="AB59">
        <v>0.32354785951268544</v>
      </c>
      <c r="AC59" s="1">
        <v>0.74933590825227636</v>
      </c>
      <c r="AD59">
        <v>-0.17122140109847678</v>
      </c>
      <c r="AE59">
        <v>0.23452200096710313</v>
      </c>
      <c r="AF59">
        <v>-0.17122140109847678</v>
      </c>
      <c r="AG59">
        <v>0.23452200096710313</v>
      </c>
    </row>
    <row r="60" spans="2:33" ht="15.75" thickBot="1" x14ac:dyDescent="0.3">
      <c r="U60">
        <v>1.4034630548992453</v>
      </c>
      <c r="V60">
        <v>14.82290859937471</v>
      </c>
      <c r="W60">
        <v>14.551469008881927</v>
      </c>
      <c r="Y60" s="4" t="s">
        <v>57</v>
      </c>
      <c r="Z60" s="4">
        <v>0.54276008311427026</v>
      </c>
      <c r="AA60" s="4">
        <v>0.13388452767570014</v>
      </c>
      <c r="AB60" s="4">
        <v>4.0539417999738028</v>
      </c>
      <c r="AC60" s="7">
        <v>5.2880567824747004E-4</v>
      </c>
      <c r="AD60" s="4">
        <v>0.26510056695858458</v>
      </c>
      <c r="AE60" s="4">
        <v>0.82041959926995589</v>
      </c>
      <c r="AF60" s="4">
        <v>0.26510056695858458</v>
      </c>
      <c r="AG60" s="4">
        <v>0.82041959926995589</v>
      </c>
    </row>
    <row r="61" spans="2:33" x14ac:dyDescent="0.25">
      <c r="U61">
        <v>-3.0684870940772491E-2</v>
      </c>
      <c r="V61">
        <v>15.062707781522219</v>
      </c>
      <c r="W61">
        <v>14.274826487471008</v>
      </c>
    </row>
    <row r="62" spans="2:33" x14ac:dyDescent="0.25">
      <c r="B62" t="s">
        <v>24</v>
      </c>
      <c r="E62">
        <v>2.532</v>
      </c>
      <c r="F62" t="s">
        <v>22</v>
      </c>
      <c r="H62" t="s">
        <v>16</v>
      </c>
      <c r="I62">
        <f>C63+B63*E62</f>
        <v>13.982143200000001</v>
      </c>
      <c r="J62" s="1">
        <f>EXP(I62)</f>
        <v>1181320.2181974</v>
      </c>
      <c r="K62" t="s">
        <v>23</v>
      </c>
      <c r="U62">
        <v>-3.6238594620772724E-2</v>
      </c>
      <c r="V62">
        <v>15.16630898985337</v>
      </c>
      <c r="W62">
        <v>14.512874357030462</v>
      </c>
      <c r="AC62" t="s">
        <v>60</v>
      </c>
    </row>
    <row r="63" spans="2:33" x14ac:dyDescent="0.25">
      <c r="B63">
        <v>-0.16739999999999999</v>
      </c>
      <c r="C63">
        <v>14.406000000000001</v>
      </c>
      <c r="U63">
        <v>0.6355308827592252</v>
      </c>
      <c r="V63">
        <v>14.769552602230549</v>
      </c>
      <c r="W63">
        <v>14.270730126534731</v>
      </c>
    </row>
    <row r="64" spans="2:33" x14ac:dyDescent="0.25">
      <c r="U64">
        <v>2.0574152523692271</v>
      </c>
      <c r="V64">
        <v>14.447077893556033</v>
      </c>
      <c r="W64">
        <v>14.284593966000836</v>
      </c>
    </row>
    <row r="65" spans="21:24" x14ac:dyDescent="0.25">
      <c r="U65">
        <v>0.16846339816923617</v>
      </c>
      <c r="V65">
        <v>14.920423944341941</v>
      </c>
      <c r="W65">
        <v>14.904491505019235</v>
      </c>
    </row>
    <row r="66" spans="21:24" x14ac:dyDescent="0.25">
      <c r="U66">
        <v>0.94188844476923839</v>
      </c>
      <c r="V66">
        <v>15.716925124028718</v>
      </c>
      <c r="W66">
        <v>15.531548371694265</v>
      </c>
    </row>
    <row r="67" spans="21:24" x14ac:dyDescent="0.25">
      <c r="U67">
        <v>3.013470621229243</v>
      </c>
      <c r="V67">
        <v>13.974026091100617</v>
      </c>
      <c r="W67">
        <v>14.677110299179809</v>
      </c>
    </row>
    <row r="68" spans="21:24" x14ac:dyDescent="0.25">
      <c r="U68">
        <v>4.3843827266992443</v>
      </c>
      <c r="V68">
        <v>12.880609635624333</v>
      </c>
      <c r="W68">
        <v>13.35773077814296</v>
      </c>
    </row>
    <row r="69" spans="21:24" x14ac:dyDescent="0.25">
      <c r="U69" s="2">
        <v>2.5315232330692252</v>
      </c>
      <c r="V69">
        <v>15.641025890731498</v>
      </c>
      <c r="W69">
        <f>$Z$58+U69*Z59+V69*Z60</f>
        <v>15.012433520390934</v>
      </c>
      <c r="X69" s="1">
        <f>EXP(W69)</f>
        <v>3309916.4998079794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4AA5-F164-4EA8-BBC4-C87FC2E3EE57}">
  <dimension ref="A1:U227"/>
  <sheetViews>
    <sheetView tabSelected="1" topLeftCell="A192" workbookViewId="0">
      <selection activeCell="F3" sqref="F3:Q65"/>
    </sheetView>
  </sheetViews>
  <sheetFormatPr defaultRowHeight="15" x14ac:dyDescent="0.25"/>
  <cols>
    <col min="5" max="5" width="11.5703125" bestFit="1" customWidth="1"/>
    <col min="6" max="9" width="9.28515625" bestFit="1" customWidth="1"/>
    <col min="10" max="10" width="9.7109375" customWidth="1"/>
    <col min="11" max="11" width="9.5703125" bestFit="1" customWidth="1"/>
    <col min="12" max="13" width="10.5703125" bestFit="1" customWidth="1"/>
    <col min="14" max="15" width="9.28515625" bestFit="1" customWidth="1"/>
    <col min="16" max="16" width="10.7109375" bestFit="1" customWidth="1"/>
    <col min="17" max="18" width="10.5703125" bestFit="1" customWidth="1"/>
    <col min="19" max="23" width="9.28515625" bestFit="1" customWidth="1"/>
  </cols>
  <sheetData>
    <row r="1" spans="1:18" x14ac:dyDescent="0.25">
      <c r="A1" t="s">
        <v>61</v>
      </c>
      <c r="B1" t="s">
        <v>62</v>
      </c>
    </row>
    <row r="2" spans="1:18" x14ac:dyDescent="0.25">
      <c r="B2" s="8"/>
      <c r="C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B3" s="8"/>
      <c r="C3" s="8" t="s">
        <v>63</v>
      </c>
    </row>
    <row r="4" spans="1:18" x14ac:dyDescent="0.25">
      <c r="B4" s="8" t="s">
        <v>64</v>
      </c>
      <c r="C4" s="8" t="s">
        <v>65</v>
      </c>
      <c r="D4" t="s">
        <v>66</v>
      </c>
      <c r="E4" t="s">
        <v>67</v>
      </c>
    </row>
    <row r="5" spans="1:18" x14ac:dyDescent="0.25">
      <c r="B5">
        <v>1963</v>
      </c>
      <c r="C5">
        <v>679649.32328790205</v>
      </c>
      <c r="D5">
        <f t="shared" ref="D5:D66" si="0">LN(C5)</f>
        <v>13.429332243085568</v>
      </c>
    </row>
    <row r="6" spans="1:18" x14ac:dyDescent="0.25">
      <c r="B6">
        <v>1964</v>
      </c>
      <c r="C6">
        <v>1305818.3161246199</v>
      </c>
      <c r="D6">
        <f t="shared" si="0"/>
        <v>14.082340464382062</v>
      </c>
      <c r="E6">
        <f>D6-D5</f>
        <v>0.65300822129649383</v>
      </c>
    </row>
    <row r="7" spans="1:18" x14ac:dyDescent="0.25">
      <c r="B7">
        <v>1965</v>
      </c>
      <c r="C7">
        <v>2884254.35071031</v>
      </c>
      <c r="D7">
        <f t="shared" si="0"/>
        <v>14.874776967225708</v>
      </c>
      <c r="E7">
        <f t="shared" ref="E7:E66" si="1">D7-D6</f>
        <v>0.7924365028436462</v>
      </c>
    </row>
    <row r="8" spans="1:18" x14ac:dyDescent="0.25">
      <c r="B8">
        <v>1966</v>
      </c>
      <c r="C8">
        <v>1373739.2772935</v>
      </c>
      <c r="D8">
        <f t="shared" si="0"/>
        <v>14.133046979241662</v>
      </c>
      <c r="E8">
        <f t="shared" si="1"/>
        <v>-0.74172998798404599</v>
      </c>
    </row>
    <row r="9" spans="1:18" ht="15.75" thickBot="1" x14ac:dyDescent="0.3">
      <c r="B9">
        <v>1967</v>
      </c>
      <c r="C9">
        <v>440092.79618413298</v>
      </c>
      <c r="D9" s="4">
        <f t="shared" si="0"/>
        <v>12.994740884076561</v>
      </c>
      <c r="E9" s="4">
        <f t="shared" si="1"/>
        <v>-1.1383060951651007</v>
      </c>
      <c r="F9" s="4"/>
      <c r="G9" s="4"/>
      <c r="H9" s="4"/>
      <c r="I9" s="4"/>
      <c r="J9" s="4"/>
    </row>
    <row r="10" spans="1:18" x14ac:dyDescent="0.25">
      <c r="B10">
        <v>1968</v>
      </c>
      <c r="C10">
        <v>149356.41899907199</v>
      </c>
      <c r="D10">
        <f t="shared" si="0"/>
        <v>11.91409080229262</v>
      </c>
      <c r="E10">
        <f t="shared" si="1"/>
        <v>-1.0806500817839417</v>
      </c>
    </row>
    <row r="11" spans="1:18" x14ac:dyDescent="0.25">
      <c r="B11">
        <v>1969</v>
      </c>
      <c r="C11">
        <v>301894.30168680398</v>
      </c>
      <c r="D11">
        <f t="shared" si="0"/>
        <v>12.61783224068011</v>
      </c>
      <c r="E11">
        <f t="shared" si="1"/>
        <v>0.7037414383874907</v>
      </c>
    </row>
    <row r="12" spans="1:18" x14ac:dyDescent="0.25">
      <c r="B12">
        <v>1970</v>
      </c>
      <c r="C12">
        <v>1052934.46118651</v>
      </c>
      <c r="D12">
        <f t="shared" si="0"/>
        <v>13.867091549090333</v>
      </c>
      <c r="E12">
        <f t="shared" si="1"/>
        <v>1.2492593084102221</v>
      </c>
    </row>
    <row r="13" spans="1:18" x14ac:dyDescent="0.25">
      <c r="B13">
        <v>1971</v>
      </c>
      <c r="C13">
        <v>1774596.3914392099</v>
      </c>
      <c r="D13">
        <f t="shared" si="0"/>
        <v>14.389083569931071</v>
      </c>
      <c r="E13">
        <f t="shared" si="1"/>
        <v>0.52199202084073804</v>
      </c>
    </row>
    <row r="14" spans="1:18" x14ac:dyDescent="0.25">
      <c r="B14">
        <v>1972</v>
      </c>
      <c r="C14">
        <v>131748.183571503</v>
      </c>
      <c r="D14">
        <f t="shared" si="0"/>
        <v>11.788647679375005</v>
      </c>
      <c r="E14">
        <f t="shared" si="1"/>
        <v>-2.6004358905560654</v>
      </c>
    </row>
    <row r="15" spans="1:18" x14ac:dyDescent="0.25">
      <c r="B15">
        <v>1973</v>
      </c>
      <c r="C15">
        <v>63411.413714861897</v>
      </c>
      <c r="D15">
        <f t="shared" si="0"/>
        <v>11.057399151270689</v>
      </c>
      <c r="E15">
        <f t="shared" si="1"/>
        <v>-0.73124852810431662</v>
      </c>
    </row>
    <row r="16" spans="1:18" x14ac:dyDescent="0.25">
      <c r="B16">
        <v>1974</v>
      </c>
      <c r="C16">
        <v>66751.5754273028</v>
      </c>
      <c r="D16">
        <f t="shared" si="0"/>
        <v>11.108733177891134</v>
      </c>
      <c r="E16">
        <f t="shared" si="1"/>
        <v>5.1334026620445172E-2</v>
      </c>
    </row>
    <row r="17" spans="2:10" x14ac:dyDescent="0.25">
      <c r="B17">
        <v>1975</v>
      </c>
      <c r="C17">
        <v>525564.69407690503</v>
      </c>
      <c r="D17">
        <f t="shared" si="0"/>
        <v>13.172228571287729</v>
      </c>
      <c r="E17">
        <f t="shared" si="1"/>
        <v>2.0634953933965949</v>
      </c>
    </row>
    <row r="18" spans="2:10" x14ac:dyDescent="0.25">
      <c r="B18">
        <v>1976</v>
      </c>
      <c r="C18">
        <v>618700.61883566203</v>
      </c>
      <c r="D18">
        <f t="shared" si="0"/>
        <v>13.33537678173785</v>
      </c>
      <c r="E18">
        <f t="shared" si="1"/>
        <v>0.16314821045012096</v>
      </c>
    </row>
    <row r="19" spans="2:10" x14ac:dyDescent="0.25">
      <c r="B19">
        <v>1977</v>
      </c>
      <c r="C19">
        <v>429697.41251012101</v>
      </c>
      <c r="D19">
        <f t="shared" si="0"/>
        <v>12.970836548125503</v>
      </c>
      <c r="E19">
        <f t="shared" si="1"/>
        <v>-0.36454023361234711</v>
      </c>
    </row>
    <row r="20" spans="2:10" x14ac:dyDescent="0.25">
      <c r="B20">
        <v>1978</v>
      </c>
      <c r="C20">
        <v>97115.015037604302</v>
      </c>
      <c r="D20">
        <f t="shared" si="0"/>
        <v>11.483651277109493</v>
      </c>
      <c r="E20">
        <f t="shared" si="1"/>
        <v>-1.4871852710160098</v>
      </c>
    </row>
    <row r="21" spans="2:10" x14ac:dyDescent="0.25">
      <c r="B21">
        <v>1979</v>
      </c>
      <c r="C21">
        <v>2286731.6207001</v>
      </c>
      <c r="D21" s="9">
        <f t="shared" si="0"/>
        <v>14.642634116184508</v>
      </c>
      <c r="E21" s="9">
        <f t="shared" si="1"/>
        <v>3.1589828390750156</v>
      </c>
      <c r="F21" s="9"/>
      <c r="G21" s="9"/>
      <c r="H21" s="9"/>
      <c r="I21" s="9"/>
      <c r="J21" s="9"/>
    </row>
    <row r="22" spans="2:10" x14ac:dyDescent="0.25">
      <c r="B22">
        <v>1980</v>
      </c>
      <c r="C22">
        <v>4642573.2390397303</v>
      </c>
      <c r="D22">
        <f t="shared" si="0"/>
        <v>15.350779347860486</v>
      </c>
      <c r="E22">
        <f t="shared" si="1"/>
        <v>0.70814523167597798</v>
      </c>
    </row>
    <row r="23" spans="2:10" x14ac:dyDescent="0.25">
      <c r="B23">
        <v>1981</v>
      </c>
      <c r="C23">
        <v>4078237.4770940002</v>
      </c>
      <c r="D23">
        <f t="shared" si="0"/>
        <v>15.221175462137058</v>
      </c>
      <c r="E23">
        <f t="shared" si="1"/>
        <v>-0.12960388572342829</v>
      </c>
    </row>
    <row r="24" spans="2:10" x14ac:dyDescent="0.25">
      <c r="B24">
        <v>1982</v>
      </c>
      <c r="C24">
        <v>2682649.72529</v>
      </c>
      <c r="D24">
        <f t="shared" si="0"/>
        <v>14.80231556750811</v>
      </c>
      <c r="E24">
        <f t="shared" si="1"/>
        <v>-0.41885989462894813</v>
      </c>
    </row>
    <row r="25" spans="2:10" x14ac:dyDescent="0.25">
      <c r="B25">
        <v>1983</v>
      </c>
      <c r="C25">
        <v>4148448.4178430098</v>
      </c>
      <c r="D25">
        <f t="shared" si="0"/>
        <v>15.238244947079565</v>
      </c>
      <c r="E25">
        <f t="shared" si="1"/>
        <v>0.43592937957145494</v>
      </c>
    </row>
    <row r="26" spans="2:10" x14ac:dyDescent="0.25">
      <c r="B26">
        <v>1984</v>
      </c>
      <c r="C26">
        <v>4166991.7221367098</v>
      </c>
      <c r="D26">
        <f t="shared" si="0"/>
        <v>15.242704923874349</v>
      </c>
      <c r="E26">
        <f t="shared" si="1"/>
        <v>4.4599767947843816E-3</v>
      </c>
    </row>
    <row r="27" spans="2:10" x14ac:dyDescent="0.25">
      <c r="B27">
        <v>1985</v>
      </c>
      <c r="C27">
        <v>7940798.1978010098</v>
      </c>
      <c r="D27">
        <f t="shared" si="0"/>
        <v>15.887524356860952</v>
      </c>
      <c r="E27">
        <f t="shared" si="1"/>
        <v>0.64481943298660305</v>
      </c>
    </row>
    <row r="28" spans="2:10" x14ac:dyDescent="0.25">
      <c r="B28">
        <v>1986</v>
      </c>
      <c r="C28">
        <v>6727273.69714831</v>
      </c>
      <c r="D28">
        <f t="shared" si="0"/>
        <v>15.721680522540758</v>
      </c>
      <c r="E28">
        <f t="shared" si="1"/>
        <v>-0.16584383432019401</v>
      </c>
    </row>
    <row r="29" spans="2:10" x14ac:dyDescent="0.25">
      <c r="B29">
        <v>1987</v>
      </c>
      <c r="C29">
        <v>2910012.7073079101</v>
      </c>
      <c r="D29">
        <f t="shared" si="0"/>
        <v>14.883668005910618</v>
      </c>
      <c r="E29">
        <f t="shared" si="1"/>
        <v>-0.83801251663014042</v>
      </c>
    </row>
    <row r="30" spans="2:10" x14ac:dyDescent="0.25">
      <c r="B30">
        <v>1988</v>
      </c>
      <c r="C30">
        <v>2155143.2115787002</v>
      </c>
      <c r="D30">
        <f t="shared" si="0"/>
        <v>14.583367734800873</v>
      </c>
      <c r="E30">
        <f t="shared" si="1"/>
        <v>-0.30030027110974444</v>
      </c>
    </row>
    <row r="31" spans="2:10" x14ac:dyDescent="0.25">
      <c r="B31">
        <v>1989</v>
      </c>
      <c r="C31">
        <v>5363340.0711695198</v>
      </c>
      <c r="D31">
        <f t="shared" si="0"/>
        <v>15.495097486577389</v>
      </c>
      <c r="E31">
        <f t="shared" si="1"/>
        <v>0.91172975177651594</v>
      </c>
    </row>
    <row r="32" spans="2:10" x14ac:dyDescent="0.25">
      <c r="B32">
        <v>1990</v>
      </c>
      <c r="C32">
        <v>2712617.4381446401</v>
      </c>
      <c r="D32">
        <f t="shared" si="0"/>
        <v>14.813424571062175</v>
      </c>
      <c r="E32">
        <f t="shared" si="1"/>
        <v>-0.68167291551521458</v>
      </c>
    </row>
    <row r="33" spans="2:5" x14ac:dyDescent="0.25">
      <c r="B33">
        <v>1991</v>
      </c>
      <c r="C33">
        <v>5959036.3939711098</v>
      </c>
      <c r="D33">
        <f t="shared" si="0"/>
        <v>15.600419347106188</v>
      </c>
      <c r="E33">
        <f t="shared" si="1"/>
        <v>0.78699477604401302</v>
      </c>
    </row>
    <row r="34" spans="2:5" x14ac:dyDescent="0.25">
      <c r="B34">
        <v>1992</v>
      </c>
      <c r="C34">
        <v>6341238.5733270096</v>
      </c>
      <c r="D34">
        <f t="shared" si="0"/>
        <v>15.662584665902337</v>
      </c>
      <c r="E34">
        <f t="shared" si="1"/>
        <v>6.2165318796148838E-2</v>
      </c>
    </row>
    <row r="35" spans="2:5" x14ac:dyDescent="0.25">
      <c r="B35">
        <v>1993</v>
      </c>
      <c r="C35">
        <v>6216697.5914543197</v>
      </c>
      <c r="D35">
        <f t="shared" si="0"/>
        <v>15.642749389870289</v>
      </c>
      <c r="E35">
        <f t="shared" si="1"/>
        <v>-1.9835276032047489E-2</v>
      </c>
    </row>
    <row r="36" spans="2:5" x14ac:dyDescent="0.25">
      <c r="B36">
        <v>1994</v>
      </c>
      <c r="C36">
        <v>5569971.2442278098</v>
      </c>
      <c r="D36">
        <f t="shared" si="0"/>
        <v>15.532900449273948</v>
      </c>
      <c r="E36">
        <f t="shared" si="1"/>
        <v>-0.10984894059634165</v>
      </c>
    </row>
    <row r="37" spans="2:5" x14ac:dyDescent="0.25">
      <c r="B37">
        <v>1995</v>
      </c>
      <c r="C37">
        <v>5912957.9996541096</v>
      </c>
      <c r="D37">
        <f t="shared" si="0"/>
        <v>15.592656771725839</v>
      </c>
      <c r="E37">
        <f t="shared" si="1"/>
        <v>5.9756322451891108E-2</v>
      </c>
    </row>
    <row r="38" spans="2:5" x14ac:dyDescent="0.25">
      <c r="B38">
        <v>1996</v>
      </c>
      <c r="C38">
        <v>5370652.68109689</v>
      </c>
      <c r="D38">
        <f t="shared" si="0"/>
        <v>15.496460001203108</v>
      </c>
      <c r="E38">
        <f t="shared" si="1"/>
        <v>-9.6196770522730901E-2</v>
      </c>
    </row>
    <row r="39" spans="2:5" x14ac:dyDescent="0.25">
      <c r="B39">
        <v>1997</v>
      </c>
      <c r="C39">
        <v>2508751.3482519099</v>
      </c>
      <c r="D39">
        <f t="shared" si="0"/>
        <v>14.735295716512335</v>
      </c>
      <c r="E39">
        <f t="shared" si="1"/>
        <v>-0.76116428469077313</v>
      </c>
    </row>
    <row r="40" spans="2:5" x14ac:dyDescent="0.25">
      <c r="B40">
        <v>1998</v>
      </c>
      <c r="C40">
        <v>1892274.6178445001</v>
      </c>
      <c r="D40">
        <f t="shared" si="0"/>
        <v>14.453290164913449</v>
      </c>
      <c r="E40">
        <f t="shared" si="1"/>
        <v>-0.28200555159888552</v>
      </c>
    </row>
    <row r="41" spans="2:5" x14ac:dyDescent="0.25">
      <c r="B41">
        <v>1999</v>
      </c>
      <c r="C41">
        <v>5223880.8060380099</v>
      </c>
      <c r="D41">
        <f t="shared" si="0"/>
        <v>15.468751133069757</v>
      </c>
      <c r="E41">
        <f t="shared" si="1"/>
        <v>1.015460968156308</v>
      </c>
    </row>
    <row r="42" spans="2:5" x14ac:dyDescent="0.25">
      <c r="B42">
        <v>2000</v>
      </c>
      <c r="C42">
        <v>2300098.28830051</v>
      </c>
      <c r="D42">
        <f t="shared" si="0"/>
        <v>14.648462414030005</v>
      </c>
      <c r="E42">
        <f t="shared" si="1"/>
        <v>-0.82028871903975187</v>
      </c>
    </row>
    <row r="43" spans="2:5" x14ac:dyDescent="0.25">
      <c r="B43">
        <v>2001</v>
      </c>
      <c r="C43">
        <v>1467574.96215954</v>
      </c>
      <c r="D43">
        <f t="shared" si="0"/>
        <v>14.199121910919493</v>
      </c>
      <c r="E43">
        <f t="shared" si="1"/>
        <v>-0.44934050311051266</v>
      </c>
    </row>
    <row r="44" spans="2:5" x14ac:dyDescent="0.25">
      <c r="B44">
        <v>2002</v>
      </c>
      <c r="C44">
        <v>2499048.61228676</v>
      </c>
      <c r="D44">
        <f t="shared" si="0"/>
        <v>14.73142066232367</v>
      </c>
      <c r="E44">
        <f t="shared" si="1"/>
        <v>0.53229875140417704</v>
      </c>
    </row>
    <row r="45" spans="2:5" x14ac:dyDescent="0.25">
      <c r="B45">
        <v>2003</v>
      </c>
      <c r="C45">
        <v>2540239.7886111098</v>
      </c>
      <c r="D45">
        <f t="shared" si="0"/>
        <v>14.747769039503854</v>
      </c>
      <c r="E45">
        <f t="shared" si="1"/>
        <v>1.634837718018467E-2</v>
      </c>
    </row>
    <row r="46" spans="2:5" x14ac:dyDescent="0.25">
      <c r="B46">
        <v>2004</v>
      </c>
      <c r="C46">
        <v>4202828.2551759901</v>
      </c>
      <c r="D46">
        <f t="shared" si="0"/>
        <v>15.251268250715052</v>
      </c>
      <c r="E46">
        <f t="shared" si="1"/>
        <v>0.50349921121119756</v>
      </c>
    </row>
    <row r="47" spans="2:5" x14ac:dyDescent="0.25">
      <c r="B47">
        <v>2005</v>
      </c>
      <c r="C47">
        <v>3090001.9499975001</v>
      </c>
      <c r="D47">
        <f t="shared" si="0"/>
        <v>14.943682279940882</v>
      </c>
      <c r="E47">
        <f t="shared" si="1"/>
        <v>-0.30758597077416994</v>
      </c>
    </row>
    <row r="48" spans="2:5" x14ac:dyDescent="0.25">
      <c r="B48">
        <v>2006</v>
      </c>
      <c r="C48">
        <v>3779176.1272774199</v>
      </c>
      <c r="D48">
        <f t="shared" si="0"/>
        <v>15.145016588093251</v>
      </c>
      <c r="E48">
        <f t="shared" si="1"/>
        <v>0.20133430815236864</v>
      </c>
    </row>
    <row r="49" spans="1:5" x14ac:dyDescent="0.25">
      <c r="B49">
        <v>2007</v>
      </c>
      <c r="C49">
        <v>7399703.2445900096</v>
      </c>
      <c r="D49">
        <f t="shared" si="0"/>
        <v>15.816950455287857</v>
      </c>
      <c r="E49">
        <f t="shared" si="1"/>
        <v>0.6719338671946069</v>
      </c>
    </row>
    <row r="50" spans="1:5" x14ac:dyDescent="0.25">
      <c r="B50">
        <v>2008</v>
      </c>
      <c r="C50">
        <v>2930788.3040827699</v>
      </c>
      <c r="D50">
        <f t="shared" si="0"/>
        <v>14.890781990568966</v>
      </c>
      <c r="E50">
        <f t="shared" si="1"/>
        <v>-0.92616846471889147</v>
      </c>
    </row>
    <row r="51" spans="1:5" x14ac:dyDescent="0.25">
      <c r="B51">
        <v>2009</v>
      </c>
      <c r="C51">
        <v>3851254.22251001</v>
      </c>
      <c r="D51">
        <f t="shared" si="0"/>
        <v>15.163909425292287</v>
      </c>
      <c r="E51">
        <f t="shared" si="1"/>
        <v>0.27312743472332102</v>
      </c>
    </row>
    <row r="52" spans="1:5" x14ac:dyDescent="0.25">
      <c r="B52">
        <v>2010</v>
      </c>
      <c r="C52">
        <v>4988743.50052201</v>
      </c>
      <c r="D52">
        <f t="shared" si="0"/>
        <v>15.422694632517274</v>
      </c>
      <c r="E52">
        <f t="shared" si="1"/>
        <v>0.25878520722498699</v>
      </c>
    </row>
    <row r="53" spans="1:5" x14ac:dyDescent="0.25">
      <c r="B53">
        <v>2011</v>
      </c>
      <c r="C53">
        <v>4203387.3276987104</v>
      </c>
      <c r="D53">
        <f t="shared" si="0"/>
        <v>15.251401264796844</v>
      </c>
      <c r="E53">
        <f t="shared" si="1"/>
        <v>-0.17129336772043047</v>
      </c>
    </row>
    <row r="54" spans="1:5" x14ac:dyDescent="0.25">
      <c r="B54">
        <v>2012</v>
      </c>
      <c r="C54">
        <v>2922090.7856151802</v>
      </c>
      <c r="D54">
        <f t="shared" si="0"/>
        <v>14.887809940493627</v>
      </c>
      <c r="E54">
        <f t="shared" si="1"/>
        <v>-0.36359132430321672</v>
      </c>
    </row>
    <row r="55" spans="1:5" x14ac:dyDescent="0.25">
      <c r="B55">
        <v>2013</v>
      </c>
      <c r="C55">
        <v>2634359.7027942701</v>
      </c>
      <c r="D55">
        <f t="shared" si="0"/>
        <v>14.784150713387012</v>
      </c>
      <c r="E55">
        <f t="shared" si="1"/>
        <v>-0.10365922710661479</v>
      </c>
    </row>
    <row r="56" spans="1:5" x14ac:dyDescent="0.25">
      <c r="B56">
        <v>2014</v>
      </c>
      <c r="C56">
        <v>1154655.58746349</v>
      </c>
      <c r="D56">
        <f t="shared" si="0"/>
        <v>13.959312664797453</v>
      </c>
      <c r="E56">
        <f t="shared" si="1"/>
        <v>-0.82483804858955878</v>
      </c>
    </row>
    <row r="57" spans="1:5" x14ac:dyDescent="0.25">
      <c r="B57">
        <v>2015</v>
      </c>
      <c r="C57">
        <v>4248857.7875473304</v>
      </c>
      <c r="D57">
        <f t="shared" si="0"/>
        <v>15.262160748908052</v>
      </c>
      <c r="E57">
        <f t="shared" si="1"/>
        <v>1.3028480841105985</v>
      </c>
    </row>
    <row r="58" spans="1:5" x14ac:dyDescent="0.25">
      <c r="B58">
        <v>2016</v>
      </c>
      <c r="C58">
        <v>7192817.5043510096</v>
      </c>
      <c r="D58">
        <f t="shared" si="0"/>
        <v>15.788593517243195</v>
      </c>
      <c r="E58">
        <f t="shared" si="1"/>
        <v>0.52643276833514285</v>
      </c>
    </row>
    <row r="59" spans="1:5" x14ac:dyDescent="0.25">
      <c r="B59">
        <v>2017</v>
      </c>
      <c r="C59">
        <v>6672737.54143121</v>
      </c>
      <c r="D59">
        <f t="shared" si="0"/>
        <v>15.713540759691774</v>
      </c>
      <c r="E59">
        <f t="shared" si="1"/>
        <v>-7.5052757551420157E-2</v>
      </c>
    </row>
    <row r="60" spans="1:5" x14ac:dyDescent="0.25">
      <c r="B60">
        <v>2018</v>
      </c>
      <c r="C60">
        <v>4770222.7644165801</v>
      </c>
      <c r="D60">
        <f t="shared" si="0"/>
        <v>15.377903562909612</v>
      </c>
      <c r="E60">
        <f t="shared" si="1"/>
        <v>-0.33563719678216231</v>
      </c>
    </row>
    <row r="61" spans="1:5" x14ac:dyDescent="0.25">
      <c r="B61">
        <v>2019</v>
      </c>
      <c r="C61">
        <v>3604963.0530481199</v>
      </c>
      <c r="D61">
        <f t="shared" si="0"/>
        <v>15.097822079840933</v>
      </c>
      <c r="E61">
        <f t="shared" si="1"/>
        <v>-0.2800814830686793</v>
      </c>
    </row>
    <row r="62" spans="1:5" x14ac:dyDescent="0.25">
      <c r="A62" s="10"/>
      <c r="B62">
        <v>2020</v>
      </c>
      <c r="C62">
        <v>5078613.9749050001</v>
      </c>
      <c r="D62">
        <f t="shared" si="0"/>
        <v>15.440548942741543</v>
      </c>
      <c r="E62">
        <f t="shared" si="1"/>
        <v>0.34272686290061039</v>
      </c>
    </row>
    <row r="63" spans="1:5" x14ac:dyDescent="0.25">
      <c r="A63" s="10"/>
      <c r="B63">
        <v>2021</v>
      </c>
      <c r="C63">
        <v>10860143.501326101</v>
      </c>
      <c r="D63">
        <f t="shared" si="0"/>
        <v>16.200610086132865</v>
      </c>
      <c r="E63">
        <f t="shared" si="1"/>
        <v>0.76006114339132225</v>
      </c>
    </row>
    <row r="64" spans="1:5" x14ac:dyDescent="0.25">
      <c r="A64" s="10"/>
      <c r="B64">
        <v>2022</v>
      </c>
      <c r="C64">
        <v>7531752.0894673998</v>
      </c>
      <c r="D64">
        <f t="shared" si="0"/>
        <v>15.834638253914173</v>
      </c>
      <c r="E64">
        <f t="shared" si="1"/>
        <v>-0.36597183221869223</v>
      </c>
    </row>
    <row r="65" spans="1:19" x14ac:dyDescent="0.25">
      <c r="A65" s="10"/>
      <c r="B65">
        <v>2023</v>
      </c>
      <c r="C65">
        <v>4378218.5745872697</v>
      </c>
      <c r="D65">
        <f t="shared" si="0"/>
        <v>15.292152481489616</v>
      </c>
      <c r="E65">
        <f t="shared" si="1"/>
        <v>-0.54248577242455731</v>
      </c>
    </row>
    <row r="66" spans="1:19" x14ac:dyDescent="0.25">
      <c r="A66" s="10"/>
      <c r="B66">
        <v>2024</v>
      </c>
      <c r="C66" s="10">
        <v>7955574.46845177</v>
      </c>
      <c r="D66">
        <f t="shared" si="0"/>
        <v>15.889383431911185</v>
      </c>
      <c r="E66">
        <f t="shared" si="1"/>
        <v>0.59723095042156871</v>
      </c>
      <c r="F66">
        <f t="shared" ref="F7:F66" si="2">D65</f>
        <v>15.292152481489616</v>
      </c>
      <c r="G66">
        <f t="shared" ref="G8:G66" si="3">D64</f>
        <v>15.834638253914173</v>
      </c>
      <c r="H66">
        <f t="shared" ref="H9:H66" si="4">D63</f>
        <v>16.200610086132865</v>
      </c>
      <c r="I66">
        <f t="shared" ref="I10:I66" si="5">D62</f>
        <v>15.440548942741543</v>
      </c>
      <c r="J66">
        <f t="shared" ref="J11:J66" si="6">D61</f>
        <v>15.097822079840933</v>
      </c>
      <c r="K66">
        <f t="shared" ref="K11:K66" si="7">STDEV(F66:J66)</f>
        <v>0.44287739387084085</v>
      </c>
      <c r="L66">
        <f t="shared" ref="L11:L66" si="8">J66</f>
        <v>15.097822079840933</v>
      </c>
      <c r="O66" t="s">
        <v>68</v>
      </c>
      <c r="R66" s="10" t="s">
        <v>69</v>
      </c>
      <c r="S66" t="s">
        <v>70</v>
      </c>
    </row>
    <row r="84" spans="1:21" x14ac:dyDescent="0.25">
      <c r="J84" t="s">
        <v>71</v>
      </c>
      <c r="K84" t="s">
        <v>72</v>
      </c>
    </row>
    <row r="85" spans="1:21" x14ac:dyDescent="0.25">
      <c r="K85" t="s">
        <v>73</v>
      </c>
      <c r="P85">
        <f>0.0402*2024-65.721</f>
        <v>15.643799999999999</v>
      </c>
      <c r="Q85" t="s">
        <v>74</v>
      </c>
      <c r="S85" s="1">
        <f>EXP(P85)</f>
        <v>6223232.3490574285</v>
      </c>
      <c r="U85" t="s">
        <v>75</v>
      </c>
    </row>
    <row r="86" spans="1:21" ht="15.75" customHeight="1" x14ac:dyDescent="0.25"/>
    <row r="87" spans="1:21" ht="15.75" customHeight="1" x14ac:dyDescent="0.25"/>
    <row r="88" spans="1:21" ht="15.75" customHeight="1" x14ac:dyDescent="0.25"/>
    <row r="89" spans="1:21" ht="15.75" customHeight="1" x14ac:dyDescent="0.25"/>
    <row r="90" spans="1:21" x14ac:dyDescent="0.25">
      <c r="B90" t="s">
        <v>76</v>
      </c>
      <c r="C90" t="s">
        <v>77</v>
      </c>
      <c r="D90" t="s">
        <v>78</v>
      </c>
      <c r="E90" s="10" t="s">
        <v>79</v>
      </c>
      <c r="F90" t="s">
        <v>80</v>
      </c>
      <c r="G90" t="s">
        <v>81</v>
      </c>
      <c r="H90" t="s">
        <v>82</v>
      </c>
      <c r="I90" t="s">
        <v>83</v>
      </c>
      <c r="J90" t="s">
        <v>84</v>
      </c>
      <c r="K90" t="s">
        <v>85</v>
      </c>
      <c r="L90" t="s">
        <v>86</v>
      </c>
      <c r="M90" t="s">
        <v>87</v>
      </c>
    </row>
    <row r="91" spans="1:21" x14ac:dyDescent="0.25">
      <c r="A91">
        <v>374</v>
      </c>
      <c r="B91" t="s">
        <v>88</v>
      </c>
      <c r="C91" t="s">
        <v>62</v>
      </c>
      <c r="D91">
        <v>1964</v>
      </c>
      <c r="E91" s="10">
        <v>1305818.3160628299</v>
      </c>
      <c r="F91" s="10">
        <v>67.683930744511201</v>
      </c>
      <c r="G91" s="10">
        <v>937285.50747226796</v>
      </c>
      <c r="H91" s="10">
        <v>60776.593210125902</v>
      </c>
      <c r="I91" s="10">
        <v>0</v>
      </c>
      <c r="J91" s="10">
        <v>5926.18776712196</v>
      </c>
      <c r="K91" s="10">
        <v>248741.342367595</v>
      </c>
      <c r="L91" s="10">
        <v>53021.001278093099</v>
      </c>
      <c r="M91" s="10">
        <v>0</v>
      </c>
    </row>
    <row r="92" spans="1:21" x14ac:dyDescent="0.25">
      <c r="A92">
        <v>375</v>
      </c>
      <c r="B92" t="s">
        <v>88</v>
      </c>
      <c r="C92" t="s">
        <v>62</v>
      </c>
      <c r="D92">
        <v>1965</v>
      </c>
      <c r="E92" s="10">
        <v>2884254.3507745699</v>
      </c>
      <c r="F92" s="10">
        <v>240.732810187664</v>
      </c>
      <c r="G92" s="10">
        <v>329872.156775916</v>
      </c>
      <c r="H92" s="10">
        <v>391311.60635485197</v>
      </c>
      <c r="I92" s="10">
        <v>649.06575505120497</v>
      </c>
      <c r="J92" s="10">
        <v>1262.4401747020099</v>
      </c>
      <c r="K92" s="10">
        <v>1997877.2561684099</v>
      </c>
      <c r="L92" s="10">
        <v>152270.610765872</v>
      </c>
      <c r="M92" s="10">
        <v>0</v>
      </c>
    </row>
    <row r="93" spans="1:21" x14ac:dyDescent="0.25">
      <c r="A93">
        <v>376</v>
      </c>
      <c r="B93" t="s">
        <v>88</v>
      </c>
      <c r="C93" t="s">
        <v>62</v>
      </c>
      <c r="D93">
        <v>1966</v>
      </c>
      <c r="E93" s="10">
        <v>1373739.2773402</v>
      </c>
      <c r="F93" s="10">
        <v>0</v>
      </c>
      <c r="G93" s="10">
        <v>77486.944491114293</v>
      </c>
      <c r="H93" s="10">
        <v>484228.90773494297</v>
      </c>
      <c r="I93" s="10">
        <v>961.83622990152401</v>
      </c>
      <c r="J93" s="10">
        <v>754.09581219297399</v>
      </c>
      <c r="K93" s="10">
        <v>273290.00353825098</v>
      </c>
      <c r="L93" s="10">
        <v>531779.57647245098</v>
      </c>
      <c r="M93" s="11">
        <v>1.8417370520086801E-9</v>
      </c>
    </row>
    <row r="94" spans="1:21" x14ac:dyDescent="0.25">
      <c r="A94">
        <v>377</v>
      </c>
      <c r="B94" t="s">
        <v>88</v>
      </c>
      <c r="C94" t="s">
        <v>62</v>
      </c>
      <c r="D94">
        <v>1967</v>
      </c>
      <c r="E94" s="10">
        <v>440092.79616245098</v>
      </c>
      <c r="F94" s="10">
        <v>133.66434115835401</v>
      </c>
      <c r="G94" s="10">
        <v>10883.5452489168</v>
      </c>
      <c r="H94" s="10">
        <v>149927.90705377099</v>
      </c>
      <c r="I94" s="10">
        <v>1165.81149874685</v>
      </c>
      <c r="J94" s="10">
        <v>48.901593928048001</v>
      </c>
      <c r="K94" s="10">
        <v>158144.03861761201</v>
      </c>
      <c r="L94" s="10">
        <v>119788.927808315</v>
      </c>
      <c r="M94" s="10">
        <v>0</v>
      </c>
    </row>
    <row r="95" spans="1:21" x14ac:dyDescent="0.25">
      <c r="A95">
        <v>378</v>
      </c>
      <c r="B95" t="s">
        <v>88</v>
      </c>
      <c r="C95" t="s">
        <v>62</v>
      </c>
      <c r="D95">
        <v>1968</v>
      </c>
      <c r="E95" s="10">
        <v>149356.41900423201</v>
      </c>
      <c r="F95" s="11">
        <v>7.9991584806150501E-10</v>
      </c>
      <c r="G95" s="10">
        <v>18937.861958621299</v>
      </c>
      <c r="H95" s="10">
        <v>21607.731332355299</v>
      </c>
      <c r="I95" s="10">
        <v>79.318380397523697</v>
      </c>
      <c r="J95" s="10">
        <v>10590.2432874921</v>
      </c>
      <c r="K95" s="10">
        <v>77496.909942245504</v>
      </c>
      <c r="L95" s="10">
        <v>20233.055274381699</v>
      </c>
      <c r="M95" s="10">
        <v>266.34220983717699</v>
      </c>
    </row>
    <row r="96" spans="1:21" x14ac:dyDescent="0.25">
      <c r="A96">
        <v>379</v>
      </c>
      <c r="B96" t="s">
        <v>88</v>
      </c>
      <c r="C96" t="s">
        <v>62</v>
      </c>
      <c r="D96">
        <v>1969</v>
      </c>
      <c r="E96" s="10">
        <v>301894.301680882</v>
      </c>
      <c r="F96" s="10">
        <v>100.575775744334</v>
      </c>
      <c r="G96" s="10">
        <v>47512.086550466804</v>
      </c>
      <c r="H96" s="10">
        <v>8226.2441535252092</v>
      </c>
      <c r="I96" s="10">
        <v>2125.7908537928402</v>
      </c>
      <c r="J96" s="10">
        <v>2815.2127721295601</v>
      </c>
      <c r="K96" s="10">
        <v>220162.908291361</v>
      </c>
      <c r="L96" s="10">
        <v>20578.242622801001</v>
      </c>
      <c r="M96" s="10">
        <v>0</v>
      </c>
    </row>
    <row r="97" spans="1:13" x14ac:dyDescent="0.25">
      <c r="A97">
        <v>380</v>
      </c>
      <c r="B97" t="s">
        <v>88</v>
      </c>
      <c r="C97" t="s">
        <v>62</v>
      </c>
      <c r="D97">
        <v>1970</v>
      </c>
      <c r="E97" s="10">
        <v>1052934.46111376</v>
      </c>
      <c r="F97" s="10">
        <v>0</v>
      </c>
      <c r="G97" s="10">
        <v>772415.78377125203</v>
      </c>
      <c r="H97" s="10">
        <v>51187.141399961998</v>
      </c>
      <c r="I97" s="10">
        <v>0</v>
      </c>
      <c r="J97" s="10">
        <v>0</v>
      </c>
      <c r="K97" s="10">
        <v>212639.57545864</v>
      </c>
      <c r="L97" s="10">
        <v>16285.1978173547</v>
      </c>
      <c r="M97" s="10">
        <v>0</v>
      </c>
    </row>
    <row r="98" spans="1:13" x14ac:dyDescent="0.25">
      <c r="A98">
        <v>381</v>
      </c>
      <c r="B98" t="s">
        <v>88</v>
      </c>
      <c r="C98" t="s">
        <v>62</v>
      </c>
      <c r="D98">
        <v>1971</v>
      </c>
      <c r="E98" s="10">
        <v>1774596.3918880599</v>
      </c>
      <c r="F98" s="10">
        <v>0</v>
      </c>
      <c r="G98" s="10">
        <v>98165.594220847503</v>
      </c>
      <c r="H98" s="10">
        <v>1554968.78644942</v>
      </c>
      <c r="I98" s="10">
        <v>549.03949942894599</v>
      </c>
      <c r="J98" s="11">
        <v>1.6779458769789301E-9</v>
      </c>
      <c r="K98" s="10">
        <v>42250.337617768702</v>
      </c>
      <c r="L98" s="10">
        <v>76457.561620459295</v>
      </c>
      <c r="M98" s="10">
        <v>0</v>
      </c>
    </row>
    <row r="99" spans="1:13" x14ac:dyDescent="0.25">
      <c r="A99">
        <v>382</v>
      </c>
      <c r="B99" t="s">
        <v>88</v>
      </c>
      <c r="C99" t="s">
        <v>62</v>
      </c>
      <c r="D99">
        <v>1972</v>
      </c>
      <c r="E99" s="10">
        <v>131748.183570583</v>
      </c>
      <c r="F99" s="10">
        <v>111.07053265005101</v>
      </c>
      <c r="G99" s="10">
        <v>16984.7086799186</v>
      </c>
      <c r="H99" s="10">
        <v>54843.659466118297</v>
      </c>
      <c r="I99" s="10">
        <v>228.37544876093801</v>
      </c>
      <c r="J99" s="10">
        <v>0</v>
      </c>
      <c r="K99" s="10">
        <v>42253.956938681098</v>
      </c>
      <c r="L99" s="10">
        <v>17326.412504450702</v>
      </c>
      <c r="M99" s="11">
        <v>6.3842987808886704E-10</v>
      </c>
    </row>
    <row r="100" spans="1:13" x14ac:dyDescent="0.25">
      <c r="A100">
        <v>383</v>
      </c>
      <c r="B100" t="s">
        <v>88</v>
      </c>
      <c r="C100" t="s">
        <v>62</v>
      </c>
      <c r="D100">
        <v>1973</v>
      </c>
      <c r="E100" s="10">
        <v>63411.413719910997</v>
      </c>
      <c r="F100" s="11">
        <v>4.4602357782429899E-10</v>
      </c>
      <c r="G100" s="10">
        <v>4547.8960035338296</v>
      </c>
      <c r="H100" s="10">
        <v>10063.2709430591</v>
      </c>
      <c r="I100" s="11">
        <v>4.4602360422623102E-10</v>
      </c>
      <c r="J100" s="10">
        <v>319.26055760038099</v>
      </c>
      <c r="K100" s="10">
        <v>13507.686703439</v>
      </c>
      <c r="L100" s="10">
        <v>34931.513969013198</v>
      </c>
      <c r="M100" s="10">
        <v>0</v>
      </c>
    </row>
    <row r="101" spans="1:13" x14ac:dyDescent="0.25">
      <c r="A101">
        <v>384</v>
      </c>
      <c r="B101" t="s">
        <v>88</v>
      </c>
      <c r="C101" t="s">
        <v>62</v>
      </c>
      <c r="D101">
        <v>1974</v>
      </c>
      <c r="E101" s="10">
        <v>66751.575428862299</v>
      </c>
      <c r="F101" s="11">
        <v>9.2792928662940998E-10</v>
      </c>
      <c r="G101" s="10">
        <v>3708.8746263355201</v>
      </c>
      <c r="H101" s="10">
        <v>5660.7702145665398</v>
      </c>
      <c r="I101" s="11">
        <v>9.2792932148872905E-10</v>
      </c>
      <c r="J101" s="10">
        <v>205.92802931074101</v>
      </c>
      <c r="K101" s="10">
        <v>52667.526642019002</v>
      </c>
      <c r="L101" s="10">
        <v>4394.1101266431597</v>
      </c>
      <c r="M101" s="10">
        <v>114.36578998454701</v>
      </c>
    </row>
    <row r="102" spans="1:13" x14ac:dyDescent="0.25">
      <c r="A102">
        <v>385</v>
      </c>
      <c r="B102" t="s">
        <v>88</v>
      </c>
      <c r="C102" t="s">
        <v>62</v>
      </c>
      <c r="D102">
        <v>1975</v>
      </c>
      <c r="E102" s="10">
        <v>525564.69415821205</v>
      </c>
      <c r="F102" s="11">
        <v>2.4810764182661699E-9</v>
      </c>
      <c r="G102" s="10">
        <v>193375.62594354301</v>
      </c>
      <c r="H102" s="10">
        <v>2799.2416642571002</v>
      </c>
      <c r="I102" s="10">
        <v>0</v>
      </c>
      <c r="J102" s="10">
        <v>0</v>
      </c>
      <c r="K102" s="10">
        <v>303315.54744093399</v>
      </c>
      <c r="L102" s="10">
        <v>24457.546616537398</v>
      </c>
      <c r="M102" s="10">
        <v>138.013634923501</v>
      </c>
    </row>
    <row r="103" spans="1:13" x14ac:dyDescent="0.25">
      <c r="A103">
        <v>386</v>
      </c>
      <c r="B103" t="s">
        <v>88</v>
      </c>
      <c r="C103" t="s">
        <v>62</v>
      </c>
      <c r="D103">
        <v>1976</v>
      </c>
      <c r="E103" s="10">
        <v>618700.61882670503</v>
      </c>
      <c r="F103" s="10">
        <v>0</v>
      </c>
      <c r="G103" s="11">
        <v>2.16737220462922E-7</v>
      </c>
      <c r="H103" s="11">
        <v>4.0482438787215899E-7</v>
      </c>
      <c r="I103" s="10">
        <v>0</v>
      </c>
      <c r="J103" s="11">
        <v>5.2791898728452399E-7</v>
      </c>
      <c r="K103" s="10">
        <v>573772.55889209197</v>
      </c>
      <c r="L103" s="11">
        <v>1.99183847560234E-6</v>
      </c>
      <c r="M103" s="11">
        <v>9.5833976174583604E-8</v>
      </c>
    </row>
    <row r="104" spans="1:13" x14ac:dyDescent="0.25">
      <c r="A104">
        <v>387</v>
      </c>
      <c r="B104" t="s">
        <v>88</v>
      </c>
      <c r="C104" t="s">
        <v>62</v>
      </c>
      <c r="D104">
        <v>1977</v>
      </c>
      <c r="E104" s="10">
        <v>429697.41259432002</v>
      </c>
      <c r="F104" s="10">
        <v>0</v>
      </c>
      <c r="G104" s="10">
        <v>26044.945329431201</v>
      </c>
      <c r="H104" s="10">
        <v>87270.629929357601</v>
      </c>
      <c r="I104" s="10">
        <v>0</v>
      </c>
      <c r="J104" s="10">
        <v>0</v>
      </c>
      <c r="K104" s="10">
        <v>145198.447240521</v>
      </c>
      <c r="L104" s="10">
        <v>165880.3127445</v>
      </c>
      <c r="M104" s="10">
        <v>0</v>
      </c>
    </row>
    <row r="105" spans="1:13" x14ac:dyDescent="0.25">
      <c r="A105">
        <v>388</v>
      </c>
      <c r="B105" t="s">
        <v>88</v>
      </c>
      <c r="C105" t="s">
        <v>62</v>
      </c>
      <c r="D105">
        <v>1978</v>
      </c>
      <c r="E105" s="10">
        <v>97115.015029426999</v>
      </c>
      <c r="F105" s="10">
        <v>1087.5950111705399</v>
      </c>
      <c r="G105" s="10">
        <v>9986.4268485656103</v>
      </c>
      <c r="H105" s="10">
        <v>6764.3621762336697</v>
      </c>
      <c r="I105" s="11">
        <v>1.449826941601E-9</v>
      </c>
      <c r="J105" s="10">
        <v>14009.5959676045</v>
      </c>
      <c r="K105" s="10">
        <v>21376.565135475801</v>
      </c>
      <c r="L105" s="10">
        <v>39457.831789101903</v>
      </c>
      <c r="M105" s="10">
        <v>1722.90762275046</v>
      </c>
    </row>
    <row r="106" spans="1:13" x14ac:dyDescent="0.25">
      <c r="A106">
        <v>389</v>
      </c>
      <c r="B106" t="s">
        <v>88</v>
      </c>
      <c r="C106" t="s">
        <v>62</v>
      </c>
      <c r="D106">
        <v>1979</v>
      </c>
      <c r="E106" s="10">
        <v>2286731.6205384</v>
      </c>
      <c r="F106" s="11">
        <v>3.9241194928877697E-9</v>
      </c>
      <c r="G106" s="10">
        <v>1565298.94684351</v>
      </c>
      <c r="H106" s="10">
        <v>8384.8557123357205</v>
      </c>
      <c r="I106" s="10">
        <v>322.46029513825403</v>
      </c>
      <c r="J106" s="10">
        <v>5168.9576701512897</v>
      </c>
      <c r="K106" s="10">
        <v>660051.91789025394</v>
      </c>
      <c r="L106" s="10">
        <v>37293.973284731299</v>
      </c>
      <c r="M106" s="10">
        <v>0</v>
      </c>
    </row>
    <row r="107" spans="1:13" x14ac:dyDescent="0.25">
      <c r="A107">
        <v>390</v>
      </c>
      <c r="B107" t="s">
        <v>88</v>
      </c>
      <c r="C107" t="s">
        <v>62</v>
      </c>
      <c r="D107">
        <v>1980</v>
      </c>
      <c r="E107" s="10">
        <v>4642573.2397256801</v>
      </c>
      <c r="F107" s="10">
        <v>792.36462952628801</v>
      </c>
      <c r="G107" s="10">
        <v>2328526.8692655801</v>
      </c>
      <c r="H107" s="10">
        <v>578240.20724777901</v>
      </c>
      <c r="I107" s="11">
        <v>4.5890697682350101E-5</v>
      </c>
      <c r="J107" s="10">
        <v>61271.853147705799</v>
      </c>
      <c r="K107" s="10">
        <v>1608268.16137964</v>
      </c>
      <c r="L107" s="10">
        <v>65473.784005223199</v>
      </c>
      <c r="M107" s="10">
        <v>0</v>
      </c>
    </row>
    <row r="108" spans="1:13" x14ac:dyDescent="0.25">
      <c r="A108">
        <v>391</v>
      </c>
      <c r="B108" t="s">
        <v>88</v>
      </c>
      <c r="C108" t="s">
        <v>62</v>
      </c>
      <c r="D108">
        <v>1981</v>
      </c>
      <c r="E108" s="10">
        <v>4078237.4770497698</v>
      </c>
      <c r="F108" s="10">
        <v>0</v>
      </c>
      <c r="G108" s="10">
        <v>642642.92969139898</v>
      </c>
      <c r="H108" s="10">
        <v>1705027.6753489401</v>
      </c>
      <c r="I108" s="10">
        <v>0</v>
      </c>
      <c r="J108" s="10">
        <v>0</v>
      </c>
      <c r="K108" s="10">
        <v>1352579.3606271499</v>
      </c>
      <c r="L108" s="10">
        <v>365466.276386944</v>
      </c>
      <c r="M108" s="10">
        <v>0</v>
      </c>
    </row>
    <row r="109" spans="1:13" x14ac:dyDescent="0.25">
      <c r="A109">
        <v>392</v>
      </c>
      <c r="B109" t="s">
        <v>88</v>
      </c>
      <c r="C109" t="s">
        <v>62</v>
      </c>
      <c r="D109">
        <v>1982</v>
      </c>
      <c r="E109" s="10">
        <v>2682649.7255675299</v>
      </c>
      <c r="F109" s="10">
        <v>22988.4074079741</v>
      </c>
      <c r="G109" s="10">
        <v>245523.68960003401</v>
      </c>
      <c r="H109" s="10">
        <v>1822598.00227948</v>
      </c>
      <c r="I109" s="10">
        <v>8659.84833956685</v>
      </c>
      <c r="J109" s="10">
        <v>3163.4110380422198</v>
      </c>
      <c r="K109" s="10">
        <v>230132.821228777</v>
      </c>
      <c r="L109" s="10">
        <v>341623.685571504</v>
      </c>
      <c r="M109" s="10">
        <v>790.21120396680203</v>
      </c>
    </row>
    <row r="110" spans="1:13" x14ac:dyDescent="0.25">
      <c r="A110">
        <v>393</v>
      </c>
      <c r="B110" t="s">
        <v>88</v>
      </c>
      <c r="C110" t="s">
        <v>62</v>
      </c>
      <c r="D110">
        <v>1983</v>
      </c>
      <c r="E110" s="10">
        <v>4148448.41769836</v>
      </c>
      <c r="F110" s="10">
        <v>1117.2613091964399</v>
      </c>
      <c r="G110" s="10">
        <v>3310049.2068837099</v>
      </c>
      <c r="H110" s="10">
        <v>336577.38065533899</v>
      </c>
      <c r="I110" s="10">
        <v>5812.7664693485403</v>
      </c>
      <c r="J110" s="10">
        <v>10427.2928765737</v>
      </c>
      <c r="K110" s="10">
        <v>343911.61502173002</v>
      </c>
      <c r="L110" s="10">
        <v>138885.49089753299</v>
      </c>
      <c r="M110" s="11">
        <v>4.4494294162196497E-9</v>
      </c>
    </row>
    <row r="111" spans="1:13" x14ac:dyDescent="0.25">
      <c r="A111">
        <v>394</v>
      </c>
      <c r="B111" t="s">
        <v>88</v>
      </c>
      <c r="C111" t="s">
        <v>62</v>
      </c>
      <c r="D111">
        <v>1984</v>
      </c>
      <c r="E111" s="10">
        <v>4166991.7221707501</v>
      </c>
      <c r="F111" s="10">
        <v>861.92959726983497</v>
      </c>
      <c r="G111" s="10">
        <v>1405682.3347348</v>
      </c>
      <c r="H111" s="10">
        <v>786899.52082900098</v>
      </c>
      <c r="I111" s="10">
        <v>4513.3578908579202</v>
      </c>
      <c r="J111" s="10">
        <v>35830.190859310402</v>
      </c>
      <c r="K111" s="10">
        <v>1672860.70123281</v>
      </c>
      <c r="L111" s="10">
        <v>253588.76623922601</v>
      </c>
      <c r="M111" s="10">
        <v>1278.65490451153</v>
      </c>
    </row>
    <row r="112" spans="1:13" x14ac:dyDescent="0.25">
      <c r="A112">
        <v>395</v>
      </c>
      <c r="B112" t="s">
        <v>88</v>
      </c>
      <c r="C112" t="s">
        <v>62</v>
      </c>
      <c r="D112">
        <v>1985</v>
      </c>
      <c r="E112" s="10">
        <v>7940798.19799612</v>
      </c>
      <c r="F112" s="10">
        <v>4612.3296453208204</v>
      </c>
      <c r="G112" s="10">
        <v>1742861.1826867701</v>
      </c>
      <c r="H112" s="10">
        <v>2168627.5322960699</v>
      </c>
      <c r="I112" s="10">
        <v>23148.854667423999</v>
      </c>
      <c r="J112" s="10">
        <v>6623.3847425797003</v>
      </c>
      <c r="K112" s="10">
        <v>3340398.47223444</v>
      </c>
      <c r="L112" s="10">
        <v>649603.19328041305</v>
      </c>
      <c r="M112" s="11">
        <v>3.9301939550504299E-9</v>
      </c>
    </row>
    <row r="113" spans="1:17" x14ac:dyDescent="0.25">
      <c r="A113">
        <v>396</v>
      </c>
      <c r="B113" t="s">
        <v>88</v>
      </c>
      <c r="C113" t="s">
        <v>62</v>
      </c>
      <c r="D113">
        <v>1986</v>
      </c>
      <c r="E113" s="10">
        <v>6727273.6962772002</v>
      </c>
      <c r="F113" s="11">
        <v>5.3129833479009397E-9</v>
      </c>
      <c r="G113" s="10">
        <v>325144.67203353602</v>
      </c>
      <c r="H113" s="10">
        <v>3026320.3415090698</v>
      </c>
      <c r="I113" s="10">
        <v>14429.136863502101</v>
      </c>
      <c r="J113" s="10">
        <v>266.23966964901302</v>
      </c>
      <c r="K113" s="10">
        <v>2261030.8645913</v>
      </c>
      <c r="L113" s="10">
        <v>1090175.9029916299</v>
      </c>
      <c r="M113" s="10">
        <v>4902.9331129334896</v>
      </c>
    </row>
    <row r="114" spans="1:17" x14ac:dyDescent="0.25">
      <c r="A114">
        <v>397</v>
      </c>
      <c r="B114" t="s">
        <v>88</v>
      </c>
      <c r="C114" t="s">
        <v>62</v>
      </c>
      <c r="D114">
        <v>1987</v>
      </c>
      <c r="E114" s="10">
        <v>2910012.7073317999</v>
      </c>
      <c r="F114" s="10">
        <v>74.221480910622503</v>
      </c>
      <c r="G114" s="10">
        <v>733502.96454289998</v>
      </c>
      <c r="H114" s="10">
        <v>680800.95248752797</v>
      </c>
      <c r="I114" s="10">
        <v>3536.13210838342</v>
      </c>
      <c r="J114" s="10">
        <v>3616.4989548217</v>
      </c>
      <c r="K114" s="10">
        <v>543094.91827016801</v>
      </c>
      <c r="L114" s="10">
        <v>929012.01582360198</v>
      </c>
      <c r="M114" s="10">
        <v>1322.2070065262601</v>
      </c>
    </row>
    <row r="115" spans="1:17" x14ac:dyDescent="0.25">
      <c r="A115">
        <v>398</v>
      </c>
      <c r="B115" t="s">
        <v>88</v>
      </c>
      <c r="C115" t="s">
        <v>62</v>
      </c>
      <c r="D115">
        <v>1988</v>
      </c>
      <c r="E115" s="10">
        <v>2155143.21163953</v>
      </c>
      <c r="F115" s="10">
        <v>445.95090724859398</v>
      </c>
      <c r="G115" s="10">
        <v>479102.57662719901</v>
      </c>
      <c r="H115" s="10">
        <v>252201.23562360299</v>
      </c>
      <c r="I115" s="10">
        <v>8557.7713788488109</v>
      </c>
      <c r="J115" s="10">
        <v>50457.480270552398</v>
      </c>
      <c r="K115" s="10">
        <v>562361.88572287001</v>
      </c>
      <c r="L115" s="10">
        <v>788805.73458720301</v>
      </c>
      <c r="M115" s="10">
        <v>840.01987384784695</v>
      </c>
    </row>
    <row r="116" spans="1:17" x14ac:dyDescent="0.25">
      <c r="A116">
        <v>399</v>
      </c>
      <c r="B116" t="s">
        <v>88</v>
      </c>
      <c r="C116" t="s">
        <v>62</v>
      </c>
      <c r="D116">
        <v>1989</v>
      </c>
      <c r="E116" s="10">
        <v>5363340.0715971999</v>
      </c>
      <c r="F116" s="10">
        <v>555.39329629036695</v>
      </c>
      <c r="G116" s="10">
        <v>646743.34623153997</v>
      </c>
      <c r="H116" s="10">
        <v>605094.47953470505</v>
      </c>
      <c r="I116" s="10">
        <v>2965.7191798478202</v>
      </c>
      <c r="J116" s="10">
        <v>1021.61462830946</v>
      </c>
      <c r="K116" s="10">
        <v>3868563.22840385</v>
      </c>
      <c r="L116" s="10">
        <v>221167.201057489</v>
      </c>
      <c r="M116" s="10">
        <v>2660.54288782294</v>
      </c>
    </row>
    <row r="117" spans="1:17" x14ac:dyDescent="0.25">
      <c r="A117">
        <v>400</v>
      </c>
      <c r="B117" t="s">
        <v>88</v>
      </c>
      <c r="C117" t="s">
        <v>62</v>
      </c>
      <c r="D117">
        <v>1990</v>
      </c>
      <c r="E117" s="10">
        <v>2712617.4381450401</v>
      </c>
      <c r="F117" s="10">
        <v>97.279479034238406</v>
      </c>
      <c r="G117" s="10">
        <v>459249.59764083801</v>
      </c>
      <c r="H117" s="10">
        <v>807793.19051328604</v>
      </c>
      <c r="I117" s="10">
        <v>12415.9466467443</v>
      </c>
      <c r="J117" s="10">
        <v>791.25147057597906</v>
      </c>
      <c r="K117" s="10">
        <v>878253.70986812003</v>
      </c>
      <c r="L117" s="10">
        <v>500631.745379609</v>
      </c>
      <c r="M117" s="11">
        <v>4.70490446269037E-9</v>
      </c>
    </row>
    <row r="118" spans="1:17" x14ac:dyDescent="0.25">
      <c r="A118">
        <v>401</v>
      </c>
      <c r="B118" t="s">
        <v>88</v>
      </c>
      <c r="C118" t="s">
        <v>62</v>
      </c>
      <c r="D118">
        <v>1991</v>
      </c>
      <c r="E118" s="10">
        <v>5959036.3942727298</v>
      </c>
      <c r="F118" s="10">
        <v>1791.9303270365399</v>
      </c>
      <c r="G118" s="10">
        <v>856333.73532120103</v>
      </c>
      <c r="H118" s="10">
        <v>2678328.7940975199</v>
      </c>
      <c r="I118" s="10">
        <v>2117.0073285411399</v>
      </c>
      <c r="J118" s="10">
        <v>11200.6613673222</v>
      </c>
      <c r="K118" s="10">
        <v>1927859.18515675</v>
      </c>
      <c r="L118" s="10">
        <v>470702.97892906901</v>
      </c>
      <c r="M118" s="11">
        <v>3.8596705644854003E-9</v>
      </c>
    </row>
    <row r="119" spans="1:17" x14ac:dyDescent="0.25">
      <c r="A119">
        <v>402</v>
      </c>
      <c r="B119" t="s">
        <v>88</v>
      </c>
      <c r="C119" t="s">
        <v>62</v>
      </c>
      <c r="D119">
        <v>1992</v>
      </c>
      <c r="E119" s="10">
        <v>6341238.5725720003</v>
      </c>
      <c r="F119" s="10">
        <v>5841.0842370581804</v>
      </c>
      <c r="G119" s="10">
        <v>470687.77051867999</v>
      </c>
      <c r="H119" s="10">
        <v>1811306.1885671499</v>
      </c>
      <c r="I119" s="10">
        <v>77767.8104577505</v>
      </c>
      <c r="J119" s="10">
        <v>33263.381181877201</v>
      </c>
      <c r="K119" s="10">
        <v>1998210.95755658</v>
      </c>
      <c r="L119" s="10">
        <v>1925221.38010179</v>
      </c>
      <c r="M119" s="10">
        <v>5839.1036824804296</v>
      </c>
    </row>
    <row r="120" spans="1:17" x14ac:dyDescent="0.25">
      <c r="A120">
        <v>403</v>
      </c>
      <c r="B120" t="s">
        <v>88</v>
      </c>
      <c r="C120" t="s">
        <v>62</v>
      </c>
      <c r="D120">
        <v>1993</v>
      </c>
      <c r="E120" s="10">
        <v>6216697.5912457705</v>
      </c>
      <c r="F120" s="10">
        <v>973.07115726385598</v>
      </c>
      <c r="G120" s="10">
        <v>928149.84058693598</v>
      </c>
      <c r="H120" s="10">
        <v>795903.36648187204</v>
      </c>
      <c r="I120" s="10">
        <v>13745.0656287938</v>
      </c>
      <c r="J120" s="10">
        <v>13862.6982650766</v>
      </c>
      <c r="K120" s="10">
        <v>2017208.9067409399</v>
      </c>
      <c r="L120" s="10">
        <v>2421156.5890838499</v>
      </c>
      <c r="M120" s="10">
        <v>17548.830034465002</v>
      </c>
    </row>
    <row r="121" spans="1:17" x14ac:dyDescent="0.25">
      <c r="A121">
        <v>404</v>
      </c>
      <c r="B121" t="s">
        <v>88</v>
      </c>
      <c r="C121" t="s">
        <v>62</v>
      </c>
      <c r="D121">
        <v>1994</v>
      </c>
      <c r="E121" s="10">
        <v>5569971.2448737398</v>
      </c>
      <c r="F121" s="10">
        <v>6843.17303918373</v>
      </c>
      <c r="G121" s="10">
        <v>374219.71322896302</v>
      </c>
      <c r="H121" s="10">
        <v>407113.500122584</v>
      </c>
      <c r="I121" s="10">
        <v>19276.3934277876</v>
      </c>
      <c r="J121" s="10">
        <v>12550.980460967299</v>
      </c>
      <c r="K121" s="10">
        <v>2510466.3911045198</v>
      </c>
      <c r="L121" s="10">
        <v>2182844.2364936201</v>
      </c>
      <c r="M121" s="10">
        <v>39039.403241032102</v>
      </c>
    </row>
    <row r="122" spans="1:17" x14ac:dyDescent="0.25">
      <c r="A122">
        <v>405</v>
      </c>
      <c r="B122" t="s">
        <v>88</v>
      </c>
      <c r="C122" t="s">
        <v>62</v>
      </c>
      <c r="D122">
        <v>1995</v>
      </c>
      <c r="E122" s="10">
        <v>5912957.9993731203</v>
      </c>
      <c r="F122" s="10">
        <v>6376.2720836757399</v>
      </c>
      <c r="G122" s="10">
        <v>2063055.6442877401</v>
      </c>
      <c r="H122" s="10">
        <v>787820.68606336601</v>
      </c>
      <c r="I122" s="10">
        <v>10738.141969944099</v>
      </c>
      <c r="J122" s="10">
        <v>420.42959998304502</v>
      </c>
      <c r="K122" s="10">
        <v>2004494.78858404</v>
      </c>
      <c r="L122" s="10">
        <v>1024308.9418839799</v>
      </c>
      <c r="M122" s="10">
        <v>1267.1277402148401</v>
      </c>
    </row>
    <row r="123" spans="1:17" x14ac:dyDescent="0.25">
      <c r="A123">
        <v>406</v>
      </c>
      <c r="B123" t="s">
        <v>88</v>
      </c>
      <c r="C123" t="s">
        <v>62</v>
      </c>
      <c r="D123">
        <v>1996</v>
      </c>
      <c r="E123" s="10">
        <v>5370652.6811896404</v>
      </c>
      <c r="F123" s="10">
        <v>1969.6099348248199</v>
      </c>
      <c r="G123" s="10">
        <v>322825.193912444</v>
      </c>
      <c r="H123" s="10">
        <v>3857991.3069942798</v>
      </c>
      <c r="I123" s="10">
        <v>2495.3199603560201</v>
      </c>
      <c r="J123" s="10">
        <v>9211.4594310119901</v>
      </c>
      <c r="K123" s="10">
        <v>452473.68604999501</v>
      </c>
      <c r="L123" s="10">
        <v>662361.37063187396</v>
      </c>
      <c r="M123" s="10">
        <v>872.22911559160104</v>
      </c>
      <c r="O123" t="s">
        <v>58</v>
      </c>
    </row>
    <row r="124" spans="1:17" x14ac:dyDescent="0.25">
      <c r="A124">
        <v>407</v>
      </c>
      <c r="B124" t="s">
        <v>88</v>
      </c>
      <c r="C124" t="s">
        <v>62</v>
      </c>
      <c r="D124">
        <v>1997</v>
      </c>
      <c r="E124" s="10">
        <v>2508751.3482678202</v>
      </c>
      <c r="F124" s="10">
        <v>19397.435653971901</v>
      </c>
      <c r="G124" s="10">
        <v>408126.139475337</v>
      </c>
      <c r="H124" s="10">
        <v>839604.92980856204</v>
      </c>
      <c r="I124" s="10">
        <v>19159.9388047389</v>
      </c>
      <c r="J124" s="10">
        <v>5033.3477503388503</v>
      </c>
      <c r="K124" s="10">
        <v>935883.71363934397</v>
      </c>
      <c r="L124" s="10">
        <v>276441.97278387903</v>
      </c>
      <c r="M124" s="10">
        <v>1552.6305432921699</v>
      </c>
      <c r="O124" t="s">
        <v>29</v>
      </c>
      <c r="P124" t="s">
        <v>30</v>
      </c>
      <c r="Q124" t="s">
        <v>89</v>
      </c>
    </row>
    <row r="125" spans="1:17" x14ac:dyDescent="0.25">
      <c r="A125">
        <v>408</v>
      </c>
      <c r="B125" t="s">
        <v>88</v>
      </c>
      <c r="C125" t="s">
        <v>62</v>
      </c>
      <c r="D125">
        <v>1998</v>
      </c>
      <c r="E125" s="10">
        <v>1892274.6179680501</v>
      </c>
      <c r="F125" s="10">
        <v>10260.691660586799</v>
      </c>
      <c r="G125" s="10">
        <v>260832.74994434899</v>
      </c>
      <c r="H125" s="10">
        <v>391217.22963682801</v>
      </c>
      <c r="I125" s="10">
        <v>690.72367148019498</v>
      </c>
      <c r="J125" s="10">
        <v>7829.8477513033804</v>
      </c>
      <c r="K125" s="10">
        <v>273290.19740460702</v>
      </c>
      <c r="L125" s="10">
        <v>940447.82273663406</v>
      </c>
      <c r="M125" s="10">
        <v>3835.1391037223598</v>
      </c>
    </row>
    <row r="126" spans="1:17" x14ac:dyDescent="0.25">
      <c r="A126" s="12">
        <v>409</v>
      </c>
      <c r="B126" s="12" t="s">
        <v>88</v>
      </c>
      <c r="C126" s="12" t="s">
        <v>62</v>
      </c>
      <c r="D126" s="12">
        <v>1999</v>
      </c>
      <c r="E126" s="13">
        <v>5223880.8065679604</v>
      </c>
      <c r="F126" s="13">
        <v>0</v>
      </c>
      <c r="G126" s="13">
        <v>3803140.4034464099</v>
      </c>
      <c r="H126" s="13">
        <v>521899.93442287098</v>
      </c>
      <c r="I126" s="13">
        <v>29347.030862981101</v>
      </c>
      <c r="J126" s="14">
        <v>3.5288748767545001E-9</v>
      </c>
      <c r="K126" s="13">
        <v>596048.47733913502</v>
      </c>
      <c r="L126" s="13">
        <v>244593.84952025299</v>
      </c>
      <c r="M126" s="13">
        <v>27506.529377886</v>
      </c>
    </row>
    <row r="127" spans="1:17" x14ac:dyDescent="0.25">
      <c r="A127">
        <v>410</v>
      </c>
      <c r="B127" t="s">
        <v>88</v>
      </c>
      <c r="C127" t="s">
        <v>62</v>
      </c>
      <c r="D127">
        <v>2000</v>
      </c>
      <c r="E127" s="10">
        <v>2300098.2883485002</v>
      </c>
      <c r="F127" s="10">
        <v>0</v>
      </c>
      <c r="G127" s="10">
        <v>260683.56486184101</v>
      </c>
      <c r="H127" s="10">
        <v>1732034.8620976601</v>
      </c>
      <c r="I127" s="10">
        <v>8349.8457727982204</v>
      </c>
      <c r="J127" s="10">
        <v>0</v>
      </c>
      <c r="K127" s="10">
        <v>130226.105110663</v>
      </c>
      <c r="L127" s="10">
        <v>168386.80697804899</v>
      </c>
      <c r="M127" s="10">
        <v>0</v>
      </c>
      <c r="O127">
        <f>LN(G126)</f>
        <v>15.151337705357593</v>
      </c>
      <c r="P127">
        <f>LN(H127)</f>
        <v>14.364807496133853</v>
      </c>
    </row>
    <row r="128" spans="1:17" x14ac:dyDescent="0.25">
      <c r="A128">
        <v>411</v>
      </c>
      <c r="B128" t="s">
        <v>88</v>
      </c>
      <c r="C128" t="s">
        <v>62</v>
      </c>
      <c r="D128">
        <v>2001</v>
      </c>
      <c r="E128" s="10">
        <v>1467574.9624020499</v>
      </c>
      <c r="F128" s="10">
        <v>1237.2743641854299</v>
      </c>
      <c r="G128" s="10">
        <v>283827.95378632698</v>
      </c>
      <c r="H128" s="10">
        <v>1050833.3022563001</v>
      </c>
      <c r="I128" s="10">
        <v>31423.7203398825</v>
      </c>
      <c r="J128" s="10">
        <v>2867.1747626860201</v>
      </c>
      <c r="K128" s="10">
        <v>31801.3042183789</v>
      </c>
      <c r="L128" s="10">
        <v>63023.644461809898</v>
      </c>
      <c r="M128" s="10">
        <v>2367.3217569424801</v>
      </c>
      <c r="O128">
        <f t="shared" ref="O128:O152" si="9">LN(G127)</f>
        <v>12.471062555593877</v>
      </c>
      <c r="P128">
        <f t="shared" ref="P128:P151" si="10">LN(H128)</f>
        <v>13.865094028579398</v>
      </c>
    </row>
    <row r="129" spans="1:16" x14ac:dyDescent="0.25">
      <c r="A129">
        <v>412</v>
      </c>
      <c r="B129" t="s">
        <v>88</v>
      </c>
      <c r="C129" t="s">
        <v>62</v>
      </c>
      <c r="D129">
        <v>2002</v>
      </c>
      <c r="E129" s="10">
        <v>2499048.6119987201</v>
      </c>
      <c r="F129" s="10">
        <v>3670.8789146905001</v>
      </c>
      <c r="G129" s="10">
        <v>179053.304944581</v>
      </c>
      <c r="H129" s="10">
        <v>647818.20231930702</v>
      </c>
      <c r="I129" s="10">
        <v>1054.79671277598</v>
      </c>
      <c r="J129" s="10">
        <v>21.415483541964999</v>
      </c>
      <c r="K129" s="10">
        <v>1657638.04164836</v>
      </c>
      <c r="L129" s="10">
        <v>9008.4276202247293</v>
      </c>
      <c r="M129" s="10">
        <v>783.03647272067894</v>
      </c>
      <c r="O129">
        <f t="shared" si="9"/>
        <v>12.556123537047469</v>
      </c>
      <c r="P129">
        <f t="shared" si="10"/>
        <v>13.381365383995966</v>
      </c>
    </row>
    <row r="130" spans="1:16" x14ac:dyDescent="0.25">
      <c r="A130">
        <v>413</v>
      </c>
      <c r="B130" t="s">
        <v>88</v>
      </c>
      <c r="C130" t="s">
        <v>62</v>
      </c>
      <c r="D130">
        <v>2003</v>
      </c>
      <c r="E130" s="10">
        <v>2540239.7889406299</v>
      </c>
      <c r="F130" s="10">
        <v>2248.7818306668801</v>
      </c>
      <c r="G130" s="10">
        <v>1255075.28329584</v>
      </c>
      <c r="H130" s="10">
        <v>302211.30730572599</v>
      </c>
      <c r="I130" s="10">
        <v>11946.1308278329</v>
      </c>
      <c r="J130" s="10">
        <v>24647.599553039199</v>
      </c>
      <c r="K130" s="10">
        <v>524716.21424412599</v>
      </c>
      <c r="L130" s="10">
        <v>418907.62828322803</v>
      </c>
      <c r="M130" s="10">
        <v>345.03009872053298</v>
      </c>
      <c r="O130">
        <f t="shared" si="9"/>
        <v>12.095438833477848</v>
      </c>
      <c r="P130">
        <f t="shared" si="10"/>
        <v>12.618881744751254</v>
      </c>
    </row>
    <row r="131" spans="1:16" x14ac:dyDescent="0.25">
      <c r="A131">
        <v>414</v>
      </c>
      <c r="B131" t="s">
        <v>88</v>
      </c>
      <c r="C131" t="s">
        <v>62</v>
      </c>
      <c r="D131">
        <v>2004</v>
      </c>
      <c r="E131" s="10">
        <v>4202828.2551266197</v>
      </c>
      <c r="F131" s="10">
        <v>628.89579865165899</v>
      </c>
      <c r="G131" s="10">
        <v>1866357.0423719301</v>
      </c>
      <c r="H131" s="10">
        <v>907859.265526289</v>
      </c>
      <c r="I131" s="10">
        <v>4401.6829312752898</v>
      </c>
      <c r="J131" s="10">
        <v>397.442014910343</v>
      </c>
      <c r="K131" s="10">
        <v>1185602.63859226</v>
      </c>
      <c r="L131" s="10">
        <v>235000.59376015299</v>
      </c>
      <c r="M131" s="10">
        <v>2115.7058457231301</v>
      </c>
      <c r="O131">
        <f t="shared" si="9"/>
        <v>14.042706115438804</v>
      </c>
      <c r="P131">
        <f t="shared" si="10"/>
        <v>13.718844651656854</v>
      </c>
    </row>
    <row r="132" spans="1:16" x14ac:dyDescent="0.25">
      <c r="A132">
        <v>415</v>
      </c>
      <c r="B132" t="s">
        <v>88</v>
      </c>
      <c r="C132" t="s">
        <v>62</v>
      </c>
      <c r="D132">
        <v>2005</v>
      </c>
      <c r="E132" s="10">
        <v>3090001.9501557499</v>
      </c>
      <c r="F132" s="10">
        <v>7745.0247116457504</v>
      </c>
      <c r="G132" s="10">
        <v>399297.90540828003</v>
      </c>
      <c r="H132" s="10">
        <v>2342567.0661858702</v>
      </c>
      <c r="I132" s="10">
        <v>4844.3976309290401</v>
      </c>
      <c r="J132" s="10">
        <v>2009.4145841362199</v>
      </c>
      <c r="K132" s="10">
        <v>44273.562307694403</v>
      </c>
      <c r="L132" s="10">
        <v>289264.45386669302</v>
      </c>
      <c r="M132" s="11">
        <v>2.7085083119148602E-9</v>
      </c>
      <c r="O132">
        <f t="shared" si="9"/>
        <v>14.439498983121398</v>
      </c>
      <c r="P132">
        <f t="shared" si="10"/>
        <v>14.666757922860278</v>
      </c>
    </row>
    <row r="133" spans="1:16" x14ac:dyDescent="0.25">
      <c r="A133">
        <v>416</v>
      </c>
      <c r="B133" t="s">
        <v>88</v>
      </c>
      <c r="C133" t="s">
        <v>62</v>
      </c>
      <c r="D133">
        <v>2006</v>
      </c>
      <c r="E133" s="10">
        <v>3779176.1272211098</v>
      </c>
      <c r="F133" s="10">
        <v>10937.7034940556</v>
      </c>
      <c r="G133" s="10">
        <v>2071288.9715335299</v>
      </c>
      <c r="H133" s="10">
        <v>1437912.08846138</v>
      </c>
      <c r="I133" s="10">
        <v>25205.9047359654</v>
      </c>
      <c r="J133" s="10">
        <v>241.89173174707801</v>
      </c>
      <c r="K133" s="10">
        <v>130860.81155099699</v>
      </c>
      <c r="L133" s="10">
        <v>74227.323669706093</v>
      </c>
      <c r="M133" s="10">
        <v>3194.1351727321298</v>
      </c>
      <c r="O133">
        <f t="shared" si="9"/>
        <v>12.89746304737835</v>
      </c>
      <c r="P133">
        <f t="shared" si="10"/>
        <v>14.178702680805586</v>
      </c>
    </row>
    <row r="134" spans="1:16" x14ac:dyDescent="0.25">
      <c r="A134">
        <v>417</v>
      </c>
      <c r="B134" t="s">
        <v>88</v>
      </c>
      <c r="C134" t="s">
        <v>62</v>
      </c>
      <c r="D134">
        <v>2007</v>
      </c>
      <c r="E134" s="10">
        <v>7399703.2451192597</v>
      </c>
      <c r="F134" s="10">
        <v>12626.7679500013</v>
      </c>
      <c r="G134" s="10">
        <v>4701777.6303380104</v>
      </c>
      <c r="H134" s="10">
        <v>2167492.8511185502</v>
      </c>
      <c r="I134" s="10">
        <v>52169.790437236799</v>
      </c>
      <c r="J134" s="11">
        <v>3.32997879325521E-9</v>
      </c>
      <c r="K134" s="10">
        <v>305593.96403063001</v>
      </c>
      <c r="L134" s="10">
        <v>160042.241244815</v>
      </c>
      <c r="M134" s="11">
        <v>3.3011870072656498E-9</v>
      </c>
      <c r="O134">
        <f t="shared" si="9"/>
        <v>14.543681663011697</v>
      </c>
      <c r="P134">
        <f t="shared" si="10"/>
        <v>14.589081689416194</v>
      </c>
    </row>
    <row r="135" spans="1:16" x14ac:dyDescent="0.25">
      <c r="A135">
        <v>418</v>
      </c>
      <c r="B135" t="s">
        <v>88</v>
      </c>
      <c r="C135" t="s">
        <v>62</v>
      </c>
      <c r="D135">
        <v>2008</v>
      </c>
      <c r="E135" s="10">
        <v>2930788.3039082</v>
      </c>
      <c r="F135" s="10">
        <v>650.12733830438697</v>
      </c>
      <c r="G135" s="10">
        <v>1319887.0845279901</v>
      </c>
      <c r="H135" s="10">
        <v>1532813.30229716</v>
      </c>
      <c r="I135" s="10">
        <v>13088.688029303899</v>
      </c>
      <c r="J135" s="10">
        <v>372.98362487373703</v>
      </c>
      <c r="K135" s="10">
        <v>35668.2375910314</v>
      </c>
      <c r="L135" s="10">
        <v>26175.841679933001</v>
      </c>
      <c r="M135" s="10">
        <v>502.16767982333999</v>
      </c>
      <c r="O135">
        <f t="shared" si="9"/>
        <v>15.36345121439428</v>
      </c>
      <c r="P135">
        <f t="shared" si="10"/>
        <v>14.242615364590851</v>
      </c>
    </row>
    <row r="136" spans="1:16" x14ac:dyDescent="0.25">
      <c r="A136">
        <v>419</v>
      </c>
      <c r="B136" t="s">
        <v>88</v>
      </c>
      <c r="C136" t="s">
        <v>62</v>
      </c>
      <c r="D136">
        <v>2009</v>
      </c>
      <c r="E136" s="10">
        <v>3851254.2225345299</v>
      </c>
      <c r="F136" s="10">
        <v>66930.376025991907</v>
      </c>
      <c r="G136" s="10">
        <v>876221.30284243706</v>
      </c>
      <c r="H136" s="10">
        <v>1594092.3239738501</v>
      </c>
      <c r="I136" s="10">
        <v>12796.7334021798</v>
      </c>
      <c r="J136" s="10">
        <v>1956.51824047025</v>
      </c>
      <c r="K136" s="10">
        <v>1238125.80100635</v>
      </c>
      <c r="L136" s="10">
        <v>61131.167043247202</v>
      </c>
      <c r="M136" s="11">
        <v>3.2853915279338901E-9</v>
      </c>
      <c r="O136">
        <f t="shared" si="9"/>
        <v>14.093056748879375</v>
      </c>
      <c r="P136">
        <f t="shared" si="10"/>
        <v>14.281815056337482</v>
      </c>
    </row>
    <row r="137" spans="1:16" x14ac:dyDescent="0.25">
      <c r="A137">
        <v>420</v>
      </c>
      <c r="B137" t="s">
        <v>88</v>
      </c>
      <c r="C137" t="s">
        <v>62</v>
      </c>
      <c r="D137">
        <v>2010</v>
      </c>
      <c r="E137" s="10">
        <v>4988743.49985075</v>
      </c>
      <c r="F137" s="10">
        <v>41842.784333060699</v>
      </c>
      <c r="G137" s="10">
        <v>1066919.5956379799</v>
      </c>
      <c r="H137" s="10">
        <v>2314050.3221577802</v>
      </c>
      <c r="I137" s="10">
        <v>2920.8665959996101</v>
      </c>
      <c r="J137" s="10">
        <v>21808.007559968701</v>
      </c>
      <c r="K137" s="10">
        <v>1174215.2155265</v>
      </c>
      <c r="L137" s="10">
        <v>363068.508202989</v>
      </c>
      <c r="M137" s="11">
        <v>3.13102849780284E-9</v>
      </c>
      <c r="O137">
        <f t="shared" si="9"/>
        <v>13.68337396682881</v>
      </c>
      <c r="P137">
        <f t="shared" si="10"/>
        <v>14.654509933326345</v>
      </c>
    </row>
    <row r="138" spans="1:16" x14ac:dyDescent="0.25">
      <c r="A138">
        <v>421</v>
      </c>
      <c r="B138" t="s">
        <v>88</v>
      </c>
      <c r="C138" t="s">
        <v>62</v>
      </c>
      <c r="D138">
        <v>2011</v>
      </c>
      <c r="E138" s="10">
        <v>4203387.3281213297</v>
      </c>
      <c r="F138" s="10">
        <v>7974.2525341958699</v>
      </c>
      <c r="G138" s="10">
        <v>1274646.02509249</v>
      </c>
      <c r="H138" s="10">
        <v>1077435.7703422599</v>
      </c>
      <c r="I138" s="10">
        <v>6211.6010660719803</v>
      </c>
      <c r="J138" s="10">
        <v>13504.975354263301</v>
      </c>
      <c r="K138" s="10">
        <v>935099.16645540798</v>
      </c>
      <c r="L138" s="10">
        <v>887536.04852796299</v>
      </c>
      <c r="M138" s="11">
        <v>2.5704882503499199E-9</v>
      </c>
      <c r="O138">
        <f t="shared" si="9"/>
        <v>13.880286171903732</v>
      </c>
      <c r="P138">
        <f t="shared" si="10"/>
        <v>13.890094489292126</v>
      </c>
    </row>
    <row r="139" spans="1:16" x14ac:dyDescent="0.25">
      <c r="A139">
        <v>422</v>
      </c>
      <c r="B139" t="s">
        <v>88</v>
      </c>
      <c r="C139" t="s">
        <v>62</v>
      </c>
      <c r="D139">
        <v>2012</v>
      </c>
      <c r="E139" s="10">
        <v>2922090.78612157</v>
      </c>
      <c r="F139" s="10">
        <v>8826.1164022197499</v>
      </c>
      <c r="G139" s="10">
        <v>1047221.51248463</v>
      </c>
      <c r="H139" s="10">
        <v>930354.803322147</v>
      </c>
      <c r="I139" s="10">
        <v>7477.05521001327</v>
      </c>
      <c r="J139" s="10">
        <v>1655.55782916099</v>
      </c>
      <c r="K139" s="10">
        <v>697799.65867182706</v>
      </c>
      <c r="L139" s="10">
        <v>223237.84702726899</v>
      </c>
      <c r="M139" s="10">
        <v>2700.0970269488898</v>
      </c>
      <c r="O139">
        <f t="shared" si="9"/>
        <v>14.05817907065061</v>
      </c>
      <c r="P139">
        <f t="shared" si="10"/>
        <v>13.743321301321949</v>
      </c>
    </row>
    <row r="140" spans="1:16" x14ac:dyDescent="0.25">
      <c r="A140">
        <v>423</v>
      </c>
      <c r="B140" t="s">
        <v>88</v>
      </c>
      <c r="C140" t="s">
        <v>62</v>
      </c>
      <c r="D140">
        <v>2013</v>
      </c>
      <c r="E140" s="10">
        <v>2634359.7024347601</v>
      </c>
      <c r="F140" s="10">
        <v>10045.2678925323</v>
      </c>
      <c r="G140" s="10">
        <v>376289.50874437898</v>
      </c>
      <c r="H140" s="10">
        <v>1729138.02260219</v>
      </c>
      <c r="I140" s="10">
        <v>1857.6667005936199</v>
      </c>
      <c r="J140" s="10">
        <v>2519.2518811537898</v>
      </c>
      <c r="K140" s="10">
        <v>332241.25477528601</v>
      </c>
      <c r="L140" s="10">
        <v>180552.26021676499</v>
      </c>
      <c r="M140" s="11">
        <v>5.2023065034359603E-9</v>
      </c>
      <c r="O140">
        <f t="shared" si="9"/>
        <v>13.861651036228389</v>
      </c>
      <c r="P140">
        <f t="shared" si="10"/>
        <v>14.363133589473669</v>
      </c>
    </row>
    <row r="141" spans="1:16" x14ac:dyDescent="0.25">
      <c r="A141">
        <v>424</v>
      </c>
      <c r="B141" t="s">
        <v>88</v>
      </c>
      <c r="C141" t="s">
        <v>62</v>
      </c>
      <c r="D141">
        <v>2014</v>
      </c>
      <c r="E141" s="10">
        <v>1154655.5874211299</v>
      </c>
      <c r="F141" s="10">
        <v>64066.544515235699</v>
      </c>
      <c r="G141" s="10">
        <v>579294.20315141603</v>
      </c>
      <c r="H141" s="10">
        <v>317253.45950828999</v>
      </c>
      <c r="I141" s="10">
        <v>798.40053338821497</v>
      </c>
      <c r="J141" s="10">
        <v>6942.2666510665003</v>
      </c>
      <c r="K141" s="10">
        <v>144373.05230647299</v>
      </c>
      <c r="L141" s="10">
        <v>39882.253805930697</v>
      </c>
      <c r="M141" s="10">
        <v>0.437429080953327</v>
      </c>
      <c r="O141">
        <f t="shared" si="9"/>
        <v>12.838114096161991</v>
      </c>
      <c r="P141">
        <f t="shared" si="10"/>
        <v>12.667456290192639</v>
      </c>
    </row>
    <row r="142" spans="1:16" x14ac:dyDescent="0.25">
      <c r="A142">
        <v>425</v>
      </c>
      <c r="B142" t="s">
        <v>88</v>
      </c>
      <c r="C142" t="s">
        <v>62</v>
      </c>
      <c r="D142">
        <v>2015</v>
      </c>
      <c r="E142" s="10">
        <v>4248857.7875549896</v>
      </c>
      <c r="F142" s="10">
        <v>104687.355717978</v>
      </c>
      <c r="G142" s="10">
        <v>2738466.3609348601</v>
      </c>
      <c r="H142" s="10">
        <v>790143.78694431903</v>
      </c>
      <c r="I142" s="10">
        <v>19.087966089576401</v>
      </c>
      <c r="J142" s="10">
        <v>41288.330771765097</v>
      </c>
      <c r="K142" s="10">
        <v>441781.20150610898</v>
      </c>
      <c r="L142" s="10">
        <v>132471.63760262699</v>
      </c>
      <c r="M142" s="10">
        <v>0</v>
      </c>
      <c r="O142">
        <f t="shared" si="9"/>
        <v>13.269565750391141</v>
      </c>
      <c r="P142">
        <f t="shared" si="10"/>
        <v>13.579970216671891</v>
      </c>
    </row>
    <row r="143" spans="1:16" x14ac:dyDescent="0.25">
      <c r="A143">
        <v>426</v>
      </c>
      <c r="B143" t="s">
        <v>88</v>
      </c>
      <c r="C143" t="s">
        <v>62</v>
      </c>
      <c r="D143">
        <v>2016</v>
      </c>
      <c r="E143" s="10">
        <v>7192817.5042568697</v>
      </c>
      <c r="F143" s="10">
        <v>29906.304127901902</v>
      </c>
      <c r="G143" s="10">
        <v>3480574.00293882</v>
      </c>
      <c r="H143" s="10">
        <v>2087481.78283184</v>
      </c>
      <c r="I143" s="11">
        <v>4.4967960191069498E-9</v>
      </c>
      <c r="J143" s="10">
        <v>5117.0357371207401</v>
      </c>
      <c r="K143" s="10">
        <v>1304626.3560929301</v>
      </c>
      <c r="L143" s="10">
        <v>283973.00594401901</v>
      </c>
      <c r="M143" s="11">
        <v>4.4967960191069498E-9</v>
      </c>
      <c r="O143">
        <f t="shared" si="9"/>
        <v>14.82290859937471</v>
      </c>
      <c r="P143">
        <f t="shared" si="10"/>
        <v>14.551469008881927</v>
      </c>
    </row>
    <row r="144" spans="1:16" x14ac:dyDescent="0.25">
      <c r="A144">
        <v>427</v>
      </c>
      <c r="B144" t="s">
        <v>88</v>
      </c>
      <c r="C144" t="s">
        <v>62</v>
      </c>
      <c r="D144">
        <v>2017</v>
      </c>
      <c r="E144" s="10">
        <v>6672737.5417433297</v>
      </c>
      <c r="F144" s="10">
        <v>70409.780805152506</v>
      </c>
      <c r="G144" s="10">
        <v>3860506.65211961</v>
      </c>
      <c r="H144" s="10">
        <v>1582990.7372733401</v>
      </c>
      <c r="I144" s="10">
        <v>8425.0575790473795</v>
      </c>
      <c r="J144" s="10">
        <v>978.05286473583305</v>
      </c>
      <c r="K144" s="10">
        <v>653764.07475986099</v>
      </c>
      <c r="L144" s="10">
        <v>495528.20046408399</v>
      </c>
      <c r="M144" s="10">
        <v>0</v>
      </c>
      <c r="O144">
        <f t="shared" si="9"/>
        <v>15.062707781522219</v>
      </c>
      <c r="P144">
        <f t="shared" si="10"/>
        <v>14.274826487471008</v>
      </c>
    </row>
    <row r="145" spans="1:17" x14ac:dyDescent="0.25">
      <c r="A145">
        <v>428</v>
      </c>
      <c r="B145" t="s">
        <v>88</v>
      </c>
      <c r="C145" t="s">
        <v>62</v>
      </c>
      <c r="D145">
        <v>2018</v>
      </c>
      <c r="E145" s="10">
        <v>4770222.7638383303</v>
      </c>
      <c r="F145" s="10">
        <v>13553.7805223411</v>
      </c>
      <c r="G145" s="10">
        <v>2596182.36352685</v>
      </c>
      <c r="H145" s="10">
        <v>2008451.0419007901</v>
      </c>
      <c r="I145" s="10">
        <v>6249.2397297323496</v>
      </c>
      <c r="J145" s="10">
        <v>6.9672682060135702E-2</v>
      </c>
      <c r="K145" s="10">
        <v>56487.626026954502</v>
      </c>
      <c r="L145" s="10">
        <v>84332.1179550245</v>
      </c>
      <c r="M145" s="10">
        <v>4394.5991700281902</v>
      </c>
      <c r="O145">
        <f t="shared" si="9"/>
        <v>15.16630898985337</v>
      </c>
      <c r="P145">
        <f t="shared" si="10"/>
        <v>14.512874357030462</v>
      </c>
    </row>
    <row r="146" spans="1:17" x14ac:dyDescent="0.25">
      <c r="A146">
        <v>429</v>
      </c>
      <c r="B146" t="s">
        <v>88</v>
      </c>
      <c r="C146" t="s">
        <v>62</v>
      </c>
      <c r="D146">
        <v>2019</v>
      </c>
      <c r="E146" s="10">
        <v>3604963.05279249</v>
      </c>
      <c r="F146" s="10">
        <v>53838.484772088799</v>
      </c>
      <c r="G146" s="10">
        <v>1880555.73257158</v>
      </c>
      <c r="H146" s="10">
        <v>1576519.49916722</v>
      </c>
      <c r="I146" s="10">
        <v>2521.96478044898</v>
      </c>
      <c r="J146" s="10">
        <v>6553.6585392591496</v>
      </c>
      <c r="K146" s="10">
        <v>53209.322467960003</v>
      </c>
      <c r="L146" s="10">
        <v>31764.350864809599</v>
      </c>
      <c r="M146" s="10">
        <v>0</v>
      </c>
      <c r="O146">
        <f t="shared" si="9"/>
        <v>14.769552602230549</v>
      </c>
      <c r="P146">
        <f t="shared" si="10"/>
        <v>14.270730126534731</v>
      </c>
    </row>
    <row r="147" spans="1:17" x14ac:dyDescent="0.25">
      <c r="A147">
        <v>430</v>
      </c>
      <c r="B147" t="s">
        <v>88</v>
      </c>
      <c r="C147" t="s">
        <v>62</v>
      </c>
      <c r="D147">
        <v>2020</v>
      </c>
      <c r="E147" s="10">
        <v>5078613.9753586603</v>
      </c>
      <c r="F147" s="10">
        <v>103761.76742640301</v>
      </c>
      <c r="G147" s="10">
        <v>3018962.9741633502</v>
      </c>
      <c r="H147" s="10">
        <v>1598528.3233032301</v>
      </c>
      <c r="I147" s="10">
        <v>1571.9286626010501</v>
      </c>
      <c r="J147" s="10">
        <v>5883.3179923625303</v>
      </c>
      <c r="K147" s="10">
        <v>321079.83426525199</v>
      </c>
      <c r="L147" s="10">
        <v>28825.829545455999</v>
      </c>
      <c r="M147" s="10">
        <v>0</v>
      </c>
      <c r="O147">
        <f t="shared" si="9"/>
        <v>14.447077893556033</v>
      </c>
      <c r="P147">
        <f t="shared" si="10"/>
        <v>14.284593966000836</v>
      </c>
    </row>
    <row r="148" spans="1:17" x14ac:dyDescent="0.25">
      <c r="A148">
        <v>431</v>
      </c>
      <c r="B148" t="s">
        <v>88</v>
      </c>
      <c r="C148" t="s">
        <v>62</v>
      </c>
      <c r="D148">
        <v>2021</v>
      </c>
      <c r="E148" s="10">
        <v>10860143.5009849</v>
      </c>
      <c r="F148" s="10">
        <v>20784.8747594507</v>
      </c>
      <c r="G148" s="10">
        <v>6695358.77405087</v>
      </c>
      <c r="H148" s="10">
        <v>2971244.6736311801</v>
      </c>
      <c r="I148" s="10">
        <v>1.3652687492754301</v>
      </c>
      <c r="J148" s="10">
        <v>3330.4702977678298</v>
      </c>
      <c r="K148" s="10">
        <v>844961.10937457997</v>
      </c>
      <c r="L148" s="10">
        <v>324454.85030290298</v>
      </c>
      <c r="M148" s="10">
        <v>7.3832888385126099</v>
      </c>
      <c r="O148">
        <f t="shared" si="9"/>
        <v>14.920423944341941</v>
      </c>
      <c r="P148">
        <f t="shared" si="10"/>
        <v>14.904491505019235</v>
      </c>
    </row>
    <row r="149" spans="1:17" x14ac:dyDescent="0.25">
      <c r="A149">
        <v>432</v>
      </c>
      <c r="B149" t="s">
        <v>88</v>
      </c>
      <c r="C149" t="s">
        <v>62</v>
      </c>
      <c r="D149">
        <v>2022</v>
      </c>
      <c r="E149" s="10">
        <v>7531752.0898495298</v>
      </c>
      <c r="F149" s="10">
        <v>7524.8988665020197</v>
      </c>
      <c r="G149" s="10">
        <v>1171770.12534896</v>
      </c>
      <c r="H149" s="10">
        <v>5562445.2999657895</v>
      </c>
      <c r="I149" s="10">
        <v>5326.9176739640397</v>
      </c>
      <c r="J149" s="10">
        <v>2901.2421132982699</v>
      </c>
      <c r="K149" s="10">
        <v>527078.42774688103</v>
      </c>
      <c r="L149" s="10">
        <v>254679.49112073399</v>
      </c>
      <c r="M149" s="11">
        <v>1.04825673222059E-6</v>
      </c>
      <c r="O149">
        <f t="shared" si="9"/>
        <v>15.716925124028718</v>
      </c>
      <c r="P149">
        <f t="shared" si="10"/>
        <v>15.531548371694265</v>
      </c>
    </row>
    <row r="150" spans="1:17" x14ac:dyDescent="0.25">
      <c r="A150">
        <v>433</v>
      </c>
      <c r="B150" t="s">
        <v>88</v>
      </c>
      <c r="C150" t="s">
        <v>62</v>
      </c>
      <c r="D150">
        <v>2023</v>
      </c>
      <c r="E150" s="10">
        <v>4378218.5743078599</v>
      </c>
      <c r="F150" s="10">
        <v>170457.91028624499</v>
      </c>
      <c r="G150" s="10">
        <v>392624.76394739799</v>
      </c>
      <c r="H150" s="10">
        <v>2366944.1647468498</v>
      </c>
      <c r="I150" s="10">
        <v>33362.050101911002</v>
      </c>
      <c r="J150" s="10">
        <v>11832.5843482622</v>
      </c>
      <c r="K150" s="10">
        <v>408380.61475767102</v>
      </c>
      <c r="L150" s="10">
        <v>994615.00518225098</v>
      </c>
      <c r="M150" s="10">
        <v>1.0386150066614599E-4</v>
      </c>
      <c r="O150">
        <f t="shared" si="9"/>
        <v>13.974026091100617</v>
      </c>
      <c r="P150">
        <f t="shared" si="10"/>
        <v>14.677110299179809</v>
      </c>
    </row>
    <row r="151" spans="1:17" x14ac:dyDescent="0.25">
      <c r="A151">
        <v>434</v>
      </c>
      <c r="B151" t="s">
        <v>88</v>
      </c>
      <c r="C151" t="s">
        <v>62</v>
      </c>
      <c r="D151">
        <v>2024</v>
      </c>
      <c r="E151" s="10">
        <v>7955574.46845177</v>
      </c>
      <c r="F151" s="10">
        <v>21669.913690783898</v>
      </c>
      <c r="G151" s="10">
        <v>6205992.3463995904</v>
      </c>
      <c r="H151" s="10">
        <v>632686.79126503097</v>
      </c>
      <c r="I151" s="10">
        <v>67.165245394682003</v>
      </c>
      <c r="J151" s="10">
        <v>9706.2957239791995</v>
      </c>
      <c r="K151" s="10">
        <v>468629.152186163</v>
      </c>
      <c r="L151" s="10">
        <v>615312.13145048195</v>
      </c>
      <c r="M151" s="10">
        <v>1510.6721785638399</v>
      </c>
      <c r="O151">
        <f t="shared" si="9"/>
        <v>12.880609635624333</v>
      </c>
      <c r="P151">
        <f t="shared" si="10"/>
        <v>13.35773077814296</v>
      </c>
    </row>
    <row r="152" spans="1:17" x14ac:dyDescent="0.25">
      <c r="A152" t="s">
        <v>90</v>
      </c>
      <c r="O152">
        <f t="shared" si="9"/>
        <v>15.641025890731498</v>
      </c>
    </row>
    <row r="153" spans="1:17" x14ac:dyDescent="0.25">
      <c r="D153" t="s">
        <v>91</v>
      </c>
      <c r="E153" s="10">
        <f>AVERAGE(E127:E151)</f>
        <v>4490314.0767537449</v>
      </c>
      <c r="F153" s="10">
        <f t="shared" ref="F153:M153" si="11">AVERAGE(F127:F151)</f>
        <v>33441.034683211386</v>
      </c>
      <c r="G153" s="15">
        <f t="shared" si="11"/>
        <v>1983953.399400942</v>
      </c>
      <c r="H153" s="15">
        <f t="shared" si="11"/>
        <v>1650452.1220201741</v>
      </c>
      <c r="I153" s="10">
        <f t="shared" si="11"/>
        <v>9683.6823173675748</v>
      </c>
      <c r="J153" s="10">
        <f t="shared" si="11"/>
        <v>6661.422293290173</v>
      </c>
      <c r="K153" s="15">
        <f t="shared" si="11"/>
        <v>545929.30988881399</v>
      </c>
      <c r="L153" s="15">
        <f t="shared" si="11"/>
        <v>257816.06667284667</v>
      </c>
      <c r="M153" s="10">
        <f t="shared" si="11"/>
        <v>716.82344900228532</v>
      </c>
      <c r="O153" t="s">
        <v>92</v>
      </c>
    </row>
    <row r="154" spans="1:17" x14ac:dyDescent="0.25">
      <c r="D154" t="s">
        <v>93</v>
      </c>
      <c r="F154" s="16">
        <f>F153/$E$153</f>
        <v>7.4473709659497699E-3</v>
      </c>
      <c r="G154" s="16">
        <f t="shared" ref="G154:M154" si="12">G153/$E$153</f>
        <v>0.44182953920123857</v>
      </c>
      <c r="H154" s="16">
        <f t="shared" si="12"/>
        <v>0.36755828073687041</v>
      </c>
      <c r="I154" s="16">
        <f t="shared" si="12"/>
        <v>2.1565712669186729E-3</v>
      </c>
      <c r="J154" s="16">
        <f t="shared" si="12"/>
        <v>1.4835092110318533E-3</v>
      </c>
      <c r="K154" s="16">
        <f t="shared" si="12"/>
        <v>0.12157931506730849</v>
      </c>
      <c r="L154" s="16">
        <f t="shared" si="12"/>
        <v>5.7416043124367329E-2</v>
      </c>
      <c r="M154" s="16">
        <f t="shared" si="12"/>
        <v>1.5963770835391319E-4</v>
      </c>
      <c r="O154" t="s">
        <v>94</v>
      </c>
      <c r="Q154" s="17">
        <f>E153-G153-H153-K153-L153</f>
        <v>52163.178770968108</v>
      </c>
    </row>
    <row r="173" spans="2:10" x14ac:dyDescent="0.25">
      <c r="B173" t="s">
        <v>95</v>
      </c>
    </row>
    <row r="174" spans="2:10" x14ac:dyDescent="0.25">
      <c r="B174" t="s">
        <v>96</v>
      </c>
    </row>
    <row r="175" spans="2:10" x14ac:dyDescent="0.25">
      <c r="B175" t="s">
        <v>97</v>
      </c>
      <c r="C175" s="10">
        <v>6205992.3463995904</v>
      </c>
      <c r="D175" t="s">
        <v>98</v>
      </c>
    </row>
    <row r="176" spans="2:10" x14ac:dyDescent="0.25">
      <c r="B176">
        <v>1051.3</v>
      </c>
      <c r="C176">
        <v>0.51060000000000005</v>
      </c>
      <c r="D176" t="s">
        <v>99</v>
      </c>
      <c r="E176" s="17">
        <f>B176*C175^C176</f>
        <v>3091263.8938754527</v>
      </c>
      <c r="F176" t="s">
        <v>100</v>
      </c>
      <c r="G176" t="s">
        <v>101</v>
      </c>
      <c r="J176" t="s">
        <v>102</v>
      </c>
    </row>
    <row r="194" spans="2:11" x14ac:dyDescent="0.25">
      <c r="B194" t="s">
        <v>103</v>
      </c>
    </row>
    <row r="195" spans="2:11" x14ac:dyDescent="0.25">
      <c r="B195" t="s">
        <v>95</v>
      </c>
    </row>
    <row r="196" spans="2:11" x14ac:dyDescent="0.25">
      <c r="B196" t="s">
        <v>104</v>
      </c>
      <c r="C196">
        <v>21670</v>
      </c>
      <c r="D196" t="s">
        <v>105</v>
      </c>
      <c r="F196" s="17">
        <f>B197*C196^C197</f>
        <v>1742352.7123673891</v>
      </c>
      <c r="G196" t="s">
        <v>28</v>
      </c>
      <c r="H196" t="s">
        <v>106</v>
      </c>
      <c r="K196" t="s">
        <v>107</v>
      </c>
    </row>
    <row r="197" spans="2:11" x14ac:dyDescent="0.25">
      <c r="B197">
        <v>29983</v>
      </c>
      <c r="C197">
        <v>0.40689999999999998</v>
      </c>
    </row>
    <row r="216" spans="2:14" x14ac:dyDescent="0.25">
      <c r="B216" t="s">
        <v>108</v>
      </c>
      <c r="C216">
        <v>9706</v>
      </c>
      <c r="D216" t="s">
        <v>16</v>
      </c>
      <c r="E216" s="17">
        <f>C217+B217*C216</f>
        <v>653114.13199999998</v>
      </c>
      <c r="K216" t="s">
        <v>109</v>
      </c>
      <c r="L216" s="10">
        <v>468629.152186163</v>
      </c>
      <c r="M216" t="s">
        <v>16</v>
      </c>
      <c r="N216" s="17">
        <f>K217*L216^L217</f>
        <v>199418.93990403978</v>
      </c>
    </row>
    <row r="217" spans="2:14" x14ac:dyDescent="0.25">
      <c r="B217">
        <v>23.122</v>
      </c>
      <c r="C217">
        <v>428692</v>
      </c>
      <c r="K217">
        <v>15.654999999999999</v>
      </c>
      <c r="L217">
        <v>0.72389999999999999</v>
      </c>
    </row>
    <row r="219" spans="2:14" ht="15.75" thickBot="1" x14ac:dyDescent="0.3">
      <c r="H219" t="s">
        <v>110</v>
      </c>
    </row>
    <row r="220" spans="2:14" x14ac:dyDescent="0.25">
      <c r="C220" s="18">
        <v>1.2</v>
      </c>
      <c r="D220" s="19">
        <v>1742352.7123673891</v>
      </c>
      <c r="E220" t="s">
        <v>111</v>
      </c>
      <c r="F220" s="20"/>
      <c r="H220">
        <v>1.62</v>
      </c>
      <c r="L220" s="17"/>
    </row>
    <row r="221" spans="2:14" x14ac:dyDescent="0.25">
      <c r="C221" s="21">
        <v>1.3</v>
      </c>
      <c r="D221" s="17">
        <v>3309916.4998079794</v>
      </c>
      <c r="E221" t="s">
        <v>112</v>
      </c>
      <c r="F221" s="22"/>
      <c r="H221">
        <v>4.54</v>
      </c>
      <c r="I221" t="s">
        <v>113</v>
      </c>
      <c r="L221" s="17"/>
    </row>
    <row r="222" spans="2:14" x14ac:dyDescent="0.25">
      <c r="C222" s="21">
        <v>2.2000000000000002</v>
      </c>
      <c r="D222" s="17">
        <v>653114.13199999998</v>
      </c>
      <c r="E222" t="s">
        <v>111</v>
      </c>
      <c r="F222" s="22"/>
      <c r="H222">
        <v>0.52</v>
      </c>
    </row>
    <row r="223" spans="2:14" x14ac:dyDescent="0.25">
      <c r="C223" s="21">
        <v>2.2999999999999998</v>
      </c>
      <c r="D223" s="17">
        <v>199418.93990403978</v>
      </c>
      <c r="E223" t="s">
        <v>111</v>
      </c>
      <c r="F223" s="22"/>
      <c r="H223">
        <v>0.23</v>
      </c>
    </row>
    <row r="224" spans="2:14" x14ac:dyDescent="0.25">
      <c r="C224" s="21" t="s">
        <v>114</v>
      </c>
      <c r="D224" s="17">
        <v>52163.178770968108</v>
      </c>
      <c r="E224" t="s">
        <v>115</v>
      </c>
      <c r="F224" s="22"/>
    </row>
    <row r="225" spans="3:8" ht="15.75" thickBot="1" x14ac:dyDescent="0.3">
      <c r="C225" s="23" t="s">
        <v>116</v>
      </c>
      <c r="D225" s="7">
        <f>SUM(D220:D224)</f>
        <v>5956965.462850376</v>
      </c>
      <c r="E225" s="4"/>
      <c r="F225" s="24"/>
      <c r="H225">
        <v>6.9</v>
      </c>
    </row>
    <row r="227" spans="3:8" x14ac:dyDescent="0.25">
      <c r="C227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Cors</vt:lpstr>
      <vt:lpstr>ENVIRO</vt:lpstr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2025-05-20T16:02:46Z</dcterms:modified>
</cp:coreProperties>
</file>