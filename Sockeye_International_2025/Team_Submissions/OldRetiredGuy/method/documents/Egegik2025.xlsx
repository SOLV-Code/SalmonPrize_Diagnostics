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1C215FEA-E118-46A9-AD2E-A59890A67D5A}" xr6:coauthVersionLast="47" xr6:coauthVersionMax="47" xr10:uidLastSave="{00000000-0000-0000-0000-000000000000}"/>
  <bookViews>
    <workbookView xWindow="-120" yWindow="-120" windowWidth="29040" windowHeight="15720" activeTab="3" xr2:uid="{F2506C93-5B32-4D82-B9C1-43481305A108}"/>
  </bookViews>
  <sheets>
    <sheet name="Cors" sheetId="5" r:id="rId1"/>
    <sheet name="Sheet1" sheetId="6" r:id="rId2"/>
    <sheet name="MAINPRED" sheetId="7" r:id="rId3"/>
    <sheet name="Enviro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7" i="7" l="1"/>
  <c r="R266" i="7"/>
  <c r="N250" i="7"/>
  <c r="O250" i="7" s="1"/>
  <c r="G230" i="7"/>
  <c r="H230" i="7" s="1"/>
  <c r="V204" i="7"/>
  <c r="G204" i="7"/>
  <c r="K207" i="7" s="1"/>
  <c r="L207" i="7" s="1"/>
  <c r="N180" i="7"/>
  <c r="M180" i="7"/>
  <c r="L180" i="7"/>
  <c r="K180" i="7"/>
  <c r="J180" i="7"/>
  <c r="H180" i="7"/>
  <c r="N175" i="7"/>
  <c r="J175" i="7"/>
  <c r="I175" i="7"/>
  <c r="H175" i="7"/>
  <c r="G175" i="7"/>
  <c r="F175" i="7"/>
  <c r="P170" i="7"/>
  <c r="O170" i="7"/>
  <c r="O175" i="7" s="1"/>
  <c r="N170" i="7"/>
  <c r="M170" i="7"/>
  <c r="M175" i="7" s="1"/>
  <c r="L170" i="7"/>
  <c r="L175" i="7" s="1"/>
  <c r="K170" i="7"/>
  <c r="K175" i="7" s="1"/>
  <c r="J170" i="7"/>
  <c r="I170" i="7"/>
  <c r="I180" i="7" s="1"/>
  <c r="H170" i="7"/>
  <c r="G170" i="7"/>
  <c r="G180" i="7" s="1"/>
  <c r="F170" i="7"/>
  <c r="F180" i="7" s="1"/>
  <c r="E170" i="7"/>
  <c r="E176" i="7" s="1"/>
  <c r="AD165" i="7"/>
  <c r="P164" i="7"/>
  <c r="O164" i="7"/>
  <c r="N164" i="7"/>
  <c r="M164" i="7"/>
  <c r="L164" i="7"/>
  <c r="K164" i="7"/>
  <c r="J164" i="7"/>
  <c r="I164" i="7"/>
  <c r="H164" i="7"/>
  <c r="G164" i="7"/>
  <c r="E164" i="7"/>
  <c r="W162" i="7"/>
  <c r="F162" i="7"/>
  <c r="W161" i="7"/>
  <c r="R161" i="7"/>
  <c r="F161" i="7"/>
  <c r="W160" i="7"/>
  <c r="R160" i="7"/>
  <c r="F160" i="7"/>
  <c r="W159" i="7"/>
  <c r="R159" i="7"/>
  <c r="F159" i="7"/>
  <c r="W158" i="7"/>
  <c r="R158" i="7"/>
  <c r="F158" i="7"/>
  <c r="W157" i="7"/>
  <c r="R157" i="7"/>
  <c r="F157" i="7"/>
  <c r="W156" i="7"/>
  <c r="R156" i="7"/>
  <c r="F156" i="7"/>
  <c r="W155" i="7"/>
  <c r="R155" i="7"/>
  <c r="F155" i="7"/>
  <c r="W154" i="7"/>
  <c r="R154" i="7"/>
  <c r="F154" i="7"/>
  <c r="W153" i="7"/>
  <c r="R153" i="7"/>
  <c r="F153" i="7"/>
  <c r="W152" i="7"/>
  <c r="R152" i="7"/>
  <c r="F152" i="7"/>
  <c r="W151" i="7"/>
  <c r="R151" i="7"/>
  <c r="F151" i="7"/>
  <c r="W150" i="7"/>
  <c r="R150" i="7"/>
  <c r="F150" i="7"/>
  <c r="W149" i="7"/>
  <c r="R149" i="7"/>
  <c r="F149" i="7"/>
  <c r="W148" i="7"/>
  <c r="R148" i="7"/>
  <c r="F148" i="7"/>
  <c r="W147" i="7"/>
  <c r="R147" i="7"/>
  <c r="F147" i="7"/>
  <c r="W146" i="7"/>
  <c r="R146" i="7"/>
  <c r="F146" i="7"/>
  <c r="W145" i="7"/>
  <c r="R145" i="7"/>
  <c r="F145" i="7"/>
  <c r="W144" i="7"/>
  <c r="R144" i="7"/>
  <c r="F144" i="7"/>
  <c r="W143" i="7"/>
  <c r="R143" i="7"/>
  <c r="F143" i="7"/>
  <c r="W142" i="7"/>
  <c r="R142" i="7"/>
  <c r="F142" i="7"/>
  <c r="W141" i="7"/>
  <c r="R141" i="7"/>
  <c r="F141" i="7"/>
  <c r="W140" i="7"/>
  <c r="R140" i="7"/>
  <c r="F140" i="7"/>
  <c r="W139" i="7"/>
  <c r="R139" i="7"/>
  <c r="F139" i="7"/>
  <c r="W138" i="7"/>
  <c r="R138" i="7"/>
  <c r="F138" i="7"/>
  <c r="W137" i="7"/>
  <c r="R137" i="7"/>
  <c r="F137" i="7"/>
  <c r="W136" i="7"/>
  <c r="R136" i="7"/>
  <c r="F136" i="7"/>
  <c r="W135" i="7"/>
  <c r="R135" i="7"/>
  <c r="F135" i="7"/>
  <c r="W134" i="7"/>
  <c r="R134" i="7"/>
  <c r="F134" i="7"/>
  <c r="W133" i="7"/>
  <c r="R133" i="7"/>
  <c r="F133" i="7"/>
  <c r="W132" i="7"/>
  <c r="R132" i="7"/>
  <c r="F132" i="7"/>
  <c r="W131" i="7"/>
  <c r="R131" i="7"/>
  <c r="F131" i="7"/>
  <c r="W130" i="7"/>
  <c r="R130" i="7"/>
  <c r="F130" i="7"/>
  <c r="W129" i="7"/>
  <c r="R129" i="7"/>
  <c r="F129" i="7"/>
  <c r="W128" i="7"/>
  <c r="R128" i="7"/>
  <c r="F128" i="7"/>
  <c r="W127" i="7"/>
  <c r="R127" i="7"/>
  <c r="F127" i="7"/>
  <c r="W126" i="7"/>
  <c r="R126" i="7"/>
  <c r="F126" i="7"/>
  <c r="W125" i="7"/>
  <c r="R125" i="7"/>
  <c r="F125" i="7"/>
  <c r="W124" i="7"/>
  <c r="R124" i="7"/>
  <c r="F124" i="7"/>
  <c r="W123" i="7"/>
  <c r="R123" i="7"/>
  <c r="F123" i="7"/>
  <c r="W122" i="7"/>
  <c r="R122" i="7"/>
  <c r="F122" i="7"/>
  <c r="W121" i="7"/>
  <c r="R121" i="7"/>
  <c r="F121" i="7"/>
  <c r="W120" i="7"/>
  <c r="R120" i="7"/>
  <c r="F120" i="7"/>
  <c r="W119" i="7"/>
  <c r="R119" i="7"/>
  <c r="F119" i="7"/>
  <c r="W118" i="7"/>
  <c r="R118" i="7"/>
  <c r="F118" i="7"/>
  <c r="W117" i="7"/>
  <c r="R117" i="7"/>
  <c r="F117" i="7"/>
  <c r="W116" i="7"/>
  <c r="R116" i="7"/>
  <c r="F116" i="7"/>
  <c r="W115" i="7"/>
  <c r="R115" i="7"/>
  <c r="F115" i="7"/>
  <c r="W114" i="7"/>
  <c r="R114" i="7"/>
  <c r="F114" i="7"/>
  <c r="W113" i="7"/>
  <c r="R113" i="7"/>
  <c r="F113" i="7"/>
  <c r="W112" i="7"/>
  <c r="R112" i="7"/>
  <c r="F112" i="7"/>
  <c r="W111" i="7"/>
  <c r="R111" i="7"/>
  <c r="F111" i="7"/>
  <c r="W110" i="7"/>
  <c r="R110" i="7"/>
  <c r="F110" i="7"/>
  <c r="W109" i="7"/>
  <c r="R109" i="7"/>
  <c r="F109" i="7"/>
  <c r="W108" i="7"/>
  <c r="R108" i="7"/>
  <c r="F108" i="7"/>
  <c r="W107" i="7"/>
  <c r="R107" i="7"/>
  <c r="F107" i="7"/>
  <c r="W106" i="7"/>
  <c r="R106" i="7"/>
  <c r="N97" i="7" s="1"/>
  <c r="F106" i="7"/>
  <c r="W105" i="7"/>
  <c r="R105" i="7"/>
  <c r="F105" i="7"/>
  <c r="W104" i="7"/>
  <c r="R104" i="7"/>
  <c r="F104" i="7"/>
  <c r="W103" i="7"/>
  <c r="R103" i="7"/>
  <c r="F103" i="7"/>
  <c r="W102" i="7"/>
  <c r="R102" i="7"/>
  <c r="F102" i="7"/>
  <c r="W101" i="7"/>
  <c r="R101" i="7"/>
  <c r="F101" i="7"/>
  <c r="P89" i="7"/>
  <c r="P86" i="7"/>
  <c r="S86" i="7" s="1"/>
  <c r="D67" i="7"/>
  <c r="I66" i="7"/>
  <c r="H66" i="7"/>
  <c r="G66" i="7"/>
  <c r="F66" i="7"/>
  <c r="D66" i="7"/>
  <c r="L65" i="7"/>
  <c r="J65" i="7"/>
  <c r="H65" i="7"/>
  <c r="G65" i="7"/>
  <c r="F65" i="7"/>
  <c r="E65" i="7"/>
  <c r="D65" i="7"/>
  <c r="G67" i="7" s="1"/>
  <c r="J64" i="7"/>
  <c r="L64" i="7" s="1"/>
  <c r="E64" i="7"/>
  <c r="D64" i="7"/>
  <c r="H67" i="7" s="1"/>
  <c r="J63" i="7"/>
  <c r="L63" i="7" s="1"/>
  <c r="H63" i="7"/>
  <c r="F63" i="7"/>
  <c r="D63" i="7"/>
  <c r="I62" i="7"/>
  <c r="H62" i="7"/>
  <c r="G62" i="7"/>
  <c r="D62" i="7"/>
  <c r="J61" i="7"/>
  <c r="L61" i="7" s="1"/>
  <c r="I61" i="7"/>
  <c r="D61" i="7"/>
  <c r="F62" i="7" s="1"/>
  <c r="L60" i="7"/>
  <c r="J60" i="7"/>
  <c r="I60" i="7"/>
  <c r="G60" i="7"/>
  <c r="F60" i="7"/>
  <c r="D60" i="7"/>
  <c r="I59" i="7"/>
  <c r="F59" i="7"/>
  <c r="D59" i="7"/>
  <c r="I58" i="7"/>
  <c r="H58" i="7"/>
  <c r="D58" i="7"/>
  <c r="H61" i="7" s="1"/>
  <c r="L57" i="7"/>
  <c r="J57" i="7"/>
  <c r="H57" i="7"/>
  <c r="G57" i="7"/>
  <c r="F57" i="7"/>
  <c r="D57" i="7"/>
  <c r="J56" i="7"/>
  <c r="L56" i="7" s="1"/>
  <c r="I56" i="7"/>
  <c r="F56" i="7"/>
  <c r="D56" i="7"/>
  <c r="G58" i="7" s="1"/>
  <c r="H55" i="7"/>
  <c r="D55" i="7"/>
  <c r="E55" i="7" s="1"/>
  <c r="J54" i="7"/>
  <c r="L54" i="7" s="1"/>
  <c r="G54" i="7"/>
  <c r="D54" i="7"/>
  <c r="J53" i="7"/>
  <c r="L53" i="7" s="1"/>
  <c r="I53" i="7"/>
  <c r="F53" i="7"/>
  <c r="D53" i="7"/>
  <c r="I52" i="7"/>
  <c r="H52" i="7"/>
  <c r="D52" i="7"/>
  <c r="I51" i="7"/>
  <c r="G51" i="7"/>
  <c r="F51" i="7"/>
  <c r="D51" i="7"/>
  <c r="E51" i="7" s="1"/>
  <c r="L50" i="7"/>
  <c r="J50" i="7"/>
  <c r="H50" i="7"/>
  <c r="G50" i="7"/>
  <c r="F50" i="7"/>
  <c r="D50" i="7"/>
  <c r="H53" i="7" s="1"/>
  <c r="I49" i="7"/>
  <c r="H49" i="7"/>
  <c r="F49" i="7"/>
  <c r="E49" i="7"/>
  <c r="D49" i="7"/>
  <c r="H48" i="7"/>
  <c r="D48" i="7"/>
  <c r="H51" i="7" s="1"/>
  <c r="J47" i="7"/>
  <c r="L47" i="7" s="1"/>
  <c r="H47" i="7"/>
  <c r="G47" i="7"/>
  <c r="F47" i="7"/>
  <c r="E47" i="7"/>
  <c r="D47" i="7"/>
  <c r="F48" i="7" s="1"/>
  <c r="J46" i="7"/>
  <c r="L46" i="7" s="1"/>
  <c r="I46" i="7"/>
  <c r="H46" i="7"/>
  <c r="G46" i="7"/>
  <c r="F46" i="7"/>
  <c r="K46" i="7" s="1"/>
  <c r="E46" i="7"/>
  <c r="D46" i="7"/>
  <c r="H45" i="7"/>
  <c r="G45" i="7"/>
  <c r="D45" i="7"/>
  <c r="J44" i="7"/>
  <c r="L44" i="7" s="1"/>
  <c r="H44" i="7"/>
  <c r="G44" i="7"/>
  <c r="D44" i="7"/>
  <c r="J49" i="7" s="1"/>
  <c r="L49" i="7" s="1"/>
  <c r="I43" i="7"/>
  <c r="G43" i="7"/>
  <c r="F43" i="7"/>
  <c r="D43" i="7"/>
  <c r="H42" i="7"/>
  <c r="F42" i="7"/>
  <c r="D42" i="7"/>
  <c r="E42" i="7" s="1"/>
  <c r="J41" i="7"/>
  <c r="L41" i="7" s="1"/>
  <c r="I41" i="7"/>
  <c r="G41" i="7"/>
  <c r="D41" i="7"/>
  <c r="I45" i="7" s="1"/>
  <c r="H40" i="7"/>
  <c r="F40" i="7"/>
  <c r="D40" i="7"/>
  <c r="H43" i="7" s="1"/>
  <c r="D39" i="7"/>
  <c r="J38" i="7"/>
  <c r="L38" i="7" s="1"/>
  <c r="I38" i="7"/>
  <c r="F38" i="7"/>
  <c r="D38" i="7"/>
  <c r="E38" i="7" s="1"/>
  <c r="H37" i="7"/>
  <c r="D37" i="7"/>
  <c r="D36" i="7"/>
  <c r="G38" i="7" s="1"/>
  <c r="J35" i="7"/>
  <c r="L35" i="7" s="1"/>
  <c r="I35" i="7"/>
  <c r="H35" i="7"/>
  <c r="F35" i="7"/>
  <c r="D35" i="7"/>
  <c r="H38" i="7" s="1"/>
  <c r="J34" i="7"/>
  <c r="L34" i="7" s="1"/>
  <c r="I34" i="7"/>
  <c r="H34" i="7"/>
  <c r="F34" i="7"/>
  <c r="E34" i="7"/>
  <c r="D34" i="7"/>
  <c r="D33" i="7"/>
  <c r="G35" i="7" s="1"/>
  <c r="G32" i="7"/>
  <c r="D32" i="7"/>
  <c r="G31" i="7"/>
  <c r="F31" i="7"/>
  <c r="D31" i="7"/>
  <c r="G33" i="7" s="1"/>
  <c r="H30" i="7"/>
  <c r="D30" i="7"/>
  <c r="I29" i="7"/>
  <c r="G29" i="7"/>
  <c r="F29" i="7"/>
  <c r="D29" i="7"/>
  <c r="H28" i="7"/>
  <c r="D28" i="7"/>
  <c r="D27" i="7"/>
  <c r="I26" i="7"/>
  <c r="D26" i="7"/>
  <c r="G28" i="7" s="1"/>
  <c r="J25" i="7"/>
  <c r="L25" i="7" s="1"/>
  <c r="Q25" i="7" s="1"/>
  <c r="D25" i="7"/>
  <c r="G27" i="7" s="1"/>
  <c r="I24" i="7"/>
  <c r="H24" i="7"/>
  <c r="G24" i="7"/>
  <c r="D24" i="7"/>
  <c r="I23" i="7"/>
  <c r="H23" i="7"/>
  <c r="G23" i="7"/>
  <c r="F23" i="7"/>
  <c r="D23" i="7"/>
  <c r="E23" i="7" s="1"/>
  <c r="D22" i="7"/>
  <c r="H21" i="7"/>
  <c r="G21" i="7"/>
  <c r="F21" i="7"/>
  <c r="D21" i="7"/>
  <c r="E21" i="7" s="1"/>
  <c r="D20" i="7"/>
  <c r="G22" i="7" s="1"/>
  <c r="J19" i="7"/>
  <c r="I19" i="7"/>
  <c r="H19" i="7"/>
  <c r="G19" i="7"/>
  <c r="F19" i="7"/>
  <c r="D19" i="7"/>
  <c r="I18" i="7"/>
  <c r="H18" i="7"/>
  <c r="G18" i="7"/>
  <c r="D18" i="7"/>
  <c r="J23" i="7" s="1"/>
  <c r="H17" i="7"/>
  <c r="G17" i="7"/>
  <c r="D17" i="7"/>
  <c r="H16" i="7"/>
  <c r="G16" i="7"/>
  <c r="D16" i="7"/>
  <c r="L15" i="7"/>
  <c r="Q15" i="7" s="1"/>
  <c r="J15" i="7"/>
  <c r="G15" i="7"/>
  <c r="F15" i="7"/>
  <c r="D15" i="7"/>
  <c r="Q14" i="7"/>
  <c r="O14" i="7"/>
  <c r="I14" i="7"/>
  <c r="P14" i="7" s="1"/>
  <c r="H14" i="7"/>
  <c r="D14" i="7"/>
  <c r="E14" i="7" s="1"/>
  <c r="J13" i="7"/>
  <c r="I13" i="7"/>
  <c r="H13" i="7"/>
  <c r="G13" i="7"/>
  <c r="D13" i="7"/>
  <c r="I17" i="7" s="1"/>
  <c r="H12" i="7"/>
  <c r="G12" i="7"/>
  <c r="D12" i="7"/>
  <c r="I16" i="7" s="1"/>
  <c r="I11" i="7"/>
  <c r="H11" i="7"/>
  <c r="G11" i="7"/>
  <c r="F11" i="7"/>
  <c r="E11" i="7"/>
  <c r="D11" i="7"/>
  <c r="F10" i="7"/>
  <c r="E10" i="7"/>
  <c r="D10" i="7"/>
  <c r="F9" i="7"/>
  <c r="E9" i="7"/>
  <c r="D9" i="7"/>
  <c r="J14" i="7" s="1"/>
  <c r="L14" i="7" s="1"/>
  <c r="D8" i="7"/>
  <c r="G10" i="7" s="1"/>
  <c r="D7" i="7"/>
  <c r="E7" i="7" s="1"/>
  <c r="D6" i="7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T48" i="4"/>
  <c r="L23" i="7" l="1"/>
  <c r="N23" i="7" s="1"/>
  <c r="K38" i="7"/>
  <c r="K62" i="7"/>
  <c r="O13" i="7"/>
  <c r="P13" i="7"/>
  <c r="P175" i="7"/>
  <c r="P180" i="7"/>
  <c r="M19" i="7"/>
  <c r="F58" i="7"/>
  <c r="G59" i="7"/>
  <c r="H9" i="7"/>
  <c r="G8" i="7"/>
  <c r="O19" i="7"/>
  <c r="G97" i="7"/>
  <c r="J48" i="7"/>
  <c r="L48" i="7" s="1"/>
  <c r="F44" i="7"/>
  <c r="E43" i="7"/>
  <c r="I57" i="7"/>
  <c r="K57" i="7" s="1"/>
  <c r="H56" i="7"/>
  <c r="F54" i="7"/>
  <c r="K54" i="7" s="1"/>
  <c r="I97" i="7"/>
  <c r="I36" i="7"/>
  <c r="F33" i="7"/>
  <c r="J37" i="7"/>
  <c r="L37" i="7" s="1"/>
  <c r="K97" i="7"/>
  <c r="I28" i="7"/>
  <c r="E24" i="7"/>
  <c r="F25" i="7"/>
  <c r="H27" i="7"/>
  <c r="G26" i="7"/>
  <c r="F32" i="7"/>
  <c r="J43" i="7"/>
  <c r="L43" i="7" s="1"/>
  <c r="J58" i="7"/>
  <c r="L58" i="7" s="1"/>
  <c r="F67" i="7"/>
  <c r="E67" i="7"/>
  <c r="E57" i="7"/>
  <c r="H64" i="7"/>
  <c r="E61" i="7"/>
  <c r="G63" i="7"/>
  <c r="J66" i="7"/>
  <c r="L66" i="7" s="1"/>
  <c r="H54" i="7"/>
  <c r="F52" i="7"/>
  <c r="K52" i="7" s="1"/>
  <c r="I55" i="7"/>
  <c r="H39" i="7"/>
  <c r="F37" i="7"/>
  <c r="I40" i="7"/>
  <c r="N15" i="7"/>
  <c r="E36" i="7"/>
  <c r="E62" i="7"/>
  <c r="O23" i="7"/>
  <c r="J36" i="7"/>
  <c r="L36" i="7" s="1"/>
  <c r="P19" i="7"/>
  <c r="G42" i="7"/>
  <c r="K42" i="7" s="1"/>
  <c r="Q19" i="7"/>
  <c r="F28" i="7"/>
  <c r="J32" i="7"/>
  <c r="L32" i="7" s="1"/>
  <c r="E27" i="7"/>
  <c r="I31" i="7"/>
  <c r="E16" i="7"/>
  <c r="I20" i="7"/>
  <c r="J21" i="7"/>
  <c r="E66" i="7"/>
  <c r="K66" i="7"/>
  <c r="N19" i="7"/>
  <c r="E31" i="7"/>
  <c r="J12" i="7"/>
  <c r="G9" i="7"/>
  <c r="F8" i="7"/>
  <c r="T170" i="7"/>
  <c r="I39" i="7"/>
  <c r="F36" i="7"/>
  <c r="G37" i="7"/>
  <c r="J40" i="7"/>
  <c r="L40" i="7" s="1"/>
  <c r="I30" i="7"/>
  <c r="E26" i="7"/>
  <c r="F27" i="7"/>
  <c r="E12" i="7"/>
  <c r="F13" i="7"/>
  <c r="H15" i="7"/>
  <c r="O15" i="7" s="1"/>
  <c r="J17" i="7"/>
  <c r="M15" i="7"/>
  <c r="F7" i="7"/>
  <c r="K19" i="7"/>
  <c r="K23" i="7"/>
  <c r="J31" i="7"/>
  <c r="L31" i="7" s="1"/>
  <c r="L19" i="7"/>
  <c r="I47" i="7"/>
  <c r="K47" i="7" s="1"/>
  <c r="J62" i="7"/>
  <c r="L62" i="7" s="1"/>
  <c r="J97" i="7"/>
  <c r="M97" i="7"/>
  <c r="J22" i="7"/>
  <c r="F18" i="7"/>
  <c r="H20" i="7"/>
  <c r="I21" i="7"/>
  <c r="H10" i="7"/>
  <c r="E17" i="7"/>
  <c r="Q164" i="7"/>
  <c r="L165" i="7" s="1"/>
  <c r="I10" i="7"/>
  <c r="G61" i="7"/>
  <c r="I63" i="7"/>
  <c r="K63" i="7" s="1"/>
  <c r="E59" i="7"/>
  <c r="Q97" i="7"/>
  <c r="O97" i="7"/>
  <c r="P97" i="7"/>
  <c r="J16" i="7"/>
  <c r="F12" i="7"/>
  <c r="I15" i="7"/>
  <c r="P15" i="7" s="1"/>
  <c r="G14" i="7"/>
  <c r="N14" i="7" s="1"/>
  <c r="F30" i="7"/>
  <c r="I33" i="7"/>
  <c r="H32" i="7"/>
  <c r="F55" i="7"/>
  <c r="G56" i="7"/>
  <c r="J59" i="7"/>
  <c r="L59" i="7" s="1"/>
  <c r="E54" i="7"/>
  <c r="H97" i="7"/>
  <c r="I42" i="7"/>
  <c r="H41" i="7"/>
  <c r="F39" i="7"/>
  <c r="K39" i="7" s="1"/>
  <c r="E39" i="7"/>
  <c r="E53" i="7"/>
  <c r="L13" i="7"/>
  <c r="N13" i="7" s="1"/>
  <c r="E28" i="7"/>
  <c r="G30" i="7"/>
  <c r="J33" i="7"/>
  <c r="L33" i="7" s="1"/>
  <c r="I32" i="7"/>
  <c r="H31" i="7"/>
  <c r="K31" i="7" s="1"/>
  <c r="E32" i="7"/>
  <c r="G53" i="7"/>
  <c r="K53" i="7" s="1"/>
  <c r="L97" i="7"/>
  <c r="J26" i="7"/>
  <c r="F22" i="7"/>
  <c r="F17" i="7"/>
  <c r="F45" i="7"/>
  <c r="I48" i="7"/>
  <c r="E44" i="7"/>
  <c r="I25" i="7"/>
  <c r="P25" i="7" s="1"/>
  <c r="E29" i="7"/>
  <c r="G34" i="7"/>
  <c r="K34" i="7" s="1"/>
  <c r="O180" i="7"/>
  <c r="E35" i="7"/>
  <c r="J28" i="7"/>
  <c r="F24" i="7"/>
  <c r="G25" i="7"/>
  <c r="N25" i="7" s="1"/>
  <c r="I27" i="7"/>
  <c r="H26" i="7"/>
  <c r="K29" i="7"/>
  <c r="E18" i="7"/>
  <c r="G20" i="7"/>
  <c r="I22" i="7"/>
  <c r="J45" i="7"/>
  <c r="L45" i="7" s="1"/>
  <c r="F41" i="7"/>
  <c r="K41" i="7" s="1"/>
  <c r="I44" i="7"/>
  <c r="I54" i="7"/>
  <c r="G52" i="7"/>
  <c r="J55" i="7"/>
  <c r="L55" i="7" s="1"/>
  <c r="H29" i="7"/>
  <c r="E40" i="7"/>
  <c r="E50" i="7"/>
  <c r="G55" i="7"/>
  <c r="H60" i="7"/>
  <c r="K60" i="7" s="1"/>
  <c r="J11" i="7"/>
  <c r="J29" i="7"/>
  <c r="G40" i="7"/>
  <c r="K40" i="7" s="1"/>
  <c r="G48" i="7"/>
  <c r="J51" i="7"/>
  <c r="L51" i="7" s="1"/>
  <c r="I50" i="7"/>
  <c r="K50" i="7" s="1"/>
  <c r="I65" i="7"/>
  <c r="K65" i="7" s="1"/>
  <c r="N165" i="7"/>
  <c r="J24" i="7"/>
  <c r="F20" i="7"/>
  <c r="K35" i="7"/>
  <c r="O165" i="7"/>
  <c r="E19" i="7"/>
  <c r="K48" i="7"/>
  <c r="J67" i="7"/>
  <c r="L67" i="7" s="1"/>
  <c r="G64" i="7"/>
  <c r="I12" i="7"/>
  <c r="E22" i="7"/>
  <c r="E8" i="7"/>
  <c r="J20" i="7"/>
  <c r="F16" i="7"/>
  <c r="J42" i="7"/>
  <c r="L42" i="7" s="1"/>
  <c r="G39" i="7"/>
  <c r="E52" i="7"/>
  <c r="I67" i="7"/>
  <c r="F64" i="7"/>
  <c r="E15" i="7"/>
  <c r="H22" i="7"/>
  <c r="E37" i="7"/>
  <c r="E48" i="7"/>
  <c r="H59" i="7"/>
  <c r="K59" i="7" s="1"/>
  <c r="E63" i="7"/>
  <c r="H36" i="7"/>
  <c r="E33" i="7"/>
  <c r="J30" i="7"/>
  <c r="F26" i="7"/>
  <c r="E56" i="7"/>
  <c r="E20" i="7"/>
  <c r="E25" i="7"/>
  <c r="J27" i="7"/>
  <c r="E41" i="7"/>
  <c r="J18" i="7"/>
  <c r="F14" i="7"/>
  <c r="I37" i="7"/>
  <c r="J52" i="7"/>
  <c r="L52" i="7" s="1"/>
  <c r="E13" i="7"/>
  <c r="H33" i="7"/>
  <c r="E30" i="7"/>
  <c r="I64" i="7"/>
  <c r="F61" i="7"/>
  <c r="H25" i="7"/>
  <c r="O25" i="7" s="1"/>
  <c r="J39" i="7"/>
  <c r="L39" i="7" s="1"/>
  <c r="G36" i="7"/>
  <c r="E45" i="7"/>
  <c r="G49" i="7"/>
  <c r="K49" i="7" s="1"/>
  <c r="E60" i="7"/>
  <c r="E58" i="7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L17" i="7" l="1"/>
  <c r="Q17" i="7"/>
  <c r="L27" i="7"/>
  <c r="N27" i="7" s="1"/>
  <c r="Q27" i="7"/>
  <c r="L16" i="7"/>
  <c r="Q16" i="7"/>
  <c r="K12" i="7"/>
  <c r="K13" i="7"/>
  <c r="M13" i="7"/>
  <c r="N26" i="7"/>
  <c r="O27" i="7"/>
  <c r="N20" i="7"/>
  <c r="K20" i="7"/>
  <c r="M20" i="7"/>
  <c r="N30" i="7"/>
  <c r="L30" i="7"/>
  <c r="O30" i="7" s="1"/>
  <c r="Q30" i="7"/>
  <c r="K36" i="7"/>
  <c r="K33" i="7"/>
  <c r="P27" i="7"/>
  <c r="K37" i="7"/>
  <c r="L29" i="7"/>
  <c r="L28" i="7"/>
  <c r="Q28" i="7"/>
  <c r="Q13" i="7"/>
  <c r="L11" i="7"/>
  <c r="Q11" i="7"/>
  <c r="K11" i="7"/>
  <c r="J165" i="7"/>
  <c r="L12" i="7"/>
  <c r="Q12" i="7"/>
  <c r="K16" i="7"/>
  <c r="M16" i="7"/>
  <c r="L20" i="7"/>
  <c r="P20" i="7" s="1"/>
  <c r="Q20" i="7"/>
  <c r="K45" i="7"/>
  <c r="L21" i="7"/>
  <c r="Q21" i="7"/>
  <c r="H165" i="7"/>
  <c r="K58" i="7"/>
  <c r="M23" i="7"/>
  <c r="L18" i="7"/>
  <c r="M18" i="7" s="1"/>
  <c r="Q18" i="7"/>
  <c r="K28" i="7"/>
  <c r="K32" i="7"/>
  <c r="M27" i="7"/>
  <c r="K27" i="7"/>
  <c r="M25" i="7"/>
  <c r="K25" i="7"/>
  <c r="K26" i="7"/>
  <c r="L24" i="7"/>
  <c r="Q24" i="7"/>
  <c r="K165" i="7"/>
  <c r="K24" i="7"/>
  <c r="M24" i="7"/>
  <c r="K18" i="7"/>
  <c r="K64" i="7"/>
  <c r="L22" i="7"/>
  <c r="N22" i="7" s="1"/>
  <c r="Q22" i="7"/>
  <c r="K44" i="7"/>
  <c r="Q23" i="7"/>
  <c r="G165" i="7"/>
  <c r="M165" i="7"/>
  <c r="K61" i="7"/>
  <c r="K56" i="7"/>
  <c r="K15" i="7"/>
  <c r="E165" i="7"/>
  <c r="K55" i="7"/>
  <c r="I165" i="7"/>
  <c r="P23" i="7"/>
  <c r="M17" i="7"/>
  <c r="K17" i="7"/>
  <c r="K30" i="7"/>
  <c r="K22" i="7"/>
  <c r="K43" i="7"/>
  <c r="L26" i="7"/>
  <c r="P26" i="7" s="1"/>
  <c r="Q26" i="7"/>
  <c r="K14" i="7"/>
  <c r="M14" i="7"/>
  <c r="P165" i="7"/>
  <c r="K67" i="7"/>
  <c r="K51" i="7"/>
  <c r="K21" i="7"/>
  <c r="M32" i="4"/>
  <c r="P29" i="7" l="1"/>
  <c r="M29" i="7"/>
  <c r="N29" i="7"/>
  <c r="O12" i="7"/>
  <c r="N12" i="7"/>
  <c r="O20" i="7"/>
  <c r="M22" i="7"/>
  <c r="O22" i="7"/>
  <c r="O29" i="7"/>
  <c r="N21" i="7"/>
  <c r="M21" i="7"/>
  <c r="O21" i="7"/>
  <c r="M12" i="7"/>
  <c r="P12" i="7"/>
  <c r="O26" i="7"/>
  <c r="M30" i="7"/>
  <c r="P21" i="7"/>
  <c r="N28" i="7"/>
  <c r="O28" i="7"/>
  <c r="Q29" i="7"/>
  <c r="M28" i="7"/>
  <c r="P18" i="7"/>
  <c r="O18" i="7"/>
  <c r="N18" i="7"/>
  <c r="P28" i="7"/>
  <c r="P22" i="7"/>
  <c r="P30" i="7"/>
  <c r="P16" i="7"/>
  <c r="O16" i="7"/>
  <c r="N16" i="7"/>
  <c r="N24" i="7"/>
  <c r="O24" i="7"/>
  <c r="P24" i="7"/>
  <c r="P11" i="7"/>
  <c r="O11" i="7"/>
  <c r="N11" i="7"/>
  <c r="M11" i="7"/>
  <c r="M26" i="7"/>
  <c r="N17" i="7"/>
  <c r="O17" i="7"/>
  <c r="P17" i="7"/>
  <c r="M11" i="4"/>
  <c r="M12" i="4"/>
  <c r="M13" i="4"/>
  <c r="M14" i="4"/>
  <c r="M15" i="4"/>
  <c r="M16" i="4"/>
  <c r="M17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10" i="4"/>
  <c r="I49" i="4"/>
  <c r="I52" i="4" s="1"/>
  <c r="I48" i="4"/>
  <c r="J48" i="4" s="1"/>
  <c r="I47" i="4"/>
  <c r="J47" i="4" s="1"/>
  <c r="I46" i="4"/>
  <c r="J46" i="4" s="1"/>
  <c r="I45" i="4"/>
  <c r="J45" i="4" s="1"/>
  <c r="I44" i="4"/>
  <c r="J44" i="4" s="1"/>
  <c r="I43" i="4"/>
  <c r="J43" i="4" s="1"/>
  <c r="I42" i="4"/>
  <c r="J42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</calcChain>
</file>

<file path=xl/sharedStrings.xml><?xml version="1.0" encoding="utf-8"?>
<sst xmlns="http://schemas.openxmlformats.org/spreadsheetml/2006/main" count="394" uniqueCount="169">
  <si>
    <t>predicted</t>
  </si>
  <si>
    <t>INSERT</t>
  </si>
  <si>
    <t>TIME SERIES</t>
  </si>
  <si>
    <t>DATE</t>
  </si>
  <si>
    <t>MONTH</t>
  </si>
  <si>
    <t>PRCOMP1</t>
  </si>
  <si>
    <t>T-24</t>
  </si>
  <si>
    <t>DATA</t>
  </si>
  <si>
    <t>ln run</t>
  </si>
  <si>
    <t>anomaly</t>
  </si>
  <si>
    <t>2025pred</t>
  </si>
  <si>
    <t>antilog</t>
  </si>
  <si>
    <t>Prev Year</t>
  </si>
  <si>
    <t>AC 1.1</t>
  </si>
  <si>
    <t>ln prev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</si>
  <si>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</si>
  <si>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</si>
  <si>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</si>
  <si>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</si>
  <si>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</si>
  <si>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</si>
  <si>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</si>
  <si>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</si>
  <si>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</si>
  <si>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</si>
  <si>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</si>
  <si>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</si>
  <si>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</si>
  <si>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</si>
  <si>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</si>
  <si>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</si>
  <si>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</si>
  <si>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</si>
  <si>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</si>
  <si>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</si>
  <si>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</si>
  <si>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</si>
  <si>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</si>
  <si>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</si>
  <si>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</si>
  <si>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</si>
  <si>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CORR-&gt;</t>
  </si>
  <si>
    <t>TIME</t>
  </si>
  <si>
    <t>PRC1 for MONTHS PREVIOUS</t>
  </si>
  <si>
    <t>Egegik</t>
  </si>
  <si>
    <t>my prediction relies heavily on comps, good candidate for envrio connections</t>
  </si>
  <si>
    <t>Egegik show negative responses to PC1!</t>
  </si>
  <si>
    <t>at -24 and -33</t>
  </si>
  <si>
    <t>what is correlation between these?</t>
  </si>
  <si>
    <t>large, and in opposite directions!</t>
  </si>
  <si>
    <t>at -13 and -24</t>
  </si>
  <si>
    <t>PR1 from</t>
  </si>
  <si>
    <t>T-33</t>
  </si>
  <si>
    <t>regression says T-33 effect is inconsequential, action is in T-24</t>
  </si>
  <si>
    <t>bivariate means we can plot it directly</t>
  </si>
  <si>
    <t>PC1 was 2.53, gives value about 16, or</t>
  </si>
  <si>
    <t>PC1 is in middle of distibution, so no special effect</t>
  </si>
  <si>
    <t>a bit high</t>
  </si>
  <si>
    <t>Correlations with PC1 since 2000--about the same pattern</t>
  </si>
  <si>
    <t>Case:</t>
  </si>
  <si>
    <t>Data</t>
  </si>
  <si>
    <t>observations</t>
  </si>
  <si>
    <t>5years</t>
  </si>
  <si>
    <t>values relative to t-5</t>
  </si>
  <si>
    <t>Year</t>
  </si>
  <si>
    <t>Xt</t>
  </si>
  <si>
    <t>ln Rects</t>
  </si>
  <si>
    <t>deltaLnR</t>
  </si>
  <si>
    <t>lnRt-1</t>
  </si>
  <si>
    <t>lnRt-2</t>
  </si>
  <si>
    <t>lnRt-3</t>
  </si>
  <si>
    <t>lnRt-4</t>
  </si>
  <si>
    <t>lnRt-5</t>
  </si>
  <si>
    <t>sigma lnR</t>
  </si>
  <si>
    <t>Comments</t>
  </si>
  <si>
    <t>2015 and 2016 seems to show no special relationship, suggesting no substantial El Nino effect.</t>
  </si>
  <si>
    <t>Trend since 2000 (linearized logs) gives 2024 value of</t>
  </si>
  <si>
    <t>which antilogs to</t>
  </si>
  <si>
    <t>PERFORMANCE:</t>
  </si>
  <si>
    <t>2024 came in very low!</t>
  </si>
  <si>
    <t xml:space="preserve">The official forecast was </t>
  </si>
  <si>
    <t>The official forecast somehow knew that it would be quite low!</t>
  </si>
  <si>
    <t>regression coefficients</t>
  </si>
  <si>
    <t>try mult reg using 1.1 thru 2.3 as predictors</t>
  </si>
  <si>
    <t>The new return table is</t>
  </si>
  <si>
    <t>ln ret</t>
  </si>
  <si>
    <t>following year</t>
  </si>
  <si>
    <t>System</t>
  </si>
  <si>
    <t>River</t>
  </si>
  <si>
    <t>ReturnYear</t>
  </si>
  <si>
    <t>Total_Returns</t>
  </si>
  <si>
    <t>AC_1.1</t>
  </si>
  <si>
    <t>AC_1.2</t>
  </si>
  <si>
    <t>AC_1.3</t>
  </si>
  <si>
    <t>AC_1.4</t>
  </si>
  <si>
    <t>AC_2.1</t>
  </si>
  <si>
    <t>AC_2.2</t>
  </si>
  <si>
    <t>AC_2.3</t>
  </si>
  <si>
    <t>AC_2.4</t>
  </si>
  <si>
    <t>AC_3.1</t>
  </si>
  <si>
    <t>AC_3.2</t>
  </si>
  <si>
    <t>AC_3.3</t>
  </si>
  <si>
    <t>tot return</t>
  </si>
  <si>
    <t>Bristol Bay</t>
  </si>
  <si>
    <t>X Variable 3</t>
  </si>
  <si>
    <t>X Variable 4</t>
  </si>
  <si>
    <t>X Variable 5</t>
  </si>
  <si>
    <t>X Variable 6</t>
  </si>
  <si>
    <t>X Variable 7</t>
  </si>
  <si>
    <t>several p values look good, int, 1.2, 2.1, 2.2</t>
  </si>
  <si>
    <t>total</t>
  </si>
  <si>
    <t>sum since 1990</t>
  </si>
  <si>
    <t xml:space="preserve">The prediction for 2025 is </t>
  </si>
  <si>
    <t xml:space="preserve">which compares with the official pred </t>
  </si>
  <si>
    <t>(this is similar to last year, not quite as low)</t>
  </si>
  <si>
    <t>4 age classes comprise almost entire run</t>
  </si>
  <si>
    <t>next year's 1.3s come from this year's 1.2 still in the ocean, and 2.3s com from this year's 2.2s still in the ocean</t>
  </si>
  <si>
    <t>Try same regression, but use only data since 1990</t>
  </si>
  <si>
    <t>looks poorer, low r square</t>
  </si>
  <si>
    <t>avg values since 1990</t>
  </si>
  <si>
    <t>sum of everything else</t>
  </si>
  <si>
    <t>about 0.2m</t>
  </si>
  <si>
    <t>entry group</t>
  </si>
  <si>
    <t>second appearance</t>
  </si>
  <si>
    <t>second</t>
  </si>
  <si>
    <t>2023 rel to avg</t>
  </si>
  <si>
    <t>2024run</t>
  </si>
  <si>
    <t>was about half of average size--missing 2 of the 4 main groups</t>
  </si>
  <si>
    <t>the 2023 run showed very weak 1.2s and 2.2s(around 20% of normal)--presumably that is why the official estimate was low, as turned out to be true</t>
  </si>
  <si>
    <t>What does it look like this year?</t>
  </si>
  <si>
    <t>2024 rel to avg</t>
  </si>
  <si>
    <t>the 1.2s were abundant in 2024,but the 2,2s were weak</t>
  </si>
  <si>
    <t>predicting 1.3 and 2.3 from previous year gives part of answer</t>
  </si>
  <si>
    <t>run of 1.2s is an excellent predictor of following year's  1.3s</t>
  </si>
  <si>
    <t>looks fair in log-log</t>
  </si>
  <si>
    <t xml:space="preserve">run of </t>
  </si>
  <si>
    <t>in 2024</t>
  </si>
  <si>
    <t xml:space="preserve">gives </t>
  </si>
  <si>
    <t>1.3s in 2025</t>
  </si>
  <si>
    <t>a little higher than official (2.4m)</t>
  </si>
  <si>
    <t>2.3s in 2025</t>
  </si>
  <si>
    <t>(exactly same as official)</t>
  </si>
  <si>
    <t>official seems to reflect loess (local) fit at x=2.6, which would be a little lower</t>
  </si>
  <si>
    <t>these two groups consist of 46% of the total, on average, giving the approximation</t>
  </si>
  <si>
    <t>if everything else comes in at their normal proportions</t>
  </si>
  <si>
    <t>This is higher than official 6.5m</t>
  </si>
  <si>
    <t>does 1.1 predict 1.2?</t>
  </si>
  <si>
    <t>This looks promising!</t>
  </si>
  <si>
    <t>outlier at top pulls relationship upward, but we are at left end with 20735 1.1s</t>
  </si>
  <si>
    <t>judging by log-transformed graph, zero intercept looks good (ignore x's below 1000)</t>
  </si>
  <si>
    <t xml:space="preserve">So predicted 1.2 is </t>
  </si>
  <si>
    <t>which is about half of official forecast of 1.0m</t>
  </si>
  <si>
    <t>finally, looking at 2.1 and 2.2</t>
  </si>
  <si>
    <t>with 97805 2.1s in recent return</t>
  </si>
  <si>
    <t>fortunately 97805 is very near the center of the cloud.  The power function gives</t>
  </si>
  <si>
    <t>which compares with official 0.83m which is a lot smaller</t>
  </si>
  <si>
    <t>optimistic</t>
  </si>
  <si>
    <t>and beneath the bottom point in the cloud in the right hand graph!</t>
  </si>
  <si>
    <t>incoming 2.2s are very rarely below 1m (the middle line in the graph)</t>
  </si>
  <si>
    <r>
      <t>but were both about 1m for the last two years,</t>
    </r>
    <r>
      <rPr>
        <u/>
        <sz val="11"/>
        <color theme="1"/>
        <rFont val="Aptos Narrow"/>
        <family val="2"/>
        <scheme val="minor"/>
      </rPr>
      <t xml:space="preserve"> which is probably  where the official 1m comes from</t>
    </r>
    <r>
      <rPr>
        <sz val="11"/>
        <color theme="1"/>
        <rFont val="Aptos Narrow"/>
        <family val="2"/>
        <scheme val="minor"/>
      </rPr>
      <t>.</t>
    </r>
  </si>
  <si>
    <t>what about time trend of 2.2s</t>
  </si>
  <si>
    <t>there are several values around 1m, so it is a comfortable minimum forecast</t>
  </si>
  <si>
    <t>1m agrees with the recent time trend</t>
  </si>
  <si>
    <t>my prediction for 2025 is</t>
  </si>
  <si>
    <t>see graph to the left</t>
  </si>
  <si>
    <t>all others</t>
  </si>
  <si>
    <t>which compares with official 6.46m</t>
  </si>
  <si>
    <t>PC1(T-24) is in the middle of the range,  effect seems to be unremarkable--no need to modify prediction</t>
  </si>
  <si>
    <t>this makes 1m look pretty reasonable!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</si>
</sst>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164" fontId="1" fillId="0" borderId="0" xfId="0" applyNumberFormat="1" applyFont="1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2" borderId="1" xfId="0" applyFill="1" applyBorder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1" fontId="4" fillId="0" borderId="0" xfId="0" applyNumberFormat="1" applyFont="1"/>
    <xf numFmtId="165" fontId="0" fillId="0" borderId="0" xfId="0" applyNumberFormat="1"/>
    <xf numFmtId="165" fontId="0" fillId="0" borderId="1" xfId="0" applyNumberFormat="1" applyBorder="1"/>
    <xf numFmtId="1" fontId="0" fillId="0" borderId="0" xfId="0" applyNumberFormat="1"/>
    <xf numFmtId="2" fontId="0" fillId="0" borderId="0" xfId="0" applyNumberFormat="1"/>
    <xf numFmtId="2" fontId="0" fillId="3" borderId="0" xfId="0" applyNumberFormat="1" applyFill="1"/>
    <xf numFmtId="0" fontId="0" fillId="3" borderId="0" xfId="0" applyFill="1"/>
    <xf numFmtId="0" fontId="0" fillId="0" borderId="4" xfId="0" applyBorder="1"/>
    <xf numFmtId="1" fontId="1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1" fillId="0" borderId="1" xfId="0" applyNumberFormat="1" applyFon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-0.22455390256715771</c:v>
                </c:pt>
                <c:pt idx="1">
                  <c:v>-0.19439633138062112</c:v>
                </c:pt>
                <c:pt idx="2">
                  <c:v>7.1363832707283484E-2</c:v>
                </c:pt>
                <c:pt idx="3">
                  <c:v>-6.5278699491460278E-3</c:v>
                </c:pt>
                <c:pt idx="4">
                  <c:v>0.13980033338903475</c:v>
                </c:pt>
                <c:pt idx="5">
                  <c:v>0.11185205384053998</c:v>
                </c:pt>
                <c:pt idx="6">
                  <c:v>3.439270882403709E-2</c:v>
                </c:pt>
                <c:pt idx="7">
                  <c:v>-1.4988835906481873E-2</c:v>
                </c:pt>
                <c:pt idx="8">
                  <c:v>-7.9287505476411252E-2</c:v>
                </c:pt>
                <c:pt idx="9">
                  <c:v>-0.16846759855353938</c:v>
                </c:pt>
                <c:pt idx="10">
                  <c:v>-0.11508749769487708</c:v>
                </c:pt>
                <c:pt idx="11">
                  <c:v>-0.15535879762043031</c:v>
                </c:pt>
                <c:pt idx="12">
                  <c:v>-0.17179670126236005</c:v>
                </c:pt>
                <c:pt idx="13">
                  <c:v>-0.2233775417928768</c:v>
                </c:pt>
                <c:pt idx="14">
                  <c:v>-9.7034818654506652E-2</c:v>
                </c:pt>
                <c:pt idx="15">
                  <c:v>-0.16451989457981514</c:v>
                </c:pt>
                <c:pt idx="16">
                  <c:v>-0.32844117061457268</c:v>
                </c:pt>
                <c:pt idx="17">
                  <c:v>-0.23401514054575961</c:v>
                </c:pt>
                <c:pt idx="18">
                  <c:v>-0.20352282527759444</c:v>
                </c:pt>
                <c:pt idx="19">
                  <c:v>-0.28172454010098003</c:v>
                </c:pt>
                <c:pt idx="20">
                  <c:v>-0.35685405147254629</c:v>
                </c:pt>
                <c:pt idx="21">
                  <c:v>-0.39440330880376667</c:v>
                </c:pt>
                <c:pt idx="22">
                  <c:v>-0.34458829743115416</c:v>
                </c:pt>
                <c:pt idx="23">
                  <c:v>-0.45530263032689722</c:v>
                </c:pt>
                <c:pt idx="24">
                  <c:v>-0.45125599989287568</c:v>
                </c:pt>
                <c:pt idx="25">
                  <c:v>-0.360904177989335</c:v>
                </c:pt>
                <c:pt idx="26">
                  <c:v>-2.4529408881898626E-2</c:v>
                </c:pt>
                <c:pt idx="27">
                  <c:v>-0.15606608052604373</c:v>
                </c:pt>
                <c:pt idx="28">
                  <c:v>-0.18005138672952867</c:v>
                </c:pt>
                <c:pt idx="29">
                  <c:v>-0.36915626067879448</c:v>
                </c:pt>
                <c:pt idx="30">
                  <c:v>-0.32437919965536077</c:v>
                </c:pt>
                <c:pt idx="31">
                  <c:v>-0.32341721251693178</c:v>
                </c:pt>
                <c:pt idx="32">
                  <c:v>-0.30254174099792469</c:v>
                </c:pt>
                <c:pt idx="33">
                  <c:v>-0.34029395025165488</c:v>
                </c:pt>
                <c:pt idx="34">
                  <c:v>-0.313574227780547</c:v>
                </c:pt>
                <c:pt idx="35">
                  <c:v>-0.32160506502288999</c:v>
                </c:pt>
                <c:pt idx="36">
                  <c:v>-0.38579394236073217</c:v>
                </c:pt>
                <c:pt idx="37">
                  <c:v>-0.37290134640776751</c:v>
                </c:pt>
                <c:pt idx="38">
                  <c:v>-0.10243566611743983</c:v>
                </c:pt>
                <c:pt idx="39">
                  <c:v>2.190551184878204E-2</c:v>
                </c:pt>
                <c:pt idx="40">
                  <c:v>-0.21168688249850262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1-4465-A7EB-A4F49B34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[2]Egegik!$B$6:$B$67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[2]Egegik!$C$6:$C$67</c:f>
              <c:numCache>
                <c:formatCode>General</c:formatCode>
                <c:ptCount val="62"/>
                <c:pt idx="0">
                  <c:v>1991859.774</c:v>
                </c:pt>
                <c:pt idx="1">
                  <c:v>2012601.398</c:v>
                </c:pt>
                <c:pt idx="2">
                  <c:v>5170949.67</c:v>
                </c:pt>
                <c:pt idx="3">
                  <c:v>2903851.051</c:v>
                </c:pt>
                <c:pt idx="4">
                  <c:v>1725062.7949999999</c:v>
                </c:pt>
                <c:pt idx="5">
                  <c:v>1011976.914</c:v>
                </c:pt>
                <c:pt idx="6">
                  <c:v>2016715.5</c:v>
                </c:pt>
                <c:pt idx="7">
                  <c:v>1945368.9129999999</c:v>
                </c:pt>
                <c:pt idx="8">
                  <c:v>1996100.301</c:v>
                </c:pt>
                <c:pt idx="9">
                  <c:v>1774534.9469999999</c:v>
                </c:pt>
                <c:pt idx="10">
                  <c:v>787541.57449999999</c:v>
                </c:pt>
                <c:pt idx="11">
                  <c:v>1504237.2309999999</c:v>
                </c:pt>
                <c:pt idx="12">
                  <c:v>2238670.9840000002</c:v>
                </c:pt>
                <c:pt idx="13">
                  <c:v>1704895.4480000001</c:v>
                </c:pt>
                <c:pt idx="14">
                  <c:v>2998167.01</c:v>
                </c:pt>
                <c:pt idx="15">
                  <c:v>2078292.4739999999</c:v>
                </c:pt>
                <c:pt idx="16">
                  <c:v>2579853.17</c:v>
                </c:pt>
                <c:pt idx="17">
                  <c:v>3449719.4070000001</c:v>
                </c:pt>
                <c:pt idx="18">
                  <c:v>4641785.1629999997</c:v>
                </c:pt>
                <c:pt idx="19">
                  <c:v>3785029.6770000001</c:v>
                </c:pt>
                <c:pt idx="20">
                  <c:v>8446307.4609999992</c:v>
                </c:pt>
                <c:pt idx="21">
                  <c:v>5458425.159</c:v>
                </c:pt>
                <c:pt idx="22">
                  <c:v>8331666.1550000003</c:v>
                </c:pt>
                <c:pt idx="23">
                  <c:v>5506500.1320000002</c:v>
                </c:pt>
                <c:pt idx="24">
                  <c:v>6385229.443</c:v>
                </c:pt>
                <c:pt idx="25">
                  <c:v>8117564.3779999996</c:v>
                </c:pt>
                <c:pt idx="26">
                  <c:v>9807459.9930000007</c:v>
                </c:pt>
                <c:pt idx="27">
                  <c:v>12605427.23</c:v>
                </c:pt>
                <c:pt idx="28">
                  <c:v>9235470.3269999996</c:v>
                </c:pt>
                <c:pt idx="29">
                  <c:v>17890992.670000002</c:v>
                </c:pt>
                <c:pt idx="30">
                  <c:v>24250547.859999999</c:v>
                </c:pt>
                <c:pt idx="31">
                  <c:v>12738312.48</c:v>
                </c:pt>
                <c:pt idx="32">
                  <c:v>15374929.539999999</c:v>
                </c:pt>
                <c:pt idx="33">
                  <c:v>12416197.41</c:v>
                </c:pt>
                <c:pt idx="34">
                  <c:v>7932122.5099999998</c:v>
                </c:pt>
                <c:pt idx="35">
                  <c:v>4689597.352</c:v>
                </c:pt>
                <c:pt idx="36">
                  <c:v>6481074.1880000001</c:v>
                </c:pt>
                <c:pt idx="37">
                  <c:v>8168699.0460000001</c:v>
                </c:pt>
                <c:pt idx="38">
                  <c:v>3566444.179</c:v>
                </c:pt>
                <c:pt idx="39">
                  <c:v>5544321.6730000004</c:v>
                </c:pt>
                <c:pt idx="40">
                  <c:v>3217355.65</c:v>
                </c:pt>
                <c:pt idx="41">
                  <c:v>11642669.27</c:v>
                </c:pt>
                <c:pt idx="42">
                  <c:v>9402204.3920000009</c:v>
                </c:pt>
                <c:pt idx="43">
                  <c:v>8613841.9370000008</c:v>
                </c:pt>
                <c:pt idx="44">
                  <c:v>7395032.415</c:v>
                </c:pt>
                <c:pt idx="45">
                  <c:v>7827635.4589999998</c:v>
                </c:pt>
                <c:pt idx="46">
                  <c:v>12269670.949999999</c:v>
                </c:pt>
                <c:pt idx="47">
                  <c:v>5145650.2369999997</c:v>
                </c:pt>
                <c:pt idx="48">
                  <c:v>4604185.017</c:v>
                </c:pt>
                <c:pt idx="49">
                  <c:v>5925626.7570000002</c:v>
                </c:pt>
                <c:pt idx="50">
                  <c:v>5125755.3720000004</c:v>
                </c:pt>
                <c:pt idx="51">
                  <c:v>5081311.0449999999</c:v>
                </c:pt>
                <c:pt idx="52">
                  <c:v>8507572.7449999992</c:v>
                </c:pt>
                <c:pt idx="53">
                  <c:v>9891849.2479999997</c:v>
                </c:pt>
                <c:pt idx="54">
                  <c:v>12441095.33</c:v>
                </c:pt>
                <c:pt idx="55">
                  <c:v>6104312.1710000001</c:v>
                </c:pt>
                <c:pt idx="56">
                  <c:v>15434052.029999999</c:v>
                </c:pt>
                <c:pt idx="57">
                  <c:v>15597218.529999999</c:v>
                </c:pt>
                <c:pt idx="58">
                  <c:v>7368239.3660000004</c:v>
                </c:pt>
                <c:pt idx="59">
                  <c:v>18151847.640000001</c:v>
                </c:pt>
                <c:pt idx="60">
                  <c:v>14814304.02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5-4AF7-B6B8-67A60B20C50C}"/>
            </c:ext>
          </c:extLst>
        </c:ser>
        <c:ser>
          <c:idx val="1"/>
          <c:order val="1"/>
          <c:xVal>
            <c:numRef>
              <c:f>[3]Egegik!$B$67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[3]Egegik!$C$67</c:f>
              <c:numCache>
                <c:formatCode>General</c:formatCode>
                <c:ptCount val="1"/>
                <c:pt idx="0">
                  <c:v>4629742.7343397001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5-4AF7-B6B8-67A60B20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12000"/>
        <c:axId val="261057536"/>
      </c:scatterChart>
      <c:valAx>
        <c:axId val="172912000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61057536"/>
        <c:crosses val="autoZero"/>
        <c:crossBetween val="midCat"/>
      </c:valAx>
      <c:valAx>
        <c:axId val="26105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912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[2]Egegik!$B$6:$B$67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[2]Egegik!$C$6:$C$67</c:f>
              <c:numCache>
                <c:formatCode>General</c:formatCode>
                <c:ptCount val="62"/>
                <c:pt idx="0">
                  <c:v>1991859.774</c:v>
                </c:pt>
                <c:pt idx="1">
                  <c:v>2012601.398</c:v>
                </c:pt>
                <c:pt idx="2">
                  <c:v>5170949.67</c:v>
                </c:pt>
                <c:pt idx="3">
                  <c:v>2903851.051</c:v>
                </c:pt>
                <c:pt idx="4">
                  <c:v>1725062.7949999999</c:v>
                </c:pt>
                <c:pt idx="5">
                  <c:v>1011976.914</c:v>
                </c:pt>
                <c:pt idx="6">
                  <c:v>2016715.5</c:v>
                </c:pt>
                <c:pt idx="7">
                  <c:v>1945368.9129999999</c:v>
                </c:pt>
                <c:pt idx="8">
                  <c:v>1996100.301</c:v>
                </c:pt>
                <c:pt idx="9">
                  <c:v>1774534.9469999999</c:v>
                </c:pt>
                <c:pt idx="10">
                  <c:v>787541.57449999999</c:v>
                </c:pt>
                <c:pt idx="11">
                  <c:v>1504237.2309999999</c:v>
                </c:pt>
                <c:pt idx="12">
                  <c:v>2238670.9840000002</c:v>
                </c:pt>
                <c:pt idx="13">
                  <c:v>1704895.4480000001</c:v>
                </c:pt>
                <c:pt idx="14">
                  <c:v>2998167.01</c:v>
                </c:pt>
                <c:pt idx="15">
                  <c:v>2078292.4739999999</c:v>
                </c:pt>
                <c:pt idx="16">
                  <c:v>2579853.17</c:v>
                </c:pt>
                <c:pt idx="17">
                  <c:v>3449719.4070000001</c:v>
                </c:pt>
                <c:pt idx="18">
                  <c:v>4641785.1629999997</c:v>
                </c:pt>
                <c:pt idx="19">
                  <c:v>3785029.6770000001</c:v>
                </c:pt>
                <c:pt idx="20">
                  <c:v>8446307.4609999992</c:v>
                </c:pt>
                <c:pt idx="21">
                  <c:v>5458425.159</c:v>
                </c:pt>
                <c:pt idx="22">
                  <c:v>8331666.1550000003</c:v>
                </c:pt>
                <c:pt idx="23">
                  <c:v>5506500.1320000002</c:v>
                </c:pt>
                <c:pt idx="24">
                  <c:v>6385229.443</c:v>
                </c:pt>
                <c:pt idx="25">
                  <c:v>8117564.3779999996</c:v>
                </c:pt>
                <c:pt idx="26">
                  <c:v>9807459.9930000007</c:v>
                </c:pt>
                <c:pt idx="27">
                  <c:v>12605427.23</c:v>
                </c:pt>
                <c:pt idx="28">
                  <c:v>9235470.3269999996</c:v>
                </c:pt>
                <c:pt idx="29">
                  <c:v>17890992.670000002</c:v>
                </c:pt>
                <c:pt idx="30">
                  <c:v>24250547.859999999</c:v>
                </c:pt>
                <c:pt idx="31">
                  <c:v>12738312.48</c:v>
                </c:pt>
                <c:pt idx="32">
                  <c:v>15374929.539999999</c:v>
                </c:pt>
                <c:pt idx="33">
                  <c:v>12416197.41</c:v>
                </c:pt>
                <c:pt idx="34">
                  <c:v>7932122.5099999998</c:v>
                </c:pt>
                <c:pt idx="35">
                  <c:v>4689597.352</c:v>
                </c:pt>
                <c:pt idx="36">
                  <c:v>6481074.1880000001</c:v>
                </c:pt>
                <c:pt idx="37">
                  <c:v>8168699.0460000001</c:v>
                </c:pt>
                <c:pt idx="38">
                  <c:v>3566444.179</c:v>
                </c:pt>
                <c:pt idx="39">
                  <c:v>5544321.6730000004</c:v>
                </c:pt>
                <c:pt idx="40">
                  <c:v>3217355.65</c:v>
                </c:pt>
                <c:pt idx="41">
                  <c:v>11642669.27</c:v>
                </c:pt>
                <c:pt idx="42">
                  <c:v>9402204.3920000009</c:v>
                </c:pt>
                <c:pt idx="43">
                  <c:v>8613841.9370000008</c:v>
                </c:pt>
                <c:pt idx="44">
                  <c:v>7395032.415</c:v>
                </c:pt>
                <c:pt idx="45">
                  <c:v>7827635.4589999998</c:v>
                </c:pt>
                <c:pt idx="46">
                  <c:v>12269670.949999999</c:v>
                </c:pt>
                <c:pt idx="47">
                  <c:v>5145650.2369999997</c:v>
                </c:pt>
                <c:pt idx="48">
                  <c:v>4604185.017</c:v>
                </c:pt>
                <c:pt idx="49">
                  <c:v>5925626.7570000002</c:v>
                </c:pt>
                <c:pt idx="50">
                  <c:v>5125755.3720000004</c:v>
                </c:pt>
                <c:pt idx="51">
                  <c:v>5081311.0449999999</c:v>
                </c:pt>
                <c:pt idx="52">
                  <c:v>8507572.7449999992</c:v>
                </c:pt>
                <c:pt idx="53">
                  <c:v>9891849.2479999997</c:v>
                </c:pt>
                <c:pt idx="54">
                  <c:v>12441095.33</c:v>
                </c:pt>
                <c:pt idx="55">
                  <c:v>6104312.1710000001</c:v>
                </c:pt>
                <c:pt idx="56">
                  <c:v>15434052.029999999</c:v>
                </c:pt>
                <c:pt idx="57">
                  <c:v>15597218.529999999</c:v>
                </c:pt>
                <c:pt idx="58">
                  <c:v>7368239.3660000004</c:v>
                </c:pt>
                <c:pt idx="59">
                  <c:v>18151847.640000001</c:v>
                </c:pt>
                <c:pt idx="60">
                  <c:v>14814304.02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B-4E5D-A762-086D5859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364800"/>
        <c:axId val="266366336"/>
      </c:scatterChart>
      <c:valAx>
        <c:axId val="266364800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66366336"/>
        <c:crosses val="autoZero"/>
        <c:crossBetween val="midCat"/>
      </c:valAx>
      <c:valAx>
        <c:axId val="266366336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364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Egegik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5.072115181743761E-2"/>
                  <c:y val="0.46219305920093323"/>
                </c:manualLayout>
              </c:layout>
              <c:numFmt formatCode="General" sourceLinked="0"/>
            </c:trendlineLbl>
          </c:trendline>
          <c:xVal>
            <c:numRef>
              <c:f>[2]Egegik!$B$43:$B$67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[2]Egegik!$D$43:$D$67</c:f>
              <c:numCache>
                <c:formatCode>General</c:formatCode>
                <c:ptCount val="25"/>
                <c:pt idx="0">
                  <c:v>15.915820218661151</c:v>
                </c:pt>
                <c:pt idx="1">
                  <c:v>15.087079629098703</c:v>
                </c:pt>
                <c:pt idx="2">
                  <c:v>15.528284839994072</c:v>
                </c:pt>
                <c:pt idx="3">
                  <c:v>14.984070353421135</c:v>
                </c:pt>
                <c:pt idx="4">
                  <c:v>16.270187292706566</c:v>
                </c:pt>
                <c:pt idx="5">
                  <c:v>16.056454729534344</c:v>
                </c:pt>
                <c:pt idx="6">
                  <c:v>15.968880994880589</c:v>
                </c:pt>
                <c:pt idx="7">
                  <c:v>15.81631903748457</c:v>
                </c:pt>
                <c:pt idx="8">
                  <c:v>15.87317103755835</c:v>
                </c:pt>
                <c:pt idx="9">
                  <c:v>16.322640998886587</c:v>
                </c:pt>
                <c:pt idx="10">
                  <c:v>15.453662301577641</c:v>
                </c:pt>
                <c:pt idx="11">
                  <c:v>15.342476234158953</c:v>
                </c:pt>
                <c:pt idx="12">
                  <c:v>15.594797021163124</c:v>
                </c:pt>
                <c:pt idx="13">
                  <c:v>15.449788461786493</c:v>
                </c:pt>
                <c:pt idx="14">
                  <c:v>15.44107986598223</c:v>
                </c:pt>
                <c:pt idx="15">
                  <c:v>15.956467236011209</c:v>
                </c:pt>
                <c:pt idx="16">
                  <c:v>16.107221667717589</c:v>
                </c:pt>
                <c:pt idx="17">
                  <c:v>16.336515690434588</c:v>
                </c:pt>
                <c:pt idx="18">
                  <c:v>15.624505992676728</c:v>
                </c:pt>
                <c:pt idx="19">
                  <c:v>16.55208679712268</c:v>
                </c:pt>
                <c:pt idx="20">
                  <c:v>16.562603156963572</c:v>
                </c:pt>
                <c:pt idx="21">
                  <c:v>15.812689343631709</c:v>
                </c:pt>
                <c:pt idx="22">
                  <c:v>16.714282911841142</c:v>
                </c:pt>
                <c:pt idx="23">
                  <c:v>16.511103759823524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9-4973-A284-3D7AA436CB39}"/>
            </c:ext>
          </c:extLst>
        </c:ser>
        <c:ser>
          <c:idx val="1"/>
          <c:order val="1"/>
          <c:xVal>
            <c:numRef>
              <c:f>[3]Egegik!$B$67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[3]Egegik!$D$67</c:f>
              <c:numCache>
                <c:formatCode>General</c:formatCode>
                <c:ptCount val="1"/>
                <c:pt idx="0">
                  <c:v>15.348011859581199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09-4973-A284-3D7AA436C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374528"/>
        <c:axId val="266388608"/>
      </c:scatterChart>
      <c:valAx>
        <c:axId val="266374528"/>
        <c:scaling>
          <c:orientation val="minMax"/>
          <c:min val="1995"/>
        </c:scaling>
        <c:delete val="0"/>
        <c:axPos val="b"/>
        <c:numFmt formatCode="General" sourceLinked="1"/>
        <c:majorTickMark val="out"/>
        <c:minorTickMark val="none"/>
        <c:tickLblPos val="nextTo"/>
        <c:crossAx val="266388608"/>
        <c:crosses val="autoZero"/>
        <c:crossBetween val="midCat"/>
      </c:valAx>
      <c:valAx>
        <c:axId val="266388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6374528"/>
        <c:crosses val="autoZero"/>
        <c:crossBetween val="midCat"/>
        <c:majorUnit val="0.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[3]Egegik!$W$101:$W$161</c:f>
              <c:numCache>
                <c:formatCode>General</c:formatCode>
                <c:ptCount val="61"/>
                <c:pt idx="0">
                  <c:v>3770372.6552342437</c:v>
                </c:pt>
                <c:pt idx="1">
                  <c:v>4083148.2857562248</c:v>
                </c:pt>
                <c:pt idx="2">
                  <c:v>6413072.7655285597</c:v>
                </c:pt>
                <c:pt idx="3">
                  <c:v>3091978.7270685807</c:v>
                </c:pt>
                <c:pt idx="4">
                  <c:v>3409657.7576823821</c:v>
                </c:pt>
                <c:pt idx="5">
                  <c:v>3352223.201310067</c:v>
                </c:pt>
                <c:pt idx="6">
                  <c:v>4476716.9658796322</c:v>
                </c:pt>
                <c:pt idx="7">
                  <c:v>4211304.3485844499</c:v>
                </c:pt>
                <c:pt idx="8">
                  <c:v>3309628.4899816844</c:v>
                </c:pt>
                <c:pt idx="9">
                  <c:v>3424080.1428263271</c:v>
                </c:pt>
                <c:pt idx="10">
                  <c:v>2885236.2066389271</c:v>
                </c:pt>
                <c:pt idx="11">
                  <c:v>3819489.4305586708</c:v>
                </c:pt>
                <c:pt idx="12">
                  <c:v>3313540.2769878921</c:v>
                </c:pt>
                <c:pt idx="13">
                  <c:v>3873555.0696820728</c:v>
                </c:pt>
                <c:pt idx="14">
                  <c:v>4132027.264961218</c:v>
                </c:pt>
                <c:pt idx="15">
                  <c:v>3497553.9783619647</c:v>
                </c:pt>
                <c:pt idx="16">
                  <c:v>4372552.3346898612</c:v>
                </c:pt>
                <c:pt idx="17">
                  <c:v>5917838.9832689092</c:v>
                </c:pt>
                <c:pt idx="18">
                  <c:v>6124957.3127849251</c:v>
                </c:pt>
                <c:pt idx="19">
                  <c:v>3832681.0095573594</c:v>
                </c:pt>
                <c:pt idx="20">
                  <c:v>9280617.3441159502</c:v>
                </c:pt>
                <c:pt idx="21">
                  <c:v>5594451.6091354983</c:v>
                </c:pt>
                <c:pt idx="22">
                  <c:v>7626116.3513482511</c:v>
                </c:pt>
                <c:pt idx="23">
                  <c:v>6808463.2029326055</c:v>
                </c:pt>
                <c:pt idx="24">
                  <c:v>5773258.1669025738</c:v>
                </c:pt>
                <c:pt idx="25">
                  <c:v>7504037.6043221448</c:v>
                </c:pt>
                <c:pt idx="26">
                  <c:v>8312342.2201293157</c:v>
                </c:pt>
                <c:pt idx="27">
                  <c:v>9143497.3488987274</c:v>
                </c:pt>
                <c:pt idx="28">
                  <c:v>8107932.2769977106</c:v>
                </c:pt>
                <c:pt idx="29">
                  <c:v>12402136.688864198</c:v>
                </c:pt>
                <c:pt idx="30">
                  <c:v>13243679.117134554</c:v>
                </c:pt>
                <c:pt idx="31">
                  <c:v>8795666.5537751615</c:v>
                </c:pt>
                <c:pt idx="32">
                  <c:v>12084765.312023431</c:v>
                </c:pt>
                <c:pt idx="33">
                  <c:v>6408394.698749193</c:v>
                </c:pt>
                <c:pt idx="34">
                  <c:v>7333073.2880594628</c:v>
                </c:pt>
                <c:pt idx="35">
                  <c:v>4720379.7291634353</c:v>
                </c:pt>
                <c:pt idx="36">
                  <c:v>7803551.2299305936</c:v>
                </c:pt>
                <c:pt idx="37">
                  <c:v>4772248.0018234346</c:v>
                </c:pt>
                <c:pt idx="38">
                  <c:v>3516844.368052071</c:v>
                </c:pt>
                <c:pt idx="39">
                  <c:v>6009456.3339190632</c:v>
                </c:pt>
                <c:pt idx="40">
                  <c:v>5894538.5226674471</c:v>
                </c:pt>
                <c:pt idx="41">
                  <c:v>12632573.184473932</c:v>
                </c:pt>
                <c:pt idx="42">
                  <c:v>6879439.7766519077</c:v>
                </c:pt>
                <c:pt idx="43">
                  <c:v>6445891.0697536059</c:v>
                </c:pt>
                <c:pt idx="44">
                  <c:v>6510731.7467941782</c:v>
                </c:pt>
                <c:pt idx="45">
                  <c:v>8164532.8367735185</c:v>
                </c:pt>
                <c:pt idx="46">
                  <c:v>9086410.3542828709</c:v>
                </c:pt>
                <c:pt idx="47">
                  <c:v>7203394.5147191789</c:v>
                </c:pt>
                <c:pt idx="48">
                  <c:v>5293644.7576780003</c:v>
                </c:pt>
                <c:pt idx="49">
                  <c:v>7269530.1743082907</c:v>
                </c:pt>
                <c:pt idx="50">
                  <c:v>5860103.9204293061</c:v>
                </c:pt>
                <c:pt idx="51">
                  <c:v>9815532.1444958076</c:v>
                </c:pt>
                <c:pt idx="52">
                  <c:v>16344808.883168541</c:v>
                </c:pt>
                <c:pt idx="53">
                  <c:v>13599140.448154429</c:v>
                </c:pt>
                <c:pt idx="54">
                  <c:v>11444927.423358146</c:v>
                </c:pt>
                <c:pt idx="55">
                  <c:v>6675954.8486542171</c:v>
                </c:pt>
                <c:pt idx="56">
                  <c:v>17882416.72768544</c:v>
                </c:pt>
                <c:pt idx="57">
                  <c:v>8096740.2144473698</c:v>
                </c:pt>
                <c:pt idx="58">
                  <c:v>14577054.142831938</c:v>
                </c:pt>
                <c:pt idx="59">
                  <c:v>16229929.944725912</c:v>
                </c:pt>
                <c:pt idx="60">
                  <c:v>6003992.8434144408</c:v>
                </c:pt>
              </c:numCache>
            </c:numRef>
          </c:xVal>
          <c:yVal>
            <c:numRef>
              <c:f>[3]Egegik!$R$101:$R$161</c:f>
              <c:numCache>
                <c:formatCode>0</c:formatCode>
                <c:ptCount val="61"/>
                <c:pt idx="0">
                  <c:v>2012601.3978424701</c:v>
                </c:pt>
                <c:pt idx="1">
                  <c:v>5170949.6698973104</c:v>
                </c:pt>
                <c:pt idx="2">
                  <c:v>2903851.0510047199</c:v>
                </c:pt>
                <c:pt idx="3">
                  <c:v>1725062.79500242</c:v>
                </c:pt>
                <c:pt idx="4">
                  <c:v>1011976.91402385</c:v>
                </c:pt>
                <c:pt idx="5">
                  <c:v>2016715.5002629701</c:v>
                </c:pt>
                <c:pt idx="6">
                  <c:v>1945368.91283336</c:v>
                </c:pt>
                <c:pt idx="7">
                  <c:v>1996100.3011288601</c:v>
                </c:pt>
                <c:pt idx="8">
                  <c:v>1774534.9473906399</c:v>
                </c:pt>
                <c:pt idx="9">
                  <c:v>787541.57446953095</c:v>
                </c:pt>
                <c:pt idx="10">
                  <c:v>1504237.2313867901</c:v>
                </c:pt>
                <c:pt idx="11">
                  <c:v>2238670.9838634902</c:v>
                </c:pt>
                <c:pt idx="12">
                  <c:v>1704895.44818508</c:v>
                </c:pt>
                <c:pt idx="13">
                  <c:v>2998167.0091723502</c:v>
                </c:pt>
                <c:pt idx="14">
                  <c:v>2078292.47405351</c:v>
                </c:pt>
                <c:pt idx="15">
                  <c:v>2579853.1698369901</c:v>
                </c:pt>
                <c:pt idx="16">
                  <c:v>3449719.4065029598</c:v>
                </c:pt>
                <c:pt idx="17">
                  <c:v>4641785.1632384397</c:v>
                </c:pt>
                <c:pt idx="18">
                  <c:v>3785029.6766282599</c:v>
                </c:pt>
                <c:pt idx="19">
                  <c:v>8446307.4607615508</c:v>
                </c:pt>
                <c:pt idx="20">
                  <c:v>5458425.1592640402</c:v>
                </c:pt>
                <c:pt idx="21">
                  <c:v>8331666.1557818297</c:v>
                </c:pt>
                <c:pt idx="22">
                  <c:v>5506500.1313733198</c:v>
                </c:pt>
                <c:pt idx="23">
                  <c:v>6385229.4437274002</c:v>
                </c:pt>
                <c:pt idx="24">
                  <c:v>8117564.3786909496</c:v>
                </c:pt>
                <c:pt idx="25">
                  <c:v>9807459.9923260007</c:v>
                </c:pt>
                <c:pt idx="26">
                  <c:v>12605427.226271</c:v>
                </c:pt>
                <c:pt idx="27">
                  <c:v>9235470.3275266904</c:v>
                </c:pt>
                <c:pt idx="28">
                  <c:v>17890992.667780299</c:v>
                </c:pt>
                <c:pt idx="29">
                  <c:v>24250547.860873301</c:v>
                </c:pt>
                <c:pt idx="30">
                  <c:v>12738312.4809906</c:v>
                </c:pt>
                <c:pt idx="31">
                  <c:v>15374929.535914</c:v>
                </c:pt>
                <c:pt idx="32">
                  <c:v>12416197.408317501</c:v>
                </c:pt>
                <c:pt idx="33">
                  <c:v>7932122.5097897202</c:v>
                </c:pt>
                <c:pt idx="34">
                  <c:v>4689597.3514016401</c:v>
                </c:pt>
                <c:pt idx="35">
                  <c:v>6481074.1881397702</c:v>
                </c:pt>
                <c:pt idx="36">
                  <c:v>8168699.0460164901</c:v>
                </c:pt>
                <c:pt idx="37">
                  <c:v>3566444.1789674698</c:v>
                </c:pt>
                <c:pt idx="38">
                  <c:v>5544321.6731135603</c:v>
                </c:pt>
                <c:pt idx="39">
                  <c:v>3217355.6503187399</c:v>
                </c:pt>
                <c:pt idx="40">
                  <c:v>11642669.2721425</c:v>
                </c:pt>
                <c:pt idx="41">
                  <c:v>9402204.3922494706</c:v>
                </c:pt>
                <c:pt idx="42">
                  <c:v>8613841.9371849298</c:v>
                </c:pt>
                <c:pt idx="43">
                  <c:v>7395032.4161607698</c:v>
                </c:pt>
                <c:pt idx="44">
                  <c:v>7827635.4595456999</c:v>
                </c:pt>
                <c:pt idx="45">
                  <c:v>12269670.950218599</c:v>
                </c:pt>
                <c:pt idx="46">
                  <c:v>5145650.2362554399</c:v>
                </c:pt>
                <c:pt idx="47">
                  <c:v>4604185.0167821702</c:v>
                </c:pt>
                <c:pt idx="48">
                  <c:v>5925626.757034</c:v>
                </c:pt>
                <c:pt idx="49">
                  <c:v>5125755.3723449502</c:v>
                </c:pt>
                <c:pt idx="50">
                  <c:v>5081311.04511429</c:v>
                </c:pt>
                <c:pt idx="51">
                  <c:v>8507572.7456944995</c:v>
                </c:pt>
                <c:pt idx="52">
                  <c:v>9891849.2478553206</c:v>
                </c:pt>
                <c:pt idx="53">
                  <c:v>12441095.3321192</c:v>
                </c:pt>
                <c:pt idx="54">
                  <c:v>6104312.1713707102</c:v>
                </c:pt>
                <c:pt idx="55">
                  <c:v>15434052.0365666</c:v>
                </c:pt>
                <c:pt idx="56">
                  <c:v>15597218.528552299</c:v>
                </c:pt>
                <c:pt idx="57">
                  <c:v>7368239.3663219698</c:v>
                </c:pt>
                <c:pt idx="58">
                  <c:v>18151847.6369626</c:v>
                </c:pt>
                <c:pt idx="59">
                  <c:v>14814304.0242042</c:v>
                </c:pt>
                <c:pt idx="60">
                  <c:v>4629742.7343397001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9-4359-9BE3-7ABBA565E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304272"/>
        <c:axId val="261305712"/>
      </c:scatterChart>
      <c:valAx>
        <c:axId val="261304272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05712"/>
        <c:crosses val="autoZero"/>
        <c:crossBetween val="midCat"/>
      </c:valAx>
      <c:valAx>
        <c:axId val="261305712"/>
        <c:scaling>
          <c:logBase val="10"/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0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9.2102362204724411E-2"/>
                  <c:y val="3.554243219597550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[3]Egegik!$H$138:$H$161</c:f>
              <c:numCache>
                <c:formatCode>0</c:formatCode>
                <c:ptCount val="24"/>
                <c:pt idx="0">
                  <c:v>412382.55795404402</c:v>
                </c:pt>
                <c:pt idx="1">
                  <c:v>17162.126178029401</c:v>
                </c:pt>
                <c:pt idx="2">
                  <c:v>20334.586672833098</c:v>
                </c:pt>
                <c:pt idx="3">
                  <c:v>162299.80821550699</c:v>
                </c:pt>
                <c:pt idx="4">
                  <c:v>1302473.62393083</c:v>
                </c:pt>
                <c:pt idx="5">
                  <c:v>292655.80557413102</c:v>
                </c:pt>
                <c:pt idx="6">
                  <c:v>1450971.2816660099</c:v>
                </c:pt>
                <c:pt idx="7">
                  <c:v>1984955.74038946</c:v>
                </c:pt>
                <c:pt idx="8">
                  <c:v>2789827.2731231898</c:v>
                </c:pt>
                <c:pt idx="9">
                  <c:v>470725.91292033799</c:v>
                </c:pt>
                <c:pt idx="10">
                  <c:v>144943.02378843399</c:v>
                </c:pt>
                <c:pt idx="11">
                  <c:v>53088.117860343402</c:v>
                </c:pt>
                <c:pt idx="12">
                  <c:v>630407.67288635799</c:v>
                </c:pt>
                <c:pt idx="13">
                  <c:v>305233.880903563</c:v>
                </c:pt>
                <c:pt idx="14">
                  <c:v>537683.00048149005</c:v>
                </c:pt>
                <c:pt idx="15">
                  <c:v>444733.70867548499</c:v>
                </c:pt>
                <c:pt idx="16">
                  <c:v>1977511.2976895899</c:v>
                </c:pt>
                <c:pt idx="17">
                  <c:v>2859582.0914596301</c:v>
                </c:pt>
                <c:pt idx="18">
                  <c:v>2156590.6732663298</c:v>
                </c:pt>
                <c:pt idx="19">
                  <c:v>11553433.834185701</c:v>
                </c:pt>
                <c:pt idx="20">
                  <c:v>1774510.2812085999</c:v>
                </c:pt>
                <c:pt idx="21">
                  <c:v>3928522.7479466</c:v>
                </c:pt>
                <c:pt idx="22">
                  <c:v>5907225.2461233102</c:v>
                </c:pt>
                <c:pt idx="23">
                  <c:v>265771.61952139001</c:v>
                </c:pt>
              </c:numCache>
            </c:numRef>
          </c:xVal>
          <c:yVal>
            <c:numRef>
              <c:f>[3]Egegik!$I$139:$I$162</c:f>
              <c:numCache>
                <c:formatCode>0</c:formatCode>
                <c:ptCount val="24"/>
                <c:pt idx="0">
                  <c:v>1386366.08215562</c:v>
                </c:pt>
                <c:pt idx="1">
                  <c:v>177854.741528293</c:v>
                </c:pt>
                <c:pt idx="2">
                  <c:v>76433.635755037001</c:v>
                </c:pt>
                <c:pt idx="3">
                  <c:v>395983.31639764499</c:v>
                </c:pt>
                <c:pt idx="4">
                  <c:v>2432554.4342897702</c:v>
                </c:pt>
                <c:pt idx="5">
                  <c:v>797157.91688573605</c:v>
                </c:pt>
                <c:pt idx="6">
                  <c:v>2203107.6673163199</c:v>
                </c:pt>
                <c:pt idx="7">
                  <c:v>2552431.0430830298</c:v>
                </c:pt>
                <c:pt idx="8">
                  <c:v>3459265.9273520699</c:v>
                </c:pt>
                <c:pt idx="9">
                  <c:v>202329.24234062701</c:v>
                </c:pt>
                <c:pt idx="10">
                  <c:v>253935.80865245001</c:v>
                </c:pt>
                <c:pt idx="11">
                  <c:v>429490.26636867999</c:v>
                </c:pt>
                <c:pt idx="12">
                  <c:v>1090910.8896669</c:v>
                </c:pt>
                <c:pt idx="13">
                  <c:v>488974.666187378</c:v>
                </c:pt>
                <c:pt idx="14">
                  <c:v>671671.932151924</c:v>
                </c:pt>
                <c:pt idx="15">
                  <c:v>1095740.23201025</c:v>
                </c:pt>
                <c:pt idx="16">
                  <c:v>1278331.3116123499</c:v>
                </c:pt>
                <c:pt idx="17">
                  <c:v>1945680.9586831599</c:v>
                </c:pt>
                <c:pt idx="18">
                  <c:v>2005941.4733935599</c:v>
                </c:pt>
                <c:pt idx="19">
                  <c:v>12280095.537248701</c:v>
                </c:pt>
                <c:pt idx="20">
                  <c:v>222244.90806571799</c:v>
                </c:pt>
                <c:pt idx="21">
                  <c:v>4660092.6305008503</c:v>
                </c:pt>
                <c:pt idx="22">
                  <c:v>6441568.5134148803</c:v>
                </c:pt>
                <c:pt idx="23">
                  <c:v>186066.40705108299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B-4407-9075-1A0566784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 1.2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1.3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9.2102362204724411E-2"/>
                  <c:y val="3.554243219597550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[3]Egegik!$L$138:$L$161</c:f>
              <c:numCache>
                <c:formatCode>0</c:formatCode>
                <c:ptCount val="24"/>
                <c:pt idx="0">
                  <c:v>1726750.27502771</c:v>
                </c:pt>
                <c:pt idx="1">
                  <c:v>542540.18166963896</c:v>
                </c:pt>
                <c:pt idx="2">
                  <c:v>3493430.96881301</c:v>
                </c:pt>
                <c:pt idx="3">
                  <c:v>490761.377167058</c:v>
                </c:pt>
                <c:pt idx="4">
                  <c:v>9207076.0186829902</c:v>
                </c:pt>
                <c:pt idx="5">
                  <c:v>3546271.31298221</c:v>
                </c:pt>
                <c:pt idx="6">
                  <c:v>1585956.61028939</c:v>
                </c:pt>
                <c:pt idx="7">
                  <c:v>1050682.2867606699</c:v>
                </c:pt>
                <c:pt idx="8">
                  <c:v>1926995.4584210599</c:v>
                </c:pt>
                <c:pt idx="9">
                  <c:v>6022979.2388191698</c:v>
                </c:pt>
                <c:pt idx="10">
                  <c:v>2866201.43686753</c:v>
                </c:pt>
                <c:pt idx="11">
                  <c:v>1632027.2442753401</c:v>
                </c:pt>
                <c:pt idx="12">
                  <c:v>3377632.4612042299</c:v>
                </c:pt>
                <c:pt idx="13">
                  <c:v>1104841.6710454</c:v>
                </c:pt>
                <c:pt idx="14">
                  <c:v>2763497.8149396302</c:v>
                </c:pt>
                <c:pt idx="15">
                  <c:v>5984739.94547245</c:v>
                </c:pt>
                <c:pt idx="16">
                  <c:v>3901937.6373978001</c:v>
                </c:pt>
                <c:pt idx="17">
                  <c:v>4775925.4072280303</c:v>
                </c:pt>
                <c:pt idx="18">
                  <c:v>467779.94524718</c:v>
                </c:pt>
                <c:pt idx="19">
                  <c:v>1280264.2152466299</c:v>
                </c:pt>
                <c:pt idx="20">
                  <c:v>993180.67633051297</c:v>
                </c:pt>
                <c:pt idx="21">
                  <c:v>2276904.2229627902</c:v>
                </c:pt>
                <c:pt idx="22">
                  <c:v>6744189.7627968797</c:v>
                </c:pt>
                <c:pt idx="23">
                  <c:v>1017403.94675479</c:v>
                </c:pt>
              </c:numCache>
            </c:numRef>
          </c:xVal>
          <c:yVal>
            <c:numRef>
              <c:f>[3]Egegik!$M$139:$M$162</c:f>
              <c:numCache>
                <c:formatCode>0</c:formatCode>
                <c:ptCount val="24"/>
                <c:pt idx="0">
                  <c:v>1539472.47498478</c:v>
                </c:pt>
                <c:pt idx="1">
                  <c:v>1749165.38584548</c:v>
                </c:pt>
                <c:pt idx="2">
                  <c:v>2069386.18113183</c:v>
                </c:pt>
                <c:pt idx="3">
                  <c:v>654091.75230393303</c:v>
                </c:pt>
                <c:pt idx="4">
                  <c:v>3035602.31866861</c:v>
                </c:pt>
                <c:pt idx="5">
                  <c:v>4647480.7558379602</c:v>
                </c:pt>
                <c:pt idx="6">
                  <c:v>2059102.14848678</c:v>
                </c:pt>
                <c:pt idx="7">
                  <c:v>511617.56621183897</c:v>
                </c:pt>
                <c:pt idx="8">
                  <c:v>2245895.7816871898</c:v>
                </c:pt>
                <c:pt idx="9">
                  <c:v>1767627.19960324</c:v>
                </c:pt>
                <c:pt idx="10">
                  <c:v>2550952.9848732399</c:v>
                </c:pt>
                <c:pt idx="11">
                  <c:v>1370541.08966448</c:v>
                </c:pt>
                <c:pt idx="12">
                  <c:v>2457309.1204477102</c:v>
                </c:pt>
                <c:pt idx="13">
                  <c:v>943565.494165982</c:v>
                </c:pt>
                <c:pt idx="14">
                  <c:v>785871.79847386701</c:v>
                </c:pt>
                <c:pt idx="15">
                  <c:v>2345583.7658858001</c:v>
                </c:pt>
                <c:pt idx="16">
                  <c:v>3275009.2278626799</c:v>
                </c:pt>
                <c:pt idx="17">
                  <c:v>1137566.6002938</c:v>
                </c:pt>
                <c:pt idx="18">
                  <c:v>495688.85069457098</c:v>
                </c:pt>
                <c:pt idx="19">
                  <c:v>198213.828141818</c:v>
                </c:pt>
                <c:pt idx="20">
                  <c:v>279852.891675747</c:v>
                </c:pt>
                <c:pt idx="21">
                  <c:v>736199.30538020795</c:v>
                </c:pt>
                <c:pt idx="22">
                  <c:v>6832852.7631494198</c:v>
                </c:pt>
                <c:pt idx="23">
                  <c:v>582894.73956331902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48-46B7-9E2A-964BA2BE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stength of</a:t>
                </a:r>
              </a:p>
              <a:p>
                <a:pPr>
                  <a:defRPr/>
                </a:pPr>
                <a:r>
                  <a:rPr lang="en-US"/>
                  <a:t> 2.2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strength of 2.3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3.0338582677165354E-2"/>
                  <c:y val="0.324870589093030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[3]Egegik!$L$138:$L$161</c:f>
              <c:numCache>
                <c:formatCode>0</c:formatCode>
                <c:ptCount val="24"/>
                <c:pt idx="0">
                  <c:v>1726750.27502771</c:v>
                </c:pt>
                <c:pt idx="1">
                  <c:v>542540.18166963896</c:v>
                </c:pt>
                <c:pt idx="2">
                  <c:v>3493430.96881301</c:v>
                </c:pt>
                <c:pt idx="3">
                  <c:v>490761.377167058</c:v>
                </c:pt>
                <c:pt idx="4">
                  <c:v>9207076.0186829902</c:v>
                </c:pt>
                <c:pt idx="5">
                  <c:v>3546271.31298221</c:v>
                </c:pt>
                <c:pt idx="6">
                  <c:v>1585956.61028939</c:v>
                </c:pt>
                <c:pt idx="7">
                  <c:v>1050682.2867606699</c:v>
                </c:pt>
                <c:pt idx="8">
                  <c:v>1926995.4584210599</c:v>
                </c:pt>
                <c:pt idx="9">
                  <c:v>6022979.2388191698</c:v>
                </c:pt>
                <c:pt idx="10">
                  <c:v>2866201.43686753</c:v>
                </c:pt>
                <c:pt idx="11">
                  <c:v>1632027.2442753401</c:v>
                </c:pt>
                <c:pt idx="12">
                  <c:v>3377632.4612042299</c:v>
                </c:pt>
                <c:pt idx="13">
                  <c:v>1104841.6710454</c:v>
                </c:pt>
                <c:pt idx="14">
                  <c:v>2763497.8149396302</c:v>
                </c:pt>
                <c:pt idx="15">
                  <c:v>5984739.94547245</c:v>
                </c:pt>
                <c:pt idx="16">
                  <c:v>3901937.6373978001</c:v>
                </c:pt>
                <c:pt idx="17">
                  <c:v>4775925.4072280303</c:v>
                </c:pt>
                <c:pt idx="18">
                  <c:v>467779.94524718</c:v>
                </c:pt>
                <c:pt idx="19">
                  <c:v>1280264.2152466299</c:v>
                </c:pt>
                <c:pt idx="20">
                  <c:v>993180.67633051297</c:v>
                </c:pt>
                <c:pt idx="21">
                  <c:v>2276904.2229627902</c:v>
                </c:pt>
                <c:pt idx="22">
                  <c:v>6744189.7627968797</c:v>
                </c:pt>
                <c:pt idx="23">
                  <c:v>1017403.94675479</c:v>
                </c:pt>
              </c:numCache>
            </c:numRef>
          </c:xVal>
          <c:yVal>
            <c:numRef>
              <c:f>[3]Egegik!$M$139:$M$162</c:f>
              <c:numCache>
                <c:formatCode>0</c:formatCode>
                <c:ptCount val="24"/>
                <c:pt idx="0">
                  <c:v>1539472.47498478</c:v>
                </c:pt>
                <c:pt idx="1">
                  <c:v>1749165.38584548</c:v>
                </c:pt>
                <c:pt idx="2">
                  <c:v>2069386.18113183</c:v>
                </c:pt>
                <c:pt idx="3">
                  <c:v>654091.75230393303</c:v>
                </c:pt>
                <c:pt idx="4">
                  <c:v>3035602.31866861</c:v>
                </c:pt>
                <c:pt idx="5">
                  <c:v>4647480.7558379602</c:v>
                </c:pt>
                <c:pt idx="6">
                  <c:v>2059102.14848678</c:v>
                </c:pt>
                <c:pt idx="7">
                  <c:v>511617.56621183897</c:v>
                </c:pt>
                <c:pt idx="8">
                  <c:v>2245895.7816871898</c:v>
                </c:pt>
                <c:pt idx="9">
                  <c:v>1767627.19960324</c:v>
                </c:pt>
                <c:pt idx="10">
                  <c:v>2550952.9848732399</c:v>
                </c:pt>
                <c:pt idx="11">
                  <c:v>1370541.08966448</c:v>
                </c:pt>
                <c:pt idx="12">
                  <c:v>2457309.1204477102</c:v>
                </c:pt>
                <c:pt idx="13">
                  <c:v>943565.494165982</c:v>
                </c:pt>
                <c:pt idx="14">
                  <c:v>785871.79847386701</c:v>
                </c:pt>
                <c:pt idx="15">
                  <c:v>2345583.7658858001</c:v>
                </c:pt>
                <c:pt idx="16">
                  <c:v>3275009.2278626799</c:v>
                </c:pt>
                <c:pt idx="17">
                  <c:v>1137566.6002938</c:v>
                </c:pt>
                <c:pt idx="18">
                  <c:v>495688.85069457098</c:v>
                </c:pt>
                <c:pt idx="19">
                  <c:v>198213.828141818</c:v>
                </c:pt>
                <c:pt idx="20">
                  <c:v>279852.891675747</c:v>
                </c:pt>
                <c:pt idx="21">
                  <c:v>736199.30538020795</c:v>
                </c:pt>
                <c:pt idx="22">
                  <c:v>6832852.7631494198</c:v>
                </c:pt>
                <c:pt idx="23">
                  <c:v>582894.73956331902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68-4B05-97C3-CDF91F12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logBase val="10"/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stength of</a:t>
                </a:r>
              </a:p>
              <a:p>
                <a:pPr>
                  <a:defRPr/>
                </a:pPr>
                <a:r>
                  <a:rPr lang="en-US"/>
                  <a:t> 2.2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strength of 2.3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9.2102362204724411E-2"/>
                  <c:y val="3.554243219597550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[3]Egegik!$G$138:$G$161</c:f>
              <c:numCache>
                <c:formatCode>0</c:formatCode>
                <c:ptCount val="24"/>
                <c:pt idx="0">
                  <c:v>0</c:v>
                </c:pt>
                <c:pt idx="1">
                  <c:v>1.5807694883858601</c:v>
                </c:pt>
                <c:pt idx="2">
                  <c:v>0</c:v>
                </c:pt>
                <c:pt idx="3">
                  <c:v>542.22225599659305</c:v>
                </c:pt>
                <c:pt idx="4">
                  <c:v>0</c:v>
                </c:pt>
                <c:pt idx="5">
                  <c:v>27641.409793020299</c:v>
                </c:pt>
                <c:pt idx="6">
                  <c:v>19080.614421336501</c:v>
                </c:pt>
                <c:pt idx="7">
                  <c:v>23434.3713561369</c:v>
                </c:pt>
                <c:pt idx="8">
                  <c:v>4350.02820269318</c:v>
                </c:pt>
                <c:pt idx="9">
                  <c:v>7819.5003549310704</c:v>
                </c:pt>
                <c:pt idx="10">
                  <c:v>8768.6021261361293</c:v>
                </c:pt>
                <c:pt idx="11">
                  <c:v>317.09017605064997</c:v>
                </c:pt>
                <c:pt idx="12">
                  <c:v>5486.4336098243102</c:v>
                </c:pt>
                <c:pt idx="13">
                  <c:v>10191.8428035865</c:v>
                </c:pt>
                <c:pt idx="14">
                  <c:v>36548.021326485199</c:v>
                </c:pt>
                <c:pt idx="15">
                  <c:v>38196.985148717598</c:v>
                </c:pt>
                <c:pt idx="16">
                  <c:v>162141.35819137501</c:v>
                </c:pt>
                <c:pt idx="17">
                  <c:v>102285.98258054801</c:v>
                </c:pt>
                <c:pt idx="18">
                  <c:v>295277.61843947502</c:v>
                </c:pt>
                <c:pt idx="19">
                  <c:v>29390.8851980707</c:v>
                </c:pt>
                <c:pt idx="20">
                  <c:v>181713.58260121601</c:v>
                </c:pt>
                <c:pt idx="21">
                  <c:v>294139.354668546</c:v>
                </c:pt>
                <c:pt idx="22">
                  <c:v>36671.8840398416</c:v>
                </c:pt>
                <c:pt idx="23">
                  <c:v>91287.913764003999</c:v>
                </c:pt>
              </c:numCache>
            </c:numRef>
          </c:xVal>
          <c:yVal>
            <c:numRef>
              <c:f>[3]Egegik!$H$139:$H$162</c:f>
              <c:numCache>
                <c:formatCode>0</c:formatCode>
                <c:ptCount val="24"/>
                <c:pt idx="0">
                  <c:v>17162.126178029401</c:v>
                </c:pt>
                <c:pt idx="1">
                  <c:v>20334.586672833098</c:v>
                </c:pt>
                <c:pt idx="2">
                  <c:v>162299.80821550699</c:v>
                </c:pt>
                <c:pt idx="3">
                  <c:v>1302473.62393083</c:v>
                </c:pt>
                <c:pt idx="4">
                  <c:v>292655.80557413102</c:v>
                </c:pt>
                <c:pt idx="5">
                  <c:v>1450971.2816660099</c:v>
                </c:pt>
                <c:pt idx="6">
                  <c:v>1984955.74038946</c:v>
                </c:pt>
                <c:pt idx="7">
                  <c:v>2789827.2731231898</c:v>
                </c:pt>
                <c:pt idx="8">
                  <c:v>470725.91292033799</c:v>
                </c:pt>
                <c:pt idx="9">
                  <c:v>144943.02378843399</c:v>
                </c:pt>
                <c:pt idx="10">
                  <c:v>53088.117860343402</c:v>
                </c:pt>
                <c:pt idx="11">
                  <c:v>630407.67288635799</c:v>
                </c:pt>
                <c:pt idx="12">
                  <c:v>305233.880903563</c:v>
                </c:pt>
                <c:pt idx="13">
                  <c:v>537683.00048149005</c:v>
                </c:pt>
                <c:pt idx="14">
                  <c:v>444733.70867548499</c:v>
                </c:pt>
                <c:pt idx="15">
                  <c:v>1977511.2976895899</c:v>
                </c:pt>
                <c:pt idx="16">
                  <c:v>2859582.0914596301</c:v>
                </c:pt>
                <c:pt idx="17">
                  <c:v>2156590.6732663298</c:v>
                </c:pt>
                <c:pt idx="18">
                  <c:v>11553433.834185701</c:v>
                </c:pt>
                <c:pt idx="19">
                  <c:v>1774510.2812085999</c:v>
                </c:pt>
                <c:pt idx="20">
                  <c:v>3928522.7479466</c:v>
                </c:pt>
                <c:pt idx="21">
                  <c:v>5907225.2461233102</c:v>
                </c:pt>
                <c:pt idx="22">
                  <c:v>265771.61952139001</c:v>
                </c:pt>
                <c:pt idx="23">
                  <c:v>2645110.3892728901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A0-4046-AF6A-4AA09866E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 1.1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1.2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9.2102362204724411E-2"/>
                  <c:y val="3.554243219597550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[3]Egegik!$G$138:$G$161</c:f>
              <c:numCache>
                <c:formatCode>0</c:formatCode>
                <c:ptCount val="24"/>
                <c:pt idx="0">
                  <c:v>0</c:v>
                </c:pt>
                <c:pt idx="1">
                  <c:v>1.5807694883858601</c:v>
                </c:pt>
                <c:pt idx="2">
                  <c:v>0</c:v>
                </c:pt>
                <c:pt idx="3">
                  <c:v>542.22225599659305</c:v>
                </c:pt>
                <c:pt idx="4">
                  <c:v>0</c:v>
                </c:pt>
                <c:pt idx="5">
                  <c:v>27641.409793020299</c:v>
                </c:pt>
                <c:pt idx="6">
                  <c:v>19080.614421336501</c:v>
                </c:pt>
                <c:pt idx="7">
                  <c:v>23434.3713561369</c:v>
                </c:pt>
                <c:pt idx="8">
                  <c:v>4350.02820269318</c:v>
                </c:pt>
                <c:pt idx="9">
                  <c:v>7819.5003549310704</c:v>
                </c:pt>
                <c:pt idx="10">
                  <c:v>8768.6021261361293</c:v>
                </c:pt>
                <c:pt idx="11">
                  <c:v>317.09017605064997</c:v>
                </c:pt>
                <c:pt idx="12">
                  <c:v>5486.4336098243102</c:v>
                </c:pt>
                <c:pt idx="13">
                  <c:v>10191.8428035865</c:v>
                </c:pt>
                <c:pt idx="14">
                  <c:v>36548.021326485199</c:v>
                </c:pt>
                <c:pt idx="15">
                  <c:v>38196.985148717598</c:v>
                </c:pt>
                <c:pt idx="16">
                  <c:v>162141.35819137501</c:v>
                </c:pt>
                <c:pt idx="17">
                  <c:v>102285.98258054801</c:v>
                </c:pt>
                <c:pt idx="18">
                  <c:v>295277.61843947502</c:v>
                </c:pt>
                <c:pt idx="19">
                  <c:v>29390.8851980707</c:v>
                </c:pt>
                <c:pt idx="20">
                  <c:v>181713.58260121601</c:v>
                </c:pt>
                <c:pt idx="21">
                  <c:v>294139.354668546</c:v>
                </c:pt>
                <c:pt idx="22">
                  <c:v>36671.8840398416</c:v>
                </c:pt>
                <c:pt idx="23">
                  <c:v>91287.913764003999</c:v>
                </c:pt>
              </c:numCache>
            </c:numRef>
          </c:xVal>
          <c:yVal>
            <c:numRef>
              <c:f>[3]Egegik!$H$139:$H$162</c:f>
              <c:numCache>
                <c:formatCode>0</c:formatCode>
                <c:ptCount val="24"/>
                <c:pt idx="0">
                  <c:v>17162.126178029401</c:v>
                </c:pt>
                <c:pt idx="1">
                  <c:v>20334.586672833098</c:v>
                </c:pt>
                <c:pt idx="2">
                  <c:v>162299.80821550699</c:v>
                </c:pt>
                <c:pt idx="3">
                  <c:v>1302473.62393083</c:v>
                </c:pt>
                <c:pt idx="4">
                  <c:v>292655.80557413102</c:v>
                </c:pt>
                <c:pt idx="5">
                  <c:v>1450971.2816660099</c:v>
                </c:pt>
                <c:pt idx="6">
                  <c:v>1984955.74038946</c:v>
                </c:pt>
                <c:pt idx="7">
                  <c:v>2789827.2731231898</c:v>
                </c:pt>
                <c:pt idx="8">
                  <c:v>470725.91292033799</c:v>
                </c:pt>
                <c:pt idx="9">
                  <c:v>144943.02378843399</c:v>
                </c:pt>
                <c:pt idx="10">
                  <c:v>53088.117860343402</c:v>
                </c:pt>
                <c:pt idx="11">
                  <c:v>630407.67288635799</c:v>
                </c:pt>
                <c:pt idx="12">
                  <c:v>305233.880903563</c:v>
                </c:pt>
                <c:pt idx="13">
                  <c:v>537683.00048149005</c:v>
                </c:pt>
                <c:pt idx="14">
                  <c:v>444733.70867548499</c:v>
                </c:pt>
                <c:pt idx="15">
                  <c:v>1977511.2976895899</c:v>
                </c:pt>
                <c:pt idx="16">
                  <c:v>2859582.0914596301</c:v>
                </c:pt>
                <c:pt idx="17">
                  <c:v>2156590.6732663298</c:v>
                </c:pt>
                <c:pt idx="18">
                  <c:v>11553433.834185701</c:v>
                </c:pt>
                <c:pt idx="19">
                  <c:v>1774510.2812085999</c:v>
                </c:pt>
                <c:pt idx="20">
                  <c:v>3928522.7479466</c:v>
                </c:pt>
                <c:pt idx="21">
                  <c:v>5907225.2461233102</c:v>
                </c:pt>
                <c:pt idx="22">
                  <c:v>265771.61952139001</c:v>
                </c:pt>
                <c:pt idx="23">
                  <c:v>2645110.3892728901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6-43EE-8454-BFCB1C975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 1.1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1.2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9.2102362204724411E-2"/>
                  <c:y val="3.554243219597550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[3]Egegik!$K$138:$K$161</c:f>
              <c:numCache>
                <c:formatCode>0</c:formatCode>
                <c:ptCount val="24"/>
                <c:pt idx="0">
                  <c:v>3483.7714829003999</c:v>
                </c:pt>
                <c:pt idx="1">
                  <c:v>18742.285874621099</c:v>
                </c:pt>
                <c:pt idx="2">
                  <c:v>12649.3265510701</c:v>
                </c:pt>
                <c:pt idx="3">
                  <c:v>171813.95652393799</c:v>
                </c:pt>
                <c:pt idx="4">
                  <c:v>25104.915736154901</c:v>
                </c:pt>
                <c:pt idx="5">
                  <c:v>47658.7306920056</c:v>
                </c:pt>
                <c:pt idx="6">
                  <c:v>45866.3992286875</c:v>
                </c:pt>
                <c:pt idx="7">
                  <c:v>41158.691634941097</c:v>
                </c:pt>
                <c:pt idx="8">
                  <c:v>39826.978705139802</c:v>
                </c:pt>
                <c:pt idx="9">
                  <c:v>36928.623091109701</c:v>
                </c:pt>
                <c:pt idx="10">
                  <c:v>121161.372517706</c:v>
                </c:pt>
                <c:pt idx="11">
                  <c:v>71868.147256234894</c:v>
                </c:pt>
                <c:pt idx="12">
                  <c:v>58269.880165393297</c:v>
                </c:pt>
                <c:pt idx="13">
                  <c:v>122199.46925165001</c:v>
                </c:pt>
                <c:pt idx="14">
                  <c:v>274215.92848077498</c:v>
                </c:pt>
                <c:pt idx="15">
                  <c:v>532951.35977030895</c:v>
                </c:pt>
                <c:pt idx="16">
                  <c:v>353152.03612901899</c:v>
                </c:pt>
                <c:pt idx="17">
                  <c:v>88058.609874913993</c:v>
                </c:pt>
                <c:pt idx="18">
                  <c:v>73755.475777228305</c:v>
                </c:pt>
                <c:pt idx="19">
                  <c:v>66998.659704583406</c:v>
                </c:pt>
                <c:pt idx="20">
                  <c:v>168096.976623439</c:v>
                </c:pt>
                <c:pt idx="21">
                  <c:v>366575.23791298101</c:v>
                </c:pt>
                <c:pt idx="22">
                  <c:v>62869.580133966701</c:v>
                </c:pt>
                <c:pt idx="23">
                  <c:v>140140.580718749</c:v>
                </c:pt>
              </c:numCache>
            </c:numRef>
          </c:xVal>
          <c:yVal>
            <c:numRef>
              <c:f>[3]Egegik!$L$139:$L$162</c:f>
              <c:numCache>
                <c:formatCode>0</c:formatCode>
                <c:ptCount val="24"/>
                <c:pt idx="0">
                  <c:v>542540.18166963896</c:v>
                </c:pt>
                <c:pt idx="1">
                  <c:v>3493430.96881301</c:v>
                </c:pt>
                <c:pt idx="2">
                  <c:v>490761.377167058</c:v>
                </c:pt>
                <c:pt idx="3">
                  <c:v>9207076.0186829902</c:v>
                </c:pt>
                <c:pt idx="4">
                  <c:v>3546271.31298221</c:v>
                </c:pt>
                <c:pt idx="5">
                  <c:v>1585956.61028939</c:v>
                </c:pt>
                <c:pt idx="6">
                  <c:v>1050682.2867606699</c:v>
                </c:pt>
                <c:pt idx="7">
                  <c:v>1926995.4584210599</c:v>
                </c:pt>
                <c:pt idx="8">
                  <c:v>6022979.2388191698</c:v>
                </c:pt>
                <c:pt idx="9">
                  <c:v>2866201.43686753</c:v>
                </c:pt>
                <c:pt idx="10">
                  <c:v>1632027.2442753401</c:v>
                </c:pt>
                <c:pt idx="11">
                  <c:v>3377632.4612042299</c:v>
                </c:pt>
                <c:pt idx="12">
                  <c:v>1104841.6710454</c:v>
                </c:pt>
                <c:pt idx="13">
                  <c:v>2763497.8149396302</c:v>
                </c:pt>
                <c:pt idx="14">
                  <c:v>5984739.94547245</c:v>
                </c:pt>
                <c:pt idx="15">
                  <c:v>3901937.6373978001</c:v>
                </c:pt>
                <c:pt idx="16">
                  <c:v>4775925.4072280303</c:v>
                </c:pt>
                <c:pt idx="17">
                  <c:v>467779.94524718</c:v>
                </c:pt>
                <c:pt idx="18">
                  <c:v>1280264.2152466299</c:v>
                </c:pt>
                <c:pt idx="19">
                  <c:v>993180.67633051297</c:v>
                </c:pt>
                <c:pt idx="20">
                  <c:v>2276904.2229627902</c:v>
                </c:pt>
                <c:pt idx="21">
                  <c:v>6744189.7627968797</c:v>
                </c:pt>
                <c:pt idx="22">
                  <c:v>1017403.94675479</c:v>
                </c:pt>
                <c:pt idx="23">
                  <c:v>1063838.9972753599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A-4747-9028-F82B21B8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 2.1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2.2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9.2102362204724411E-2"/>
                  <c:y val="3.554243219597550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[3]Egegik!$K$138:$K$161</c:f>
              <c:numCache>
                <c:formatCode>0</c:formatCode>
                <c:ptCount val="24"/>
                <c:pt idx="0">
                  <c:v>3483.7714829003999</c:v>
                </c:pt>
                <c:pt idx="1">
                  <c:v>18742.285874621099</c:v>
                </c:pt>
                <c:pt idx="2">
                  <c:v>12649.3265510701</c:v>
                </c:pt>
                <c:pt idx="3">
                  <c:v>171813.95652393799</c:v>
                </c:pt>
                <c:pt idx="4">
                  <c:v>25104.915736154901</c:v>
                </c:pt>
                <c:pt idx="5">
                  <c:v>47658.7306920056</c:v>
                </c:pt>
                <c:pt idx="6">
                  <c:v>45866.3992286875</c:v>
                </c:pt>
                <c:pt idx="7">
                  <c:v>41158.691634941097</c:v>
                </c:pt>
                <c:pt idx="8">
                  <c:v>39826.978705139802</c:v>
                </c:pt>
                <c:pt idx="9">
                  <c:v>36928.623091109701</c:v>
                </c:pt>
                <c:pt idx="10">
                  <c:v>121161.372517706</c:v>
                </c:pt>
                <c:pt idx="11">
                  <c:v>71868.147256234894</c:v>
                </c:pt>
                <c:pt idx="12">
                  <c:v>58269.880165393297</c:v>
                </c:pt>
                <c:pt idx="13">
                  <c:v>122199.46925165001</c:v>
                </c:pt>
                <c:pt idx="14">
                  <c:v>274215.92848077498</c:v>
                </c:pt>
                <c:pt idx="15">
                  <c:v>532951.35977030895</c:v>
                </c:pt>
                <c:pt idx="16">
                  <c:v>353152.03612901899</c:v>
                </c:pt>
                <c:pt idx="17">
                  <c:v>88058.609874913993</c:v>
                </c:pt>
                <c:pt idx="18">
                  <c:v>73755.475777228305</c:v>
                </c:pt>
                <c:pt idx="19">
                  <c:v>66998.659704583406</c:v>
                </c:pt>
                <c:pt idx="20">
                  <c:v>168096.976623439</c:v>
                </c:pt>
                <c:pt idx="21">
                  <c:v>366575.23791298101</c:v>
                </c:pt>
                <c:pt idx="22">
                  <c:v>62869.580133966701</c:v>
                </c:pt>
                <c:pt idx="23">
                  <c:v>140140.580718749</c:v>
                </c:pt>
              </c:numCache>
            </c:numRef>
          </c:xVal>
          <c:yVal>
            <c:numRef>
              <c:f>[3]Egegik!$L$139:$L$162</c:f>
              <c:numCache>
                <c:formatCode>0</c:formatCode>
                <c:ptCount val="24"/>
                <c:pt idx="0">
                  <c:v>542540.18166963896</c:v>
                </c:pt>
                <c:pt idx="1">
                  <c:v>3493430.96881301</c:v>
                </c:pt>
                <c:pt idx="2">
                  <c:v>490761.377167058</c:v>
                </c:pt>
                <c:pt idx="3">
                  <c:v>9207076.0186829902</c:v>
                </c:pt>
                <c:pt idx="4">
                  <c:v>3546271.31298221</c:v>
                </c:pt>
                <c:pt idx="5">
                  <c:v>1585956.61028939</c:v>
                </c:pt>
                <c:pt idx="6">
                  <c:v>1050682.2867606699</c:v>
                </c:pt>
                <c:pt idx="7">
                  <c:v>1926995.4584210599</c:v>
                </c:pt>
                <c:pt idx="8">
                  <c:v>6022979.2388191698</c:v>
                </c:pt>
                <c:pt idx="9">
                  <c:v>2866201.43686753</c:v>
                </c:pt>
                <c:pt idx="10">
                  <c:v>1632027.2442753401</c:v>
                </c:pt>
                <c:pt idx="11">
                  <c:v>3377632.4612042299</c:v>
                </c:pt>
                <c:pt idx="12">
                  <c:v>1104841.6710454</c:v>
                </c:pt>
                <c:pt idx="13">
                  <c:v>2763497.8149396302</c:v>
                </c:pt>
                <c:pt idx="14">
                  <c:v>5984739.94547245</c:v>
                </c:pt>
                <c:pt idx="15">
                  <c:v>3901937.6373978001</c:v>
                </c:pt>
                <c:pt idx="16">
                  <c:v>4775925.4072280303</c:v>
                </c:pt>
                <c:pt idx="17">
                  <c:v>467779.94524718</c:v>
                </c:pt>
                <c:pt idx="18">
                  <c:v>1280264.2152466299</c:v>
                </c:pt>
                <c:pt idx="19">
                  <c:v>993180.67633051297</c:v>
                </c:pt>
                <c:pt idx="20">
                  <c:v>2276904.2229627902</c:v>
                </c:pt>
                <c:pt idx="21">
                  <c:v>6744189.7627968797</c:v>
                </c:pt>
                <c:pt idx="22">
                  <c:v>1017403.94675479</c:v>
                </c:pt>
                <c:pt idx="23">
                  <c:v>1063838.9972753599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02-470F-9FBB-ED60577D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31839"/>
        <c:axId val="1174022719"/>
      </c:scatterChart>
      <c:valAx>
        <c:axId val="1174031839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 2.1 in previous year</a:t>
                </a:r>
              </a:p>
            </c:rich>
          </c:tx>
          <c:layout>
            <c:manualLayout>
              <c:xMode val="edge"/>
              <c:yMode val="edge"/>
              <c:x val="0.39899190726159228"/>
              <c:y val="0.83606481481481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2719"/>
        <c:crosses val="autoZero"/>
        <c:crossBetween val="midCat"/>
      </c:valAx>
      <c:valAx>
        <c:axId val="1174022719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of 2.2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3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[3]Egegik!$D$138:$D$162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[3]Egegik!$L$138:$L$162</c:f>
              <c:numCache>
                <c:formatCode>0</c:formatCode>
                <c:ptCount val="25"/>
                <c:pt idx="0">
                  <c:v>1726750.27502771</c:v>
                </c:pt>
                <c:pt idx="1">
                  <c:v>542540.18166963896</c:v>
                </c:pt>
                <c:pt idx="2">
                  <c:v>3493430.96881301</c:v>
                </c:pt>
                <c:pt idx="3">
                  <c:v>490761.377167058</c:v>
                </c:pt>
                <c:pt idx="4">
                  <c:v>9207076.0186829902</c:v>
                </c:pt>
                <c:pt idx="5">
                  <c:v>3546271.31298221</c:v>
                </c:pt>
                <c:pt idx="6">
                  <c:v>1585956.61028939</c:v>
                </c:pt>
                <c:pt idx="7">
                  <c:v>1050682.2867606699</c:v>
                </c:pt>
                <c:pt idx="8">
                  <c:v>1926995.4584210599</c:v>
                </c:pt>
                <c:pt idx="9">
                  <c:v>6022979.2388191698</c:v>
                </c:pt>
                <c:pt idx="10">
                  <c:v>2866201.43686753</c:v>
                </c:pt>
                <c:pt idx="11">
                  <c:v>1632027.2442753401</c:v>
                </c:pt>
                <c:pt idx="12">
                  <c:v>3377632.4612042299</c:v>
                </c:pt>
                <c:pt idx="13">
                  <c:v>1104841.6710454</c:v>
                </c:pt>
                <c:pt idx="14">
                  <c:v>2763497.8149396302</c:v>
                </c:pt>
                <c:pt idx="15">
                  <c:v>5984739.94547245</c:v>
                </c:pt>
                <c:pt idx="16">
                  <c:v>3901937.6373978001</c:v>
                </c:pt>
                <c:pt idx="17">
                  <c:v>4775925.4072280303</c:v>
                </c:pt>
                <c:pt idx="18">
                  <c:v>467779.94524718</c:v>
                </c:pt>
                <c:pt idx="19">
                  <c:v>1280264.2152466299</c:v>
                </c:pt>
                <c:pt idx="20">
                  <c:v>993180.67633051297</c:v>
                </c:pt>
                <c:pt idx="21">
                  <c:v>2276904.2229627902</c:v>
                </c:pt>
                <c:pt idx="22">
                  <c:v>6744189.7627968797</c:v>
                </c:pt>
                <c:pt idx="23">
                  <c:v>1017403.94675479</c:v>
                </c:pt>
                <c:pt idx="24">
                  <c:v>1063838.9972753599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6-4109-A9E9-6E48E83F3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323472"/>
        <c:axId val="1490346032"/>
      </c:scatterChart>
      <c:valAx>
        <c:axId val="14903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46032"/>
        <c:crosses val="autoZero"/>
        <c:crossBetween val="midCat"/>
      </c:valAx>
      <c:valAx>
        <c:axId val="14903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2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run vs PC1 (T-24)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Enviro!$E$24:$E$48</c:f>
              <c:numCache>
                <c:formatCode>General</c:formatCode>
                <c:ptCount val="25"/>
                <c:pt idx="0">
                  <c:v>0.36530161782924503</c:v>
                </c:pt>
                <c:pt idx="1">
                  <c:v>4.2896200438692365</c:v>
                </c:pt>
                <c:pt idx="2">
                  <c:v>3.5373226747692317</c:v>
                </c:pt>
                <c:pt idx="3">
                  <c:v>2.8748315578692294</c:v>
                </c:pt>
                <c:pt idx="4">
                  <c:v>1.9076068417692387</c:v>
                </c:pt>
                <c:pt idx="5">
                  <c:v>2.2880968023692252</c:v>
                </c:pt>
                <c:pt idx="6">
                  <c:v>1.3046613783592229</c:v>
                </c:pt>
                <c:pt idx="7">
                  <c:v>-0.5079246517307725</c:v>
                </c:pt>
                <c:pt idx="8">
                  <c:v>2.1628221249392339</c:v>
                </c:pt>
                <c:pt idx="9">
                  <c:v>2.2741382218892316</c:v>
                </c:pt>
                <c:pt idx="10">
                  <c:v>3.1445083440692292</c:v>
                </c:pt>
                <c:pt idx="11">
                  <c:v>2.8559780762592273</c:v>
                </c:pt>
                <c:pt idx="12">
                  <c:v>2.1367981933692386</c:v>
                </c:pt>
                <c:pt idx="13">
                  <c:v>2.994733051169236</c:v>
                </c:pt>
                <c:pt idx="14">
                  <c:v>3.3148665312692316</c:v>
                </c:pt>
                <c:pt idx="15">
                  <c:v>2.6100064923692252</c:v>
                </c:pt>
                <c:pt idx="16">
                  <c:v>1.4034630548992453</c:v>
                </c:pt>
                <c:pt idx="17">
                  <c:v>-3.0684870940772491E-2</c:v>
                </c:pt>
                <c:pt idx="18">
                  <c:v>-3.6238594620772724E-2</c:v>
                </c:pt>
                <c:pt idx="19">
                  <c:v>0.6355308827592252</c:v>
                </c:pt>
                <c:pt idx="20">
                  <c:v>2.0574152523692271</c:v>
                </c:pt>
                <c:pt idx="21">
                  <c:v>0.16846339816923617</c:v>
                </c:pt>
                <c:pt idx="22">
                  <c:v>0.94188844476923839</c:v>
                </c:pt>
                <c:pt idx="23">
                  <c:v>3.013470621229243</c:v>
                </c:pt>
                <c:pt idx="24">
                  <c:v>4.3843827266992443</c:v>
                </c:pt>
              </c:numCache>
            </c:numRef>
          </c:xVal>
          <c:yVal>
            <c:numRef>
              <c:f>Enviro!$D$24:$D$48</c:f>
              <c:numCache>
                <c:formatCode>0.000</c:formatCode>
                <c:ptCount val="25"/>
                <c:pt idx="0">
                  <c:v>15.915820218663171</c:v>
                </c:pt>
                <c:pt idx="1">
                  <c:v>15.087079629089581</c:v>
                </c:pt>
                <c:pt idx="2">
                  <c:v>15.528284840014555</c:v>
                </c:pt>
                <c:pt idx="3">
                  <c:v>14.984070353520202</c:v>
                </c:pt>
                <c:pt idx="4">
                  <c:v>16.27018729289059</c:v>
                </c:pt>
                <c:pt idx="5">
                  <c:v>16.056454729560876</c:v>
                </c:pt>
                <c:pt idx="6">
                  <c:v>15.968880994902058</c:v>
                </c:pt>
                <c:pt idx="7">
                  <c:v>15.816319037641536</c:v>
                </c:pt>
                <c:pt idx="8">
                  <c:v>15.873171037628065</c:v>
                </c:pt>
                <c:pt idx="9">
                  <c:v>16.322640998904404</c:v>
                </c:pt>
                <c:pt idx="10">
                  <c:v>15.453662301432944</c:v>
                </c:pt>
                <c:pt idx="11">
                  <c:v>15.342476234111642</c:v>
                </c:pt>
                <c:pt idx="12">
                  <c:v>15.594797021168862</c:v>
                </c:pt>
                <c:pt idx="13">
                  <c:v>15.449788461853791</c:v>
                </c:pt>
                <c:pt idx="14">
                  <c:v>15.441079866004722</c:v>
                </c:pt>
                <c:pt idx="15">
                  <c:v>15.956467236092841</c:v>
                </c:pt>
                <c:pt idx="16">
                  <c:v>16.107221667702962</c:v>
                </c:pt>
                <c:pt idx="17">
                  <c:v>16.336515690604926</c:v>
                </c:pt>
                <c:pt idx="18">
                  <c:v>15.624505992737458</c:v>
                </c:pt>
                <c:pt idx="19">
                  <c:v>16.552086797548142</c:v>
                </c:pt>
                <c:pt idx="20">
                  <c:v>16.562603156870754</c:v>
                </c:pt>
                <c:pt idx="21">
                  <c:v>15.812689343675405</c:v>
                </c:pt>
                <c:pt idx="22">
                  <c:v>16.714282911673809</c:v>
                </c:pt>
                <c:pt idx="23">
                  <c:v>16.511103760107318</c:v>
                </c:pt>
                <c:pt idx="24" formatCode="General">
                  <c:v>15.348011859581199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7-4546-8C43-16173E01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062960"/>
        <c:axId val="1145066800"/>
      </c:scatterChart>
      <c:valAx>
        <c:axId val="114506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66800"/>
        <c:crosses val="autoZero"/>
        <c:crossBetween val="midCat"/>
      </c:valAx>
      <c:valAx>
        <c:axId val="11450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6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47625</xdr:rowOff>
    </xdr:from>
    <xdr:to>
      <xdr:col>8</xdr:col>
      <xdr:colOff>355489</xdr:colOff>
      <xdr:row>16</xdr:row>
      <xdr:rowOff>130159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835CEF-00CE-8864-465C-09C23C72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428625"/>
          <a:ext cx="4584589" cy="2749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8</xdr:col>
      <xdr:colOff>311293</xdr:colOff>
      <xdr:row>37</xdr:row>
      <xdr:rowOff>88631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176063-E226-72D2-C080-3B964665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381500"/>
          <a:ext cx="4578493" cy="2755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68</xdr:row>
      <xdr:rowOff>118110</xdr:rowOff>
    </xdr:from>
    <xdr:to>
      <xdr:col>8</xdr:col>
      <xdr:colOff>327660</xdr:colOff>
      <xdr:row>83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88714-6A9E-4629-B5E7-D753C75C0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16</xdr:col>
      <xdr:colOff>304800</xdr:colOff>
      <xdr:row>83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F0047-3DE9-44B9-9BFB-E6751D97D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304800</xdr:colOff>
      <xdr:row>127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57D6070A-F49F-435E-B79E-D5E43060793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792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304800</xdr:colOff>
      <xdr:row>127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B8F46A9A-D169-4052-BE10-F81B37594CC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792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68</xdr:row>
      <xdr:rowOff>0</xdr:rowOff>
    </xdr:from>
    <xdr:to>
      <xdr:col>24</xdr:col>
      <xdr:colOff>472440</xdr:colOff>
      <xdr:row>83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A5BE14-BED3-4063-8511-8AA7872BE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600075</xdr:colOff>
      <xdr:row>148</xdr:row>
      <xdr:rowOff>80962</xdr:rowOff>
    </xdr:from>
    <xdr:to>
      <xdr:col>33</xdr:col>
      <xdr:colOff>295275</xdr:colOff>
      <xdr:row>162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946545-E05E-40B5-A6AE-8CB414185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185</xdr:row>
      <xdr:rowOff>0</xdr:rowOff>
    </xdr:from>
    <xdr:to>
      <xdr:col>9</xdr:col>
      <xdr:colOff>266700</xdr:colOff>
      <xdr:row>199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16BF52-DA6F-43F6-9AA6-3E5F39A1C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185</xdr:row>
      <xdr:rowOff>0</xdr:rowOff>
    </xdr:from>
    <xdr:to>
      <xdr:col>16</xdr:col>
      <xdr:colOff>342900</xdr:colOff>
      <xdr:row>199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60590F-889C-41FD-8311-A5259B17E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185</xdr:row>
      <xdr:rowOff>0</xdr:rowOff>
    </xdr:from>
    <xdr:to>
      <xdr:col>23</xdr:col>
      <xdr:colOff>409575</xdr:colOff>
      <xdr:row>199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7E9138-5ABA-4453-B6E9-C2F2B6E9B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210</xdr:row>
      <xdr:rowOff>0</xdr:rowOff>
    </xdr:from>
    <xdr:to>
      <xdr:col>9</xdr:col>
      <xdr:colOff>266700</xdr:colOff>
      <xdr:row>224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7ADC88-FACB-4601-AD99-79C95053F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210</xdr:row>
      <xdr:rowOff>0</xdr:rowOff>
    </xdr:from>
    <xdr:to>
      <xdr:col>17</xdr:col>
      <xdr:colOff>285750</xdr:colOff>
      <xdr:row>224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5941CA-358C-4EDF-AFDD-5CB4CDC71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234</xdr:row>
      <xdr:rowOff>0</xdr:rowOff>
    </xdr:from>
    <xdr:to>
      <xdr:col>9</xdr:col>
      <xdr:colOff>266700</xdr:colOff>
      <xdr:row>248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0B016A3-1F03-4BAF-B864-64EE7AE3D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234</xdr:row>
      <xdr:rowOff>0</xdr:rowOff>
    </xdr:from>
    <xdr:to>
      <xdr:col>16</xdr:col>
      <xdr:colOff>342900</xdr:colOff>
      <xdr:row>248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76E1F7-EB63-4469-A9D7-40590C67E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590550</xdr:colOff>
      <xdr:row>254</xdr:row>
      <xdr:rowOff>176212</xdr:rowOff>
    </xdr:from>
    <xdr:to>
      <xdr:col>9</xdr:col>
      <xdr:colOff>247650</xdr:colOff>
      <xdr:row>269</xdr:row>
      <xdr:rowOff>61912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DBF88C-D0EF-47E5-9DF5-1FDFC498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104775</xdr:colOff>
      <xdr:row>31</xdr:row>
      <xdr:rowOff>176212</xdr:rowOff>
    </xdr:from>
    <xdr:to>
      <xdr:col>22</xdr:col>
      <xdr:colOff>409575</xdr:colOff>
      <xdr:row>46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DBDE6-B116-4AAE-19C0-11A994406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Egegik.xlsx" TargetMode="External"/><Relationship Id="rId1" Type="http://schemas.openxmlformats.org/officeDocument/2006/relationships/externalLinkPath" Target="/Alec&amp;BarbsFiles/Alec/AlecScience/SalmonPrize/2024RevisedData/ORGFinalSpreadsheets/Egegi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gegik"/>
    </sheetNames>
    <sheetDataSet>
      <sheetData sheetId="0">
        <row r="6">
          <cell r="B6">
            <v>1963</v>
          </cell>
          <cell r="C6">
            <v>1991859.774</v>
          </cell>
        </row>
        <row r="7">
          <cell r="B7">
            <v>1964</v>
          </cell>
          <cell r="C7">
            <v>2012601.398</v>
          </cell>
        </row>
        <row r="8">
          <cell r="B8">
            <v>1965</v>
          </cell>
          <cell r="C8">
            <v>5170949.67</v>
          </cell>
        </row>
        <row r="9">
          <cell r="B9">
            <v>1966</v>
          </cell>
          <cell r="C9">
            <v>2903851.051</v>
          </cell>
        </row>
        <row r="10">
          <cell r="B10">
            <v>1967</v>
          </cell>
          <cell r="C10">
            <v>1725062.7949999999</v>
          </cell>
        </row>
        <row r="11">
          <cell r="B11">
            <v>1968</v>
          </cell>
          <cell r="C11">
            <v>1011976.914</v>
          </cell>
        </row>
        <row r="12">
          <cell r="B12">
            <v>1969</v>
          </cell>
          <cell r="C12">
            <v>2016715.5</v>
          </cell>
        </row>
        <row r="13">
          <cell r="B13">
            <v>1970</v>
          </cell>
          <cell r="C13">
            <v>1945368.9129999999</v>
          </cell>
        </row>
        <row r="14">
          <cell r="B14">
            <v>1971</v>
          </cell>
          <cell r="C14">
            <v>1996100.301</v>
          </cell>
        </row>
        <row r="15">
          <cell r="B15">
            <v>1972</v>
          </cell>
          <cell r="C15">
            <v>1774534.9469999999</v>
          </cell>
        </row>
        <row r="16">
          <cell r="B16">
            <v>1973</v>
          </cell>
          <cell r="C16">
            <v>787541.57449999999</v>
          </cell>
        </row>
        <row r="17">
          <cell r="B17">
            <v>1974</v>
          </cell>
          <cell r="C17">
            <v>1504237.2309999999</v>
          </cell>
        </row>
        <row r="18">
          <cell r="B18">
            <v>1975</v>
          </cell>
          <cell r="C18">
            <v>2238670.9840000002</v>
          </cell>
        </row>
        <row r="19">
          <cell r="B19">
            <v>1976</v>
          </cell>
          <cell r="C19">
            <v>1704895.4480000001</v>
          </cell>
        </row>
        <row r="20">
          <cell r="B20">
            <v>1977</v>
          </cell>
          <cell r="C20">
            <v>2998167.01</v>
          </cell>
        </row>
        <row r="21">
          <cell r="B21">
            <v>1978</v>
          </cell>
          <cell r="C21">
            <v>2078292.4739999999</v>
          </cell>
        </row>
        <row r="22">
          <cell r="B22">
            <v>1979</v>
          </cell>
          <cell r="C22">
            <v>2579853.17</v>
          </cell>
        </row>
        <row r="23">
          <cell r="B23">
            <v>1980</v>
          </cell>
          <cell r="C23">
            <v>3449719.4070000001</v>
          </cell>
        </row>
        <row r="24">
          <cell r="B24">
            <v>1981</v>
          </cell>
          <cell r="C24">
            <v>4641785.1629999997</v>
          </cell>
        </row>
        <row r="25">
          <cell r="B25">
            <v>1982</v>
          </cell>
          <cell r="C25">
            <v>3785029.6770000001</v>
          </cell>
        </row>
        <row r="26">
          <cell r="B26">
            <v>1983</v>
          </cell>
          <cell r="C26">
            <v>8446307.4609999992</v>
          </cell>
        </row>
        <row r="27">
          <cell r="B27">
            <v>1984</v>
          </cell>
          <cell r="C27">
            <v>5458425.159</v>
          </cell>
        </row>
        <row r="28">
          <cell r="B28">
            <v>1985</v>
          </cell>
          <cell r="C28">
            <v>8331666.1550000003</v>
          </cell>
        </row>
        <row r="29">
          <cell r="B29">
            <v>1986</v>
          </cell>
          <cell r="C29">
            <v>5506500.1320000002</v>
          </cell>
        </row>
        <row r="30">
          <cell r="B30">
            <v>1987</v>
          </cell>
          <cell r="C30">
            <v>6385229.443</v>
          </cell>
        </row>
        <row r="31">
          <cell r="B31">
            <v>1988</v>
          </cell>
          <cell r="C31">
            <v>8117564.3779999996</v>
          </cell>
        </row>
        <row r="32">
          <cell r="B32">
            <v>1989</v>
          </cell>
          <cell r="C32">
            <v>9807459.9930000007</v>
          </cell>
        </row>
        <row r="33">
          <cell r="B33">
            <v>1990</v>
          </cell>
          <cell r="C33">
            <v>12605427.23</v>
          </cell>
        </row>
        <row r="34">
          <cell r="B34">
            <v>1991</v>
          </cell>
          <cell r="C34">
            <v>9235470.3269999996</v>
          </cell>
        </row>
        <row r="35">
          <cell r="B35">
            <v>1992</v>
          </cell>
          <cell r="C35">
            <v>17890992.670000002</v>
          </cell>
        </row>
        <row r="36">
          <cell r="B36">
            <v>1993</v>
          </cell>
          <cell r="C36">
            <v>24250547.859999999</v>
          </cell>
        </row>
        <row r="37">
          <cell r="B37">
            <v>1994</v>
          </cell>
          <cell r="C37">
            <v>12738312.48</v>
          </cell>
        </row>
        <row r="38">
          <cell r="B38">
            <v>1995</v>
          </cell>
          <cell r="C38">
            <v>15374929.539999999</v>
          </cell>
        </row>
        <row r="39">
          <cell r="B39">
            <v>1996</v>
          </cell>
          <cell r="C39">
            <v>12416197.41</v>
          </cell>
        </row>
        <row r="40">
          <cell r="B40">
            <v>1997</v>
          </cell>
          <cell r="C40">
            <v>7932122.5099999998</v>
          </cell>
        </row>
        <row r="41">
          <cell r="B41">
            <v>1998</v>
          </cell>
          <cell r="C41">
            <v>4689597.352</v>
          </cell>
        </row>
        <row r="42">
          <cell r="B42">
            <v>1999</v>
          </cell>
          <cell r="C42">
            <v>6481074.1880000001</v>
          </cell>
        </row>
        <row r="43">
          <cell r="B43">
            <v>2000</v>
          </cell>
          <cell r="C43">
            <v>8168699.0460000001</v>
          </cell>
          <cell r="D43">
            <v>15.915820218661151</v>
          </cell>
        </row>
        <row r="44">
          <cell r="B44">
            <v>2001</v>
          </cell>
          <cell r="C44">
            <v>3566444.179</v>
          </cell>
          <cell r="D44">
            <v>15.087079629098703</v>
          </cell>
        </row>
        <row r="45">
          <cell r="B45">
            <v>2002</v>
          </cell>
          <cell r="C45">
            <v>5544321.6730000004</v>
          </cell>
          <cell r="D45">
            <v>15.528284839994072</v>
          </cell>
        </row>
        <row r="46">
          <cell r="B46">
            <v>2003</v>
          </cell>
          <cell r="C46">
            <v>3217355.65</v>
          </cell>
          <cell r="D46">
            <v>14.984070353421135</v>
          </cell>
        </row>
        <row r="47">
          <cell r="B47">
            <v>2004</v>
          </cell>
          <cell r="C47">
            <v>11642669.27</v>
          </cell>
          <cell r="D47">
            <v>16.270187292706566</v>
          </cell>
        </row>
        <row r="48">
          <cell r="B48">
            <v>2005</v>
          </cell>
          <cell r="C48">
            <v>9402204.3920000009</v>
          </cell>
          <cell r="D48">
            <v>16.056454729534344</v>
          </cell>
        </row>
        <row r="49">
          <cell r="B49">
            <v>2006</v>
          </cell>
          <cell r="C49">
            <v>8613841.9370000008</v>
          </cell>
          <cell r="D49">
            <v>15.968880994880589</v>
          </cell>
        </row>
        <row r="50">
          <cell r="B50">
            <v>2007</v>
          </cell>
          <cell r="C50">
            <v>7395032.415</v>
          </cell>
          <cell r="D50">
            <v>15.81631903748457</v>
          </cell>
        </row>
        <row r="51">
          <cell r="B51">
            <v>2008</v>
          </cell>
          <cell r="C51">
            <v>7827635.4589999998</v>
          </cell>
          <cell r="D51">
            <v>15.87317103755835</v>
          </cell>
        </row>
        <row r="52">
          <cell r="B52">
            <v>2009</v>
          </cell>
          <cell r="C52">
            <v>12269670.949999999</v>
          </cell>
          <cell r="D52">
            <v>16.322640998886587</v>
          </cell>
        </row>
        <row r="53">
          <cell r="B53">
            <v>2010</v>
          </cell>
          <cell r="C53">
            <v>5145650.2369999997</v>
          </cell>
          <cell r="D53">
            <v>15.453662301577641</v>
          </cell>
        </row>
        <row r="54">
          <cell r="B54">
            <v>2011</v>
          </cell>
          <cell r="C54">
            <v>4604185.017</v>
          </cell>
          <cell r="D54">
            <v>15.342476234158953</v>
          </cell>
        </row>
        <row r="55">
          <cell r="B55">
            <v>2012</v>
          </cell>
          <cell r="C55">
            <v>5925626.7570000002</v>
          </cell>
          <cell r="D55">
            <v>15.594797021163124</v>
          </cell>
        </row>
        <row r="56">
          <cell r="B56">
            <v>2013</v>
          </cell>
          <cell r="C56">
            <v>5125755.3720000004</v>
          </cell>
          <cell r="D56">
            <v>15.449788461786493</v>
          </cell>
        </row>
        <row r="57">
          <cell r="B57">
            <v>2014</v>
          </cell>
          <cell r="C57">
            <v>5081311.0449999999</v>
          </cell>
          <cell r="D57">
            <v>15.44107986598223</v>
          </cell>
        </row>
        <row r="58">
          <cell r="B58">
            <v>2015</v>
          </cell>
          <cell r="C58">
            <v>8507572.7449999992</v>
          </cell>
          <cell r="D58">
            <v>15.956467236011209</v>
          </cell>
        </row>
        <row r="59">
          <cell r="B59">
            <v>2016</v>
          </cell>
          <cell r="C59">
            <v>9891849.2479999997</v>
          </cell>
          <cell r="D59">
            <v>16.107221667717589</v>
          </cell>
        </row>
        <row r="60">
          <cell r="B60">
            <v>2017</v>
          </cell>
          <cell r="C60">
            <v>12441095.33</v>
          </cell>
          <cell r="D60">
            <v>16.336515690434588</v>
          </cell>
        </row>
        <row r="61">
          <cell r="B61">
            <v>2018</v>
          </cell>
          <cell r="C61">
            <v>6104312.1710000001</v>
          </cell>
          <cell r="D61">
            <v>15.624505992676728</v>
          </cell>
        </row>
        <row r="62">
          <cell r="B62">
            <v>2019</v>
          </cell>
          <cell r="C62">
            <v>15434052.029999999</v>
          </cell>
          <cell r="D62">
            <v>16.55208679712268</v>
          </cell>
        </row>
        <row r="63">
          <cell r="B63">
            <v>2020</v>
          </cell>
          <cell r="C63">
            <v>15597218.529999999</v>
          </cell>
          <cell r="D63">
            <v>16.562603156963572</v>
          </cell>
        </row>
        <row r="64">
          <cell r="B64">
            <v>2021</v>
          </cell>
          <cell r="C64">
            <v>7368239.3660000004</v>
          </cell>
          <cell r="D64">
            <v>15.812689343631709</v>
          </cell>
        </row>
        <row r="65">
          <cell r="B65">
            <v>2022</v>
          </cell>
          <cell r="C65">
            <v>18151847.640000001</v>
          </cell>
          <cell r="D65">
            <v>16.714282911841142</v>
          </cell>
        </row>
        <row r="66">
          <cell r="B66">
            <v>2023</v>
          </cell>
          <cell r="C66">
            <v>14814304.02</v>
          </cell>
          <cell r="D66">
            <v>16.511103759823524</v>
          </cell>
        </row>
        <row r="67">
          <cell r="B67">
            <v>2024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>
        <row r="67">
          <cell r="B67">
            <v>2024</v>
          </cell>
          <cell r="C67">
            <v>4629742.7343397001</v>
          </cell>
          <cell r="D67">
            <v>15.348011859581199</v>
          </cell>
        </row>
        <row r="101">
          <cell r="R101">
            <v>2012601.3978424701</v>
          </cell>
          <cell r="W101">
            <v>3770372.6552342437</v>
          </cell>
        </row>
        <row r="102">
          <cell r="R102">
            <v>5170949.6698973104</v>
          </cell>
          <cell r="W102">
            <v>4083148.2857562248</v>
          </cell>
        </row>
        <row r="103">
          <cell r="R103">
            <v>2903851.0510047199</v>
          </cell>
          <cell r="W103">
            <v>6413072.7655285597</v>
          </cell>
        </row>
        <row r="104">
          <cell r="R104">
            <v>1725062.79500242</v>
          </cell>
          <cell r="W104">
            <v>3091978.7270685807</v>
          </cell>
        </row>
        <row r="105">
          <cell r="R105">
            <v>1011976.91402385</v>
          </cell>
          <cell r="W105">
            <v>3409657.7576823821</v>
          </cell>
        </row>
        <row r="106">
          <cell r="R106">
            <v>2016715.5002629701</v>
          </cell>
          <cell r="W106">
            <v>3352223.201310067</v>
          </cell>
        </row>
        <row r="107">
          <cell r="R107">
            <v>1945368.91283336</v>
          </cell>
          <cell r="W107">
            <v>4476716.9658796322</v>
          </cell>
        </row>
        <row r="108">
          <cell r="R108">
            <v>1996100.3011288601</v>
          </cell>
          <cell r="W108">
            <v>4211304.3485844499</v>
          </cell>
        </row>
        <row r="109">
          <cell r="R109">
            <v>1774534.9473906399</v>
          </cell>
          <cell r="W109">
            <v>3309628.4899816844</v>
          </cell>
        </row>
        <row r="110">
          <cell r="R110">
            <v>787541.57446953095</v>
          </cell>
          <cell r="W110">
            <v>3424080.1428263271</v>
          </cell>
        </row>
        <row r="111">
          <cell r="R111">
            <v>1504237.2313867901</v>
          </cell>
          <cell r="W111">
            <v>2885236.2066389271</v>
          </cell>
        </row>
        <row r="112">
          <cell r="R112">
            <v>2238670.9838634902</v>
          </cell>
          <cell r="W112">
            <v>3819489.4305586708</v>
          </cell>
        </row>
        <row r="113">
          <cell r="R113">
            <v>1704895.44818508</v>
          </cell>
          <cell r="W113">
            <v>3313540.2769878921</v>
          </cell>
        </row>
        <row r="114">
          <cell r="R114">
            <v>2998167.0091723502</v>
          </cell>
          <cell r="W114">
            <v>3873555.0696820728</v>
          </cell>
        </row>
        <row r="115">
          <cell r="R115">
            <v>2078292.47405351</v>
          </cell>
          <cell r="W115">
            <v>4132027.264961218</v>
          </cell>
        </row>
        <row r="116">
          <cell r="R116">
            <v>2579853.1698369901</v>
          </cell>
          <cell r="W116">
            <v>3497553.9783619647</v>
          </cell>
        </row>
        <row r="117">
          <cell r="R117">
            <v>3449719.4065029598</v>
          </cell>
          <cell r="W117">
            <v>4372552.3346898612</v>
          </cell>
        </row>
        <row r="118">
          <cell r="R118">
            <v>4641785.1632384397</v>
          </cell>
          <cell r="W118">
            <v>5917838.9832689092</v>
          </cell>
        </row>
        <row r="119">
          <cell r="R119">
            <v>3785029.6766282599</v>
          </cell>
          <cell r="W119">
            <v>6124957.3127849251</v>
          </cell>
        </row>
        <row r="120">
          <cell r="R120">
            <v>8446307.4607615508</v>
          </cell>
          <cell r="W120">
            <v>3832681.0095573594</v>
          </cell>
        </row>
        <row r="121">
          <cell r="R121">
            <v>5458425.1592640402</v>
          </cell>
          <cell r="W121">
            <v>9280617.3441159502</v>
          </cell>
        </row>
        <row r="122">
          <cell r="R122">
            <v>8331666.1557818297</v>
          </cell>
          <cell r="W122">
            <v>5594451.6091354983</v>
          </cell>
        </row>
        <row r="123">
          <cell r="R123">
            <v>5506500.1313733198</v>
          </cell>
          <cell r="W123">
            <v>7626116.3513482511</v>
          </cell>
        </row>
        <row r="124">
          <cell r="R124">
            <v>6385229.4437274002</v>
          </cell>
          <cell r="W124">
            <v>6808463.2029326055</v>
          </cell>
        </row>
        <row r="125">
          <cell r="R125">
            <v>8117564.3786909496</v>
          </cell>
          <cell r="W125">
            <v>5773258.1669025738</v>
          </cell>
        </row>
        <row r="126">
          <cell r="R126">
            <v>9807459.9923260007</v>
          </cell>
          <cell r="W126">
            <v>7504037.6043221448</v>
          </cell>
        </row>
        <row r="127">
          <cell r="R127">
            <v>12605427.226271</v>
          </cell>
          <cell r="W127">
            <v>8312342.2201293157</v>
          </cell>
        </row>
        <row r="128">
          <cell r="R128">
            <v>9235470.3275266904</v>
          </cell>
          <cell r="W128">
            <v>9143497.3488987274</v>
          </cell>
        </row>
        <row r="129">
          <cell r="R129">
            <v>17890992.667780299</v>
          </cell>
          <cell r="W129">
            <v>8107932.2769977106</v>
          </cell>
        </row>
        <row r="130">
          <cell r="R130">
            <v>24250547.860873301</v>
          </cell>
          <cell r="W130">
            <v>12402136.688864198</v>
          </cell>
        </row>
        <row r="131">
          <cell r="R131">
            <v>12738312.4809906</v>
          </cell>
          <cell r="W131">
            <v>13243679.117134554</v>
          </cell>
        </row>
        <row r="132">
          <cell r="R132">
            <v>15374929.535914</v>
          </cell>
          <cell r="W132">
            <v>8795666.5537751615</v>
          </cell>
        </row>
        <row r="133">
          <cell r="R133">
            <v>12416197.408317501</v>
          </cell>
          <cell r="W133">
            <v>12084765.312023431</v>
          </cell>
        </row>
        <row r="134">
          <cell r="R134">
            <v>7932122.5097897202</v>
          </cell>
          <cell r="W134">
            <v>6408394.698749193</v>
          </cell>
        </row>
        <row r="135">
          <cell r="R135">
            <v>4689597.3514016401</v>
          </cell>
          <cell r="W135">
            <v>7333073.2880594628</v>
          </cell>
        </row>
        <row r="136">
          <cell r="R136">
            <v>6481074.1881397702</v>
          </cell>
          <cell r="W136">
            <v>4720379.7291634353</v>
          </cell>
        </row>
        <row r="137">
          <cell r="R137">
            <v>8168699.0460164901</v>
          </cell>
          <cell r="W137">
            <v>7803551.2299305936</v>
          </cell>
        </row>
        <row r="138">
          <cell r="D138">
            <v>2000</v>
          </cell>
          <cell r="G138">
            <v>0</v>
          </cell>
          <cell r="H138">
            <v>412382.55795404402</v>
          </cell>
          <cell r="K138">
            <v>3483.7714829003999</v>
          </cell>
          <cell r="L138">
            <v>1726750.27502771</v>
          </cell>
          <cell r="R138">
            <v>3566444.1789674698</v>
          </cell>
          <cell r="W138">
            <v>4772248.0018234346</v>
          </cell>
        </row>
        <row r="139">
          <cell r="D139">
            <v>2001</v>
          </cell>
          <cell r="G139">
            <v>1.5807694883858601</v>
          </cell>
          <cell r="H139">
            <v>17162.126178029401</v>
          </cell>
          <cell r="I139">
            <v>1386366.08215562</v>
          </cell>
          <cell r="K139">
            <v>18742.285874621099</v>
          </cell>
          <cell r="L139">
            <v>542540.18166963896</v>
          </cell>
          <cell r="M139">
            <v>1539472.47498478</v>
          </cell>
          <cell r="R139">
            <v>5544321.6731135603</v>
          </cell>
          <cell r="W139">
            <v>3516844.368052071</v>
          </cell>
        </row>
        <row r="140">
          <cell r="D140">
            <v>2002</v>
          </cell>
          <cell r="G140">
            <v>0</v>
          </cell>
          <cell r="H140">
            <v>20334.586672833098</v>
          </cell>
          <cell r="I140">
            <v>177854.741528293</v>
          </cell>
          <cell r="K140">
            <v>12649.3265510701</v>
          </cell>
          <cell r="L140">
            <v>3493430.96881301</v>
          </cell>
          <cell r="M140">
            <v>1749165.38584548</v>
          </cell>
          <cell r="R140">
            <v>3217355.6503187399</v>
          </cell>
          <cell r="W140">
            <v>6009456.3339190632</v>
          </cell>
        </row>
        <row r="141">
          <cell r="D141">
            <v>2003</v>
          </cell>
          <cell r="G141">
            <v>542.22225599659305</v>
          </cell>
          <cell r="H141">
            <v>162299.80821550699</v>
          </cell>
          <cell r="I141">
            <v>76433.635755037001</v>
          </cell>
          <cell r="K141">
            <v>171813.95652393799</v>
          </cell>
          <cell r="L141">
            <v>490761.377167058</v>
          </cell>
          <cell r="M141">
            <v>2069386.18113183</v>
          </cell>
          <cell r="R141">
            <v>11642669.2721425</v>
          </cell>
          <cell r="W141">
            <v>5894538.5226674471</v>
          </cell>
        </row>
        <row r="142">
          <cell r="D142">
            <v>2004</v>
          </cell>
          <cell r="G142">
            <v>0</v>
          </cell>
          <cell r="H142">
            <v>1302473.62393083</v>
          </cell>
          <cell r="I142">
            <v>395983.31639764499</v>
          </cell>
          <cell r="K142">
            <v>25104.915736154901</v>
          </cell>
          <cell r="L142">
            <v>9207076.0186829902</v>
          </cell>
          <cell r="M142">
            <v>654091.75230393303</v>
          </cell>
          <cell r="R142">
            <v>9402204.3922494706</v>
          </cell>
          <cell r="W142">
            <v>12632573.184473932</v>
          </cell>
        </row>
        <row r="143">
          <cell r="D143">
            <v>2005</v>
          </cell>
          <cell r="G143">
            <v>27641.409793020299</v>
          </cell>
          <cell r="H143">
            <v>292655.80557413102</v>
          </cell>
          <cell r="I143">
            <v>2432554.4342897702</v>
          </cell>
          <cell r="K143">
            <v>47658.7306920056</v>
          </cell>
          <cell r="L143">
            <v>3546271.31298221</v>
          </cell>
          <cell r="M143">
            <v>3035602.31866861</v>
          </cell>
          <cell r="R143">
            <v>8613841.9371849298</v>
          </cell>
          <cell r="W143">
            <v>6879439.7766519077</v>
          </cell>
        </row>
        <row r="144">
          <cell r="D144">
            <v>2006</v>
          </cell>
          <cell r="G144">
            <v>19080.614421336501</v>
          </cell>
          <cell r="H144">
            <v>1450971.2816660099</v>
          </cell>
          <cell r="I144">
            <v>797157.91688573605</v>
          </cell>
          <cell r="K144">
            <v>45866.3992286875</v>
          </cell>
          <cell r="L144">
            <v>1585956.61028939</v>
          </cell>
          <cell r="M144">
            <v>4647480.7558379602</v>
          </cell>
          <cell r="R144">
            <v>7395032.4161607698</v>
          </cell>
          <cell r="W144">
            <v>6445891.0697536059</v>
          </cell>
        </row>
        <row r="145">
          <cell r="D145">
            <v>2007</v>
          </cell>
          <cell r="G145">
            <v>23434.3713561369</v>
          </cell>
          <cell r="H145">
            <v>1984955.74038946</v>
          </cell>
          <cell r="I145">
            <v>2203107.6673163199</v>
          </cell>
          <cell r="K145">
            <v>41158.691634941097</v>
          </cell>
          <cell r="L145">
            <v>1050682.2867606699</v>
          </cell>
          <cell r="M145">
            <v>2059102.14848678</v>
          </cell>
          <cell r="R145">
            <v>7827635.4595456999</v>
          </cell>
          <cell r="W145">
            <v>6510731.7467941782</v>
          </cell>
        </row>
        <row r="146">
          <cell r="D146">
            <v>2008</v>
          </cell>
          <cell r="G146">
            <v>4350.02820269318</v>
          </cell>
          <cell r="H146">
            <v>2789827.2731231898</v>
          </cell>
          <cell r="I146">
            <v>2552431.0430830298</v>
          </cell>
          <cell r="K146">
            <v>39826.978705139802</v>
          </cell>
          <cell r="L146">
            <v>1926995.4584210599</v>
          </cell>
          <cell r="M146">
            <v>511617.56621183897</v>
          </cell>
          <cell r="R146">
            <v>12269670.950218599</v>
          </cell>
          <cell r="W146">
            <v>8164532.8367735185</v>
          </cell>
        </row>
        <row r="147">
          <cell r="D147">
            <v>2009</v>
          </cell>
          <cell r="G147">
            <v>7819.5003549310704</v>
          </cell>
          <cell r="H147">
            <v>470725.91292033799</v>
          </cell>
          <cell r="I147">
            <v>3459265.9273520699</v>
          </cell>
          <cell r="K147">
            <v>36928.623091109701</v>
          </cell>
          <cell r="L147">
            <v>6022979.2388191698</v>
          </cell>
          <cell r="M147">
            <v>2245895.7816871898</v>
          </cell>
          <cell r="R147">
            <v>5145650.2362554399</v>
          </cell>
          <cell r="W147">
            <v>9086410.3542828709</v>
          </cell>
        </row>
        <row r="148">
          <cell r="D148">
            <v>2010</v>
          </cell>
          <cell r="G148">
            <v>8768.6021261361293</v>
          </cell>
          <cell r="H148">
            <v>144943.02378843399</v>
          </cell>
          <cell r="I148">
            <v>202329.24234062701</v>
          </cell>
          <cell r="K148">
            <v>121161.372517706</v>
          </cell>
          <cell r="L148">
            <v>2866201.43686753</v>
          </cell>
          <cell r="M148">
            <v>1767627.19960324</v>
          </cell>
          <cell r="R148">
            <v>4604185.0167821702</v>
          </cell>
          <cell r="W148">
            <v>7203394.5147191789</v>
          </cell>
        </row>
        <row r="149">
          <cell r="D149">
            <v>2011</v>
          </cell>
          <cell r="G149">
            <v>317.09017605064997</v>
          </cell>
          <cell r="H149">
            <v>53088.117860343402</v>
          </cell>
          <cell r="I149">
            <v>253935.80865245001</v>
          </cell>
          <cell r="K149">
            <v>71868.147256234894</v>
          </cell>
          <cell r="L149">
            <v>1632027.2442753401</v>
          </cell>
          <cell r="M149">
            <v>2550952.9848732399</v>
          </cell>
          <cell r="R149">
            <v>5925626.757034</v>
          </cell>
          <cell r="W149">
            <v>5293644.7576780003</v>
          </cell>
        </row>
        <row r="150">
          <cell r="D150">
            <v>2012</v>
          </cell>
          <cell r="G150">
            <v>5486.4336098243102</v>
          </cell>
          <cell r="H150">
            <v>630407.67288635799</v>
          </cell>
          <cell r="I150">
            <v>429490.26636867999</v>
          </cell>
          <cell r="K150">
            <v>58269.880165393297</v>
          </cell>
          <cell r="L150">
            <v>3377632.4612042299</v>
          </cell>
          <cell r="M150">
            <v>1370541.08966448</v>
          </cell>
          <cell r="R150">
            <v>5125755.3723449502</v>
          </cell>
          <cell r="W150">
            <v>7269530.1743082907</v>
          </cell>
        </row>
        <row r="151">
          <cell r="D151">
            <v>2013</v>
          </cell>
          <cell r="G151">
            <v>10191.8428035865</v>
          </cell>
          <cell r="H151">
            <v>305233.880903563</v>
          </cell>
          <cell r="I151">
            <v>1090910.8896669</v>
          </cell>
          <cell r="K151">
            <v>122199.46925165001</v>
          </cell>
          <cell r="L151">
            <v>1104841.6710454</v>
          </cell>
          <cell r="M151">
            <v>2457309.1204477102</v>
          </cell>
          <cell r="R151">
            <v>5081311.04511429</v>
          </cell>
          <cell r="W151">
            <v>5860103.9204293061</v>
          </cell>
        </row>
        <row r="152">
          <cell r="D152">
            <v>2014</v>
          </cell>
          <cell r="G152">
            <v>36548.021326485199</v>
          </cell>
          <cell r="H152">
            <v>537683.00048149005</v>
          </cell>
          <cell r="I152">
            <v>488974.666187378</v>
          </cell>
          <cell r="K152">
            <v>274215.92848077498</v>
          </cell>
          <cell r="L152">
            <v>2763497.8149396302</v>
          </cell>
          <cell r="M152">
            <v>943565.494165982</v>
          </cell>
          <cell r="R152">
            <v>8507572.7456944995</v>
          </cell>
          <cell r="W152">
            <v>9815532.1444958076</v>
          </cell>
        </row>
        <row r="153">
          <cell r="D153">
            <v>2015</v>
          </cell>
          <cell r="G153">
            <v>38196.985148717598</v>
          </cell>
          <cell r="H153">
            <v>444733.70867548499</v>
          </cell>
          <cell r="I153">
            <v>671671.932151924</v>
          </cell>
          <cell r="K153">
            <v>532951.35977030895</v>
          </cell>
          <cell r="L153">
            <v>5984739.94547245</v>
          </cell>
          <cell r="M153">
            <v>785871.79847386701</v>
          </cell>
          <cell r="R153">
            <v>9891849.2478553206</v>
          </cell>
          <cell r="W153">
            <v>16344808.883168541</v>
          </cell>
        </row>
        <row r="154">
          <cell r="D154">
            <v>2016</v>
          </cell>
          <cell r="G154">
            <v>162141.35819137501</v>
          </cell>
          <cell r="H154">
            <v>1977511.2976895899</v>
          </cell>
          <cell r="I154">
            <v>1095740.23201025</v>
          </cell>
          <cell r="K154">
            <v>353152.03612901899</v>
          </cell>
          <cell r="L154">
            <v>3901937.6373978001</v>
          </cell>
          <cell r="M154">
            <v>2345583.7658858001</v>
          </cell>
          <cell r="R154">
            <v>12441095.3321192</v>
          </cell>
          <cell r="W154">
            <v>13599140.448154429</v>
          </cell>
        </row>
        <row r="155">
          <cell r="D155">
            <v>2017</v>
          </cell>
          <cell r="G155">
            <v>102285.98258054801</v>
          </cell>
          <cell r="H155">
            <v>2859582.0914596301</v>
          </cell>
          <cell r="I155">
            <v>1278331.3116123499</v>
          </cell>
          <cell r="K155">
            <v>88058.609874913993</v>
          </cell>
          <cell r="L155">
            <v>4775925.4072280303</v>
          </cell>
          <cell r="M155">
            <v>3275009.2278626799</v>
          </cell>
          <cell r="R155">
            <v>6104312.1713707102</v>
          </cell>
          <cell r="W155">
            <v>11444927.423358146</v>
          </cell>
        </row>
        <row r="156">
          <cell r="D156">
            <v>2018</v>
          </cell>
          <cell r="G156">
            <v>295277.61843947502</v>
          </cell>
          <cell r="H156">
            <v>2156590.6732663298</v>
          </cell>
          <cell r="I156">
            <v>1945680.9586831599</v>
          </cell>
          <cell r="K156">
            <v>73755.475777228305</v>
          </cell>
          <cell r="L156">
            <v>467779.94524718</v>
          </cell>
          <cell r="M156">
            <v>1137566.6002938</v>
          </cell>
          <cell r="R156">
            <v>15434052.0365666</v>
          </cell>
          <cell r="W156">
            <v>6675954.8486542171</v>
          </cell>
        </row>
        <row r="157">
          <cell r="D157">
            <v>2019</v>
          </cell>
          <cell r="G157">
            <v>29390.8851980707</v>
          </cell>
          <cell r="H157">
            <v>11553433.834185701</v>
          </cell>
          <cell r="I157">
            <v>2005941.4733935599</v>
          </cell>
          <cell r="K157">
            <v>66998.659704583406</v>
          </cell>
          <cell r="L157">
            <v>1280264.2152466299</v>
          </cell>
          <cell r="M157">
            <v>495688.85069457098</v>
          </cell>
          <cell r="R157">
            <v>15597218.528552299</v>
          </cell>
          <cell r="W157">
            <v>17882416.72768544</v>
          </cell>
        </row>
        <row r="158">
          <cell r="D158">
            <v>2020</v>
          </cell>
          <cell r="G158">
            <v>181713.58260121601</v>
          </cell>
          <cell r="H158">
            <v>1774510.2812085999</v>
          </cell>
          <cell r="I158">
            <v>12280095.537248701</v>
          </cell>
          <cell r="K158">
            <v>168096.976623439</v>
          </cell>
          <cell r="L158">
            <v>993180.67633051297</v>
          </cell>
          <cell r="M158">
            <v>198213.828141818</v>
          </cell>
          <cell r="R158">
            <v>7368239.3663219698</v>
          </cell>
          <cell r="W158">
            <v>8096740.2144473698</v>
          </cell>
        </row>
        <row r="159">
          <cell r="D159">
            <v>2021</v>
          </cell>
          <cell r="G159">
            <v>294139.354668546</v>
          </cell>
          <cell r="H159">
            <v>3928522.7479466</v>
          </cell>
          <cell r="I159">
            <v>222244.90806571799</v>
          </cell>
          <cell r="K159">
            <v>366575.23791298101</v>
          </cell>
          <cell r="L159">
            <v>2276904.2229627902</v>
          </cell>
          <cell r="M159">
            <v>279852.891675747</v>
          </cell>
          <cell r="R159">
            <v>18151847.6369626</v>
          </cell>
          <cell r="W159">
            <v>14577054.142831938</v>
          </cell>
        </row>
        <row r="160">
          <cell r="D160">
            <v>2022</v>
          </cell>
          <cell r="G160">
            <v>36671.8840398416</v>
          </cell>
          <cell r="H160">
            <v>5907225.2461233102</v>
          </cell>
          <cell r="I160">
            <v>4660092.6305008503</v>
          </cell>
          <cell r="K160">
            <v>62869.580133966701</v>
          </cell>
          <cell r="L160">
            <v>6744189.7627968797</v>
          </cell>
          <cell r="M160">
            <v>736199.30538020795</v>
          </cell>
          <cell r="R160">
            <v>14814304.0242042</v>
          </cell>
          <cell r="W160">
            <v>16229929.944725912</v>
          </cell>
        </row>
        <row r="161">
          <cell r="D161">
            <v>2023</v>
          </cell>
          <cell r="G161">
            <v>91287.913764003999</v>
          </cell>
          <cell r="H161">
            <v>265771.61952139001</v>
          </cell>
          <cell r="I161">
            <v>6441568.5134148803</v>
          </cell>
          <cell r="K161">
            <v>140140.580718749</v>
          </cell>
          <cell r="L161">
            <v>1017403.94675479</v>
          </cell>
          <cell r="M161">
            <v>6832852.7631494198</v>
          </cell>
          <cell r="R161">
            <v>4629742.7343397001</v>
          </cell>
          <cell r="W161">
            <v>6003992.8434144408</v>
          </cell>
        </row>
        <row r="162">
          <cell r="D162">
            <v>2024</v>
          </cell>
          <cell r="H162">
            <v>2645110.3892728901</v>
          </cell>
          <cell r="I162">
            <v>186066.40705108299</v>
          </cell>
          <cell r="L162">
            <v>1063838.9972753599</v>
          </cell>
          <cell r="M162">
            <v>582894.73956331902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2"/>
  <sheetViews>
    <sheetView workbookViewId="0">
      <selection activeCell="G5" sqref="G5:AU5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44</v>
      </c>
    </row>
    <row r="2" spans="1:47" x14ac:dyDescent="0.25">
      <c r="A2" s="3" t="s">
        <v>45</v>
      </c>
      <c r="B2" s="3"/>
      <c r="C2" s="3"/>
      <c r="D2" s="3"/>
      <c r="E2" s="3"/>
    </row>
    <row r="3" spans="1:47" x14ac:dyDescent="0.25">
      <c r="A3" s="3"/>
      <c r="B3" s="3"/>
      <c r="C3" s="3"/>
      <c r="D3" s="6"/>
      <c r="E3" s="6"/>
    </row>
    <row r="4" spans="1:47" x14ac:dyDescent="0.25">
      <c r="A4" s="3"/>
      <c r="B4" s="3"/>
      <c r="C4" s="3"/>
      <c r="D4" s="3"/>
      <c r="E4" s="3"/>
    </row>
    <row r="5" spans="1:47" x14ac:dyDescent="0.25">
      <c r="A5" s="3"/>
      <c r="B5" s="3"/>
      <c r="C5" s="3"/>
      <c r="D5" s="3"/>
      <c r="E5" s="3"/>
      <c r="F5" t="s">
        <v>41</v>
      </c>
      <c r="G5">
        <f>CORREL($D$28:$D$51,G28:G51)</f>
        <v>-0.22455390256715771</v>
      </c>
      <c r="H5">
        <f t="shared" ref="H5:AU5" si="0">CORREL($D$28:$D$51,H28:H51)</f>
        <v>-0.19439633138062112</v>
      </c>
      <c r="I5">
        <f t="shared" si="0"/>
        <v>7.1363832707283484E-2</v>
      </c>
      <c r="J5">
        <f t="shared" si="0"/>
        <v>-6.5278699491460278E-3</v>
      </c>
      <c r="K5">
        <f t="shared" si="0"/>
        <v>0.13980033338903475</v>
      </c>
      <c r="L5">
        <f t="shared" si="0"/>
        <v>0.11185205384053998</v>
      </c>
      <c r="M5">
        <f t="shared" si="0"/>
        <v>3.439270882403709E-2</v>
      </c>
      <c r="N5">
        <f t="shared" si="0"/>
        <v>-1.4988835906481873E-2</v>
      </c>
      <c r="O5">
        <f t="shared" si="0"/>
        <v>-7.9287505476411252E-2</v>
      </c>
      <c r="P5">
        <f t="shared" si="0"/>
        <v>-0.16846759855353938</v>
      </c>
      <c r="Q5">
        <f t="shared" si="0"/>
        <v>-0.11508749769487708</v>
      </c>
      <c r="R5">
        <f t="shared" si="0"/>
        <v>-0.15535879762043031</v>
      </c>
      <c r="S5">
        <f t="shared" si="0"/>
        <v>-0.17179670126236005</v>
      </c>
      <c r="T5">
        <f t="shared" si="0"/>
        <v>-0.2233775417928768</v>
      </c>
      <c r="U5">
        <f t="shared" si="0"/>
        <v>-9.7034818654506652E-2</v>
      </c>
      <c r="V5">
        <f t="shared" si="0"/>
        <v>-0.16451989457981514</v>
      </c>
      <c r="W5">
        <f t="shared" si="0"/>
        <v>-0.32844117061457268</v>
      </c>
      <c r="X5">
        <f t="shared" si="0"/>
        <v>-0.23401514054575961</v>
      </c>
      <c r="Y5">
        <f t="shared" si="0"/>
        <v>-0.20352282527759444</v>
      </c>
      <c r="Z5">
        <f t="shared" si="0"/>
        <v>-0.28172454010098003</v>
      </c>
      <c r="AA5">
        <f t="shared" si="0"/>
        <v>-0.35685405147254629</v>
      </c>
      <c r="AB5">
        <f t="shared" si="0"/>
        <v>-0.39440330880376667</v>
      </c>
      <c r="AC5">
        <f t="shared" si="0"/>
        <v>-0.34458829743115416</v>
      </c>
      <c r="AD5">
        <f t="shared" si="0"/>
        <v>-0.45530263032689722</v>
      </c>
      <c r="AE5">
        <f t="shared" si="0"/>
        <v>-0.45125599989287568</v>
      </c>
      <c r="AF5">
        <f t="shared" si="0"/>
        <v>-0.360904177989335</v>
      </c>
      <c r="AG5">
        <f t="shared" si="0"/>
        <v>-2.4529408881898626E-2</v>
      </c>
      <c r="AH5">
        <f t="shared" si="0"/>
        <v>-0.15606608052604373</v>
      </c>
      <c r="AI5">
        <f t="shared" si="0"/>
        <v>-0.18005138672952867</v>
      </c>
      <c r="AJ5">
        <f t="shared" si="0"/>
        <v>-0.36915626067879448</v>
      </c>
      <c r="AK5">
        <f t="shared" si="0"/>
        <v>-0.32437919965536077</v>
      </c>
      <c r="AL5">
        <f t="shared" si="0"/>
        <v>-0.32341721251693178</v>
      </c>
      <c r="AM5">
        <f t="shared" si="0"/>
        <v>-0.30254174099792469</v>
      </c>
      <c r="AN5">
        <f t="shared" si="0"/>
        <v>-0.34029395025165488</v>
      </c>
      <c r="AO5">
        <f t="shared" si="0"/>
        <v>-0.313574227780547</v>
      </c>
      <c r="AP5">
        <f t="shared" si="0"/>
        <v>-0.32160506502288999</v>
      </c>
      <c r="AQ5">
        <f t="shared" si="0"/>
        <v>-0.38579394236073217</v>
      </c>
      <c r="AR5">
        <f t="shared" si="0"/>
        <v>-0.37290134640776751</v>
      </c>
      <c r="AS5">
        <f t="shared" si="0"/>
        <v>-0.10243566611743983</v>
      </c>
      <c r="AT5">
        <f t="shared" si="0"/>
        <v>2.190551184878204E-2</v>
      </c>
      <c r="AU5">
        <f t="shared" si="0"/>
        <v>-0.21168688249850262</v>
      </c>
    </row>
    <row r="6" spans="1:47" x14ac:dyDescent="0.25">
      <c r="A6" s="3"/>
      <c r="B6" s="3"/>
      <c r="C6" s="3"/>
      <c r="D6" s="3"/>
      <c r="E6" s="3"/>
      <c r="F6" t="s">
        <v>4</v>
      </c>
      <c r="G6">
        <f>5+G7</f>
        <v>5</v>
      </c>
      <c r="H6">
        <f t="shared" ref="H6:K6" si="1">5+H7</f>
        <v>4</v>
      </c>
      <c r="I6">
        <f t="shared" si="1"/>
        <v>3</v>
      </c>
      <c r="J6">
        <f t="shared" si="1"/>
        <v>2</v>
      </c>
      <c r="K6">
        <f t="shared" si="1"/>
        <v>1</v>
      </c>
      <c r="L6">
        <f>17+L7</f>
        <v>12</v>
      </c>
      <c r="M6">
        <f t="shared" ref="M6:W6" si="2">17+M7</f>
        <v>11</v>
      </c>
      <c r="N6">
        <f t="shared" si="2"/>
        <v>10</v>
      </c>
      <c r="O6">
        <f t="shared" si="2"/>
        <v>9</v>
      </c>
      <c r="P6">
        <f t="shared" si="2"/>
        <v>8</v>
      </c>
      <c r="Q6">
        <f t="shared" si="2"/>
        <v>7</v>
      </c>
      <c r="R6">
        <f t="shared" si="2"/>
        <v>6</v>
      </c>
      <c r="S6">
        <f t="shared" si="2"/>
        <v>5</v>
      </c>
      <c r="T6">
        <f t="shared" si="2"/>
        <v>4</v>
      </c>
      <c r="U6">
        <f t="shared" si="2"/>
        <v>3</v>
      </c>
      <c r="V6">
        <f t="shared" si="2"/>
        <v>2</v>
      </c>
      <c r="W6">
        <f t="shared" si="2"/>
        <v>1</v>
      </c>
      <c r="X6">
        <f>29+X7</f>
        <v>12</v>
      </c>
      <c r="Y6">
        <f t="shared" ref="Y6:AI6" si="3">29+Y7</f>
        <v>11</v>
      </c>
      <c r="Z6">
        <f t="shared" si="3"/>
        <v>10</v>
      </c>
      <c r="AA6">
        <f t="shared" si="3"/>
        <v>9</v>
      </c>
      <c r="AB6">
        <f t="shared" si="3"/>
        <v>8</v>
      </c>
      <c r="AC6">
        <f t="shared" si="3"/>
        <v>7</v>
      </c>
      <c r="AD6">
        <f t="shared" si="3"/>
        <v>6</v>
      </c>
      <c r="AE6">
        <f t="shared" si="3"/>
        <v>5</v>
      </c>
      <c r="AF6">
        <f t="shared" si="3"/>
        <v>4</v>
      </c>
      <c r="AG6">
        <f t="shared" si="3"/>
        <v>3</v>
      </c>
      <c r="AH6">
        <f t="shared" si="3"/>
        <v>2</v>
      </c>
      <c r="AI6">
        <f t="shared" si="3"/>
        <v>1</v>
      </c>
      <c r="AJ6">
        <f>41+AJ7</f>
        <v>12</v>
      </c>
      <c r="AK6">
        <f t="shared" ref="AK6:AU6" si="4">41+AK7</f>
        <v>11</v>
      </c>
      <c r="AL6">
        <f t="shared" si="4"/>
        <v>10</v>
      </c>
      <c r="AM6">
        <f t="shared" si="4"/>
        <v>9</v>
      </c>
      <c r="AN6">
        <f t="shared" si="4"/>
        <v>8</v>
      </c>
      <c r="AO6">
        <f t="shared" si="4"/>
        <v>7</v>
      </c>
      <c r="AP6">
        <f t="shared" si="4"/>
        <v>6</v>
      </c>
      <c r="AQ6">
        <f t="shared" si="4"/>
        <v>5</v>
      </c>
      <c r="AR6">
        <f t="shared" si="4"/>
        <v>4</v>
      </c>
      <c r="AS6">
        <f t="shared" si="4"/>
        <v>3</v>
      </c>
      <c r="AT6">
        <f t="shared" si="4"/>
        <v>2</v>
      </c>
      <c r="AU6">
        <f t="shared" si="4"/>
        <v>1</v>
      </c>
    </row>
    <row r="7" spans="1:47" x14ac:dyDescent="0.25">
      <c r="A7" s="3"/>
      <c r="B7" s="3"/>
      <c r="C7" s="3"/>
      <c r="D7" s="3" t="s">
        <v>1</v>
      </c>
      <c r="E7" s="3"/>
      <c r="F7" t="s">
        <v>42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2</v>
      </c>
    </row>
    <row r="9" spans="1:47" x14ac:dyDescent="0.25">
      <c r="A9" t="s">
        <v>3</v>
      </c>
      <c r="B9" t="s">
        <v>4</v>
      </c>
      <c r="C9" t="s">
        <v>5</v>
      </c>
      <c r="D9" t="s">
        <v>7</v>
      </c>
      <c r="G9" t="s">
        <v>43</v>
      </c>
    </row>
    <row r="10" spans="1:47" x14ac:dyDescent="0.25">
      <c r="A10">
        <v>1982.375</v>
      </c>
      <c r="B10">
        <v>5</v>
      </c>
      <c r="C10" s="3">
        <v>1.6829712080392252</v>
      </c>
      <c r="D10">
        <v>15.146564285411657</v>
      </c>
      <c r="G10" s="3">
        <v>1.6829712080392252</v>
      </c>
      <c r="H10" s="3">
        <v>2.2472897998692272</v>
      </c>
      <c r="I10" s="3">
        <v>1.5381377024192207</v>
      </c>
      <c r="J10" s="3">
        <v>0.95009040011922963</v>
      </c>
      <c r="K10" s="3">
        <v>0.16778843210923924</v>
      </c>
      <c r="L10" s="3">
        <v>-0.32820109656075358</v>
      </c>
      <c r="M10" s="3">
        <v>0.10288279560923042</v>
      </c>
      <c r="N10" s="3">
        <v>1.1606928748392318</v>
      </c>
      <c r="O10" s="3">
        <v>1.0248394490071275</v>
      </c>
      <c r="P10" s="3">
        <v>1.606789201499234</v>
      </c>
      <c r="Q10" s="3">
        <v>2.394840518709227</v>
      </c>
      <c r="R10" s="3">
        <v>1.0093508307130274</v>
      </c>
      <c r="S10" s="3">
        <v>0.70257197929922732</v>
      </c>
      <c r="T10" s="3">
        <v>0.71152544480922963</v>
      </c>
      <c r="U10" s="3">
        <v>-1.2758133939807617</v>
      </c>
      <c r="V10" s="3">
        <v>-1.1840317151307596</v>
      </c>
      <c r="W10" s="3">
        <v>-2.9731450761907507</v>
      </c>
      <c r="X10" s="3">
        <v>-0.826312025460755</v>
      </c>
      <c r="Y10" s="3">
        <v>-0.82430027525075733</v>
      </c>
      <c r="Z10" s="3">
        <v>-0.21680460930476167</v>
      </c>
      <c r="AA10" s="3">
        <v>1.2002363824092406</v>
      </c>
      <c r="AB10" s="3">
        <v>1.7415489131692448</v>
      </c>
      <c r="AC10" s="3">
        <v>1.1845717860692297</v>
      </c>
      <c r="AD10" s="3">
        <v>1.8719868955192429</v>
      </c>
      <c r="AE10" s="3">
        <v>0.19282233268922738</v>
      </c>
      <c r="AF10" s="3">
        <v>-0.41644266558675735</v>
      </c>
      <c r="AG10" s="3">
        <v>-0.7920709280307725</v>
      </c>
      <c r="AH10" s="3">
        <v>-3.1117011955307636</v>
      </c>
      <c r="AI10" s="3">
        <v>-1.754437314630755</v>
      </c>
      <c r="AJ10" s="3">
        <v>-0.6783287293607636</v>
      </c>
      <c r="AK10" s="3">
        <v>-0.13216066909075941</v>
      </c>
      <c r="AL10" s="3">
        <v>-1.2187106281307756</v>
      </c>
      <c r="AM10" s="3">
        <v>-0.23967928586077691</v>
      </c>
      <c r="AN10" s="3">
        <v>0.41425456986923609</v>
      </c>
      <c r="AO10" s="3">
        <v>1.4262948740692274</v>
      </c>
      <c r="AP10" s="3">
        <v>2.0884129651392276</v>
      </c>
      <c r="AQ10" s="3">
        <v>0.230319378419234</v>
      </c>
      <c r="AR10" s="3">
        <v>0.87058350376922755</v>
      </c>
      <c r="AS10" s="3">
        <v>-0.18409000339077064</v>
      </c>
      <c r="AT10" s="3">
        <v>1.3994548985492341</v>
      </c>
      <c r="AU10" s="3">
        <v>-1.1214605250507683</v>
      </c>
    </row>
    <row r="11" spans="1:47" x14ac:dyDescent="0.25">
      <c r="A11">
        <v>1983.375</v>
      </c>
      <c r="B11">
        <v>5</v>
      </c>
      <c r="C11" s="3">
        <v>-1.5365287291607705</v>
      </c>
      <c r="D11">
        <v>15.949239916934635</v>
      </c>
      <c r="G11" s="3">
        <v>-1.5365287291607705</v>
      </c>
      <c r="H11" s="3">
        <v>-1.6037714177007616</v>
      </c>
      <c r="I11" s="3">
        <v>-4.4186573967507705</v>
      </c>
      <c r="J11" s="3">
        <v>-5.7546631341007721</v>
      </c>
      <c r="K11" s="3">
        <v>-4.2828241200607735</v>
      </c>
      <c r="L11" s="3">
        <v>-3.318813113430755</v>
      </c>
      <c r="M11" s="3">
        <v>-2.2869922902807649</v>
      </c>
      <c r="N11" s="3">
        <v>-1.1141125145307573</v>
      </c>
      <c r="O11" s="3">
        <v>-0.85833921068075947</v>
      </c>
      <c r="P11" s="3">
        <v>0.19842168935924309</v>
      </c>
      <c r="Q11" s="3">
        <v>9.0747949279244927E-2</v>
      </c>
      <c r="R11" s="3">
        <v>0.28020932696923401</v>
      </c>
      <c r="S11" s="3">
        <v>1.6829712080392252</v>
      </c>
      <c r="T11" s="3">
        <v>2.2472897998692272</v>
      </c>
      <c r="U11" s="3">
        <v>1.5381377024192207</v>
      </c>
      <c r="V11" s="3">
        <v>0.95009040011922963</v>
      </c>
      <c r="W11" s="3">
        <v>0.16778843210923924</v>
      </c>
      <c r="X11" s="3">
        <v>-0.32820109656075358</v>
      </c>
      <c r="Y11" s="3">
        <v>0.10288279560923042</v>
      </c>
      <c r="Z11" s="3">
        <v>1.1606928748392318</v>
      </c>
      <c r="AA11" s="3">
        <v>1.0248394490071275</v>
      </c>
      <c r="AB11" s="3">
        <v>1.606789201499234</v>
      </c>
      <c r="AC11" s="3">
        <v>2.394840518709227</v>
      </c>
      <c r="AD11" s="3">
        <v>1.0093508307130274</v>
      </c>
      <c r="AE11" s="3">
        <v>0.70257197929922732</v>
      </c>
      <c r="AF11" s="3">
        <v>0.71152544480922963</v>
      </c>
      <c r="AG11" s="3">
        <v>-1.2758133939807617</v>
      </c>
      <c r="AH11" s="3">
        <v>-1.1840317151307596</v>
      </c>
      <c r="AI11" s="3">
        <v>-2.9731450761907507</v>
      </c>
      <c r="AJ11" s="3">
        <v>-0.826312025460755</v>
      </c>
      <c r="AK11" s="3">
        <v>-0.82430027525075733</v>
      </c>
      <c r="AL11" s="3">
        <v>-0.21680460930476167</v>
      </c>
      <c r="AM11" s="3">
        <v>1.2002363824092406</v>
      </c>
      <c r="AN11" s="3">
        <v>1.7415489131692448</v>
      </c>
      <c r="AO11" s="3">
        <v>1.1845717860692297</v>
      </c>
      <c r="AP11" s="3">
        <v>1.8719868955192429</v>
      </c>
      <c r="AQ11" s="3">
        <v>0.19282233268922738</v>
      </c>
      <c r="AR11" s="3">
        <v>-0.41644266558675735</v>
      </c>
      <c r="AS11" s="3">
        <v>-0.7920709280307725</v>
      </c>
      <c r="AT11" s="3">
        <v>-3.1117011955307636</v>
      </c>
      <c r="AU11" s="3">
        <v>-1.754437314630755</v>
      </c>
    </row>
    <row r="12" spans="1:47" x14ac:dyDescent="0.25">
      <c r="A12">
        <v>1984.375</v>
      </c>
      <c r="B12">
        <v>5</v>
      </c>
      <c r="C12" s="3">
        <v>1.880515014489234</v>
      </c>
      <c r="D12">
        <v>15.512670873747249</v>
      </c>
      <c r="G12" s="3">
        <v>1.880515014489234</v>
      </c>
      <c r="H12" s="3">
        <v>1.4169093568692384</v>
      </c>
      <c r="I12" s="3">
        <v>-1.459145150890766</v>
      </c>
      <c r="J12" s="3">
        <v>-0.25170846241076383</v>
      </c>
      <c r="K12" s="3">
        <v>-0.36195759964077051</v>
      </c>
      <c r="L12" s="3">
        <v>-0.47425017163075722</v>
      </c>
      <c r="M12" s="3">
        <v>-0.51962604492076825</v>
      </c>
      <c r="N12" s="3">
        <v>1.7054727707192336</v>
      </c>
      <c r="O12" s="3">
        <v>1.999494930519234</v>
      </c>
      <c r="P12" s="3">
        <v>1.7188996157552427</v>
      </c>
      <c r="Q12" s="3">
        <v>0.12128620823924474</v>
      </c>
      <c r="R12" s="3">
        <v>-1.4051694421937548</v>
      </c>
      <c r="S12" s="3">
        <v>-1.5365287291607705</v>
      </c>
      <c r="T12" s="3">
        <v>-1.6037714177007616</v>
      </c>
      <c r="U12" s="3">
        <v>-4.4186573967507705</v>
      </c>
      <c r="V12" s="3">
        <v>-5.7546631341007721</v>
      </c>
      <c r="W12" s="3">
        <v>-4.2828241200607735</v>
      </c>
      <c r="X12" s="3">
        <v>-3.318813113430755</v>
      </c>
      <c r="Y12" s="3">
        <v>-2.2869922902807649</v>
      </c>
      <c r="Z12" s="3">
        <v>-1.1141125145307573</v>
      </c>
      <c r="AA12" s="3">
        <v>-0.85833921068075947</v>
      </c>
      <c r="AB12" s="3">
        <v>0.19842168935924309</v>
      </c>
      <c r="AC12" s="3">
        <v>9.0747949279244927E-2</v>
      </c>
      <c r="AD12" s="3">
        <v>0.28020932696923401</v>
      </c>
      <c r="AE12" s="3">
        <v>1.6829712080392252</v>
      </c>
      <c r="AF12" s="3">
        <v>2.2472897998692272</v>
      </c>
      <c r="AG12" s="3">
        <v>1.5381377024192207</v>
      </c>
      <c r="AH12" s="3">
        <v>0.95009040011922963</v>
      </c>
      <c r="AI12" s="3">
        <v>0.16778843210923924</v>
      </c>
      <c r="AJ12" s="3">
        <v>-0.32820109656075358</v>
      </c>
      <c r="AK12" s="3">
        <v>0.10288279560923042</v>
      </c>
      <c r="AL12" s="3">
        <v>1.1606928748392318</v>
      </c>
      <c r="AM12" s="3">
        <v>1.0248394490071275</v>
      </c>
      <c r="AN12" s="3">
        <v>1.606789201499234</v>
      </c>
      <c r="AO12" s="3">
        <v>2.394840518709227</v>
      </c>
      <c r="AP12" s="3">
        <v>1.0093508307130274</v>
      </c>
      <c r="AQ12" s="3">
        <v>0.70257197929922732</v>
      </c>
      <c r="AR12" s="3">
        <v>0.71152544480922963</v>
      </c>
      <c r="AS12" s="3">
        <v>-1.2758133939807617</v>
      </c>
      <c r="AT12" s="3">
        <v>-1.1840317151307596</v>
      </c>
      <c r="AU12" s="3">
        <v>-2.9731450761907507</v>
      </c>
    </row>
    <row r="13" spans="1:47" x14ac:dyDescent="0.25">
      <c r="A13">
        <v>1985.375</v>
      </c>
      <c r="B13">
        <v>5</v>
      </c>
      <c r="C13" s="3">
        <v>3.018522973209234</v>
      </c>
      <c r="D13">
        <v>15.935574012843253</v>
      </c>
      <c r="G13" s="3">
        <v>3.018522973209234</v>
      </c>
      <c r="H13" s="3">
        <v>3.2037219389892342</v>
      </c>
      <c r="I13" s="3">
        <v>2.8503516876992365</v>
      </c>
      <c r="J13" s="3">
        <v>1.5492982089822276</v>
      </c>
      <c r="K13" s="3">
        <v>-1.9206002569707727</v>
      </c>
      <c r="L13" s="3">
        <v>1.132073258699223</v>
      </c>
      <c r="M13" s="3">
        <v>0.48051006084922643</v>
      </c>
      <c r="N13" s="3">
        <v>1.0633639918392426</v>
      </c>
      <c r="O13" s="3">
        <v>0.96519801415922746</v>
      </c>
      <c r="P13" s="3">
        <v>1.8375980735592425</v>
      </c>
      <c r="Q13" s="3">
        <v>2.7315166602692278</v>
      </c>
      <c r="R13" s="3">
        <v>2.1734786425192314</v>
      </c>
      <c r="S13" s="3">
        <v>1.880515014489234</v>
      </c>
      <c r="T13" s="3">
        <v>1.4169093568692384</v>
      </c>
      <c r="U13" s="3">
        <v>-1.459145150890766</v>
      </c>
      <c r="V13" s="3">
        <v>-0.25170846241076383</v>
      </c>
      <c r="W13" s="3">
        <v>-0.36195759964077051</v>
      </c>
      <c r="X13" s="3">
        <v>-0.47425017163075722</v>
      </c>
      <c r="Y13" s="3">
        <v>-0.51962604492076825</v>
      </c>
      <c r="Z13" s="3">
        <v>1.7054727707192336</v>
      </c>
      <c r="AA13" s="3">
        <v>1.999494930519234</v>
      </c>
      <c r="AB13" s="3">
        <v>1.7188996157552427</v>
      </c>
      <c r="AC13" s="3">
        <v>0.12128620823924474</v>
      </c>
      <c r="AD13" s="3">
        <v>-1.4051694421937548</v>
      </c>
      <c r="AE13" s="3">
        <v>-1.5365287291607705</v>
      </c>
      <c r="AF13" s="3">
        <v>-1.6037714177007616</v>
      </c>
      <c r="AG13" s="3">
        <v>-4.4186573967507705</v>
      </c>
      <c r="AH13" s="3">
        <v>-5.7546631341007721</v>
      </c>
      <c r="AI13" s="3">
        <v>-4.2828241200607735</v>
      </c>
      <c r="AJ13" s="3">
        <v>-3.318813113430755</v>
      </c>
      <c r="AK13" s="3">
        <v>-2.2869922902807649</v>
      </c>
      <c r="AL13" s="3">
        <v>-1.1141125145307573</v>
      </c>
      <c r="AM13" s="3">
        <v>-0.85833921068075947</v>
      </c>
      <c r="AN13" s="3">
        <v>0.19842168935924309</v>
      </c>
      <c r="AO13" s="3">
        <v>9.0747949279244927E-2</v>
      </c>
      <c r="AP13" s="3">
        <v>0.28020932696923401</v>
      </c>
      <c r="AQ13" s="3">
        <v>1.6829712080392252</v>
      </c>
      <c r="AR13" s="3">
        <v>2.2472897998692272</v>
      </c>
      <c r="AS13" s="3">
        <v>1.5381377024192207</v>
      </c>
      <c r="AT13" s="3">
        <v>0.95009040011922963</v>
      </c>
      <c r="AU13" s="3">
        <v>0.16778843210923924</v>
      </c>
    </row>
    <row r="14" spans="1:47" x14ac:dyDescent="0.25">
      <c r="A14">
        <v>1986.375</v>
      </c>
      <c r="B14">
        <v>5</v>
      </c>
      <c r="C14" s="3">
        <v>1.1785690316392319</v>
      </c>
      <c r="D14">
        <v>15.521439794444998</v>
      </c>
      <c r="G14" s="3">
        <v>1.1785690316392319</v>
      </c>
      <c r="H14" s="3">
        <v>1.7114235345992364</v>
      </c>
      <c r="I14" s="3">
        <v>-0.43541689654075511</v>
      </c>
      <c r="J14" s="3">
        <v>-2.7417317744307681</v>
      </c>
      <c r="K14" s="3">
        <v>-1.8271438100307529</v>
      </c>
      <c r="L14" s="3">
        <v>-1.8732676199307727</v>
      </c>
      <c r="M14" s="3">
        <v>0.73595420476922957</v>
      </c>
      <c r="N14" s="3">
        <v>1.5659244664692271</v>
      </c>
      <c r="O14" s="3">
        <v>1.8524098023792341</v>
      </c>
      <c r="P14" s="3">
        <v>2.4420961504492311</v>
      </c>
      <c r="Q14" s="3">
        <v>1.9535774414092228</v>
      </c>
      <c r="R14" s="3">
        <v>2.1399495708212228</v>
      </c>
      <c r="S14" s="3">
        <v>3.018522973209234</v>
      </c>
      <c r="T14" s="3">
        <v>3.2037219389892342</v>
      </c>
      <c r="U14" s="3">
        <v>2.8503516876992365</v>
      </c>
      <c r="V14" s="3">
        <v>1.5492982089822276</v>
      </c>
      <c r="W14" s="3">
        <v>-1.9206002569707727</v>
      </c>
      <c r="X14" s="3">
        <v>1.132073258699223</v>
      </c>
      <c r="Y14" s="3">
        <v>0.48051006084922643</v>
      </c>
      <c r="Z14" s="3">
        <v>1.0633639918392426</v>
      </c>
      <c r="AA14" s="3">
        <v>0.96519801415922746</v>
      </c>
      <c r="AB14" s="3">
        <v>1.8375980735592425</v>
      </c>
      <c r="AC14" s="3">
        <v>2.7315166602692278</v>
      </c>
      <c r="AD14" s="3">
        <v>2.1734786425192314</v>
      </c>
      <c r="AE14" s="3">
        <v>1.880515014489234</v>
      </c>
      <c r="AF14" s="3">
        <v>1.4169093568692384</v>
      </c>
      <c r="AG14" s="3">
        <v>-1.459145150890766</v>
      </c>
      <c r="AH14" s="3">
        <v>-0.25170846241076383</v>
      </c>
      <c r="AI14" s="3">
        <v>-0.36195759964077051</v>
      </c>
      <c r="AJ14" s="3">
        <v>-0.47425017163075722</v>
      </c>
      <c r="AK14" s="3">
        <v>-0.51962604492076825</v>
      </c>
      <c r="AL14" s="3">
        <v>1.7054727707192336</v>
      </c>
      <c r="AM14" s="3">
        <v>1.999494930519234</v>
      </c>
      <c r="AN14" s="3">
        <v>1.7188996157552427</v>
      </c>
      <c r="AO14" s="3">
        <v>0.12128620823924474</v>
      </c>
      <c r="AP14" s="3">
        <v>-1.4051694421937548</v>
      </c>
      <c r="AQ14" s="3">
        <v>-1.5365287291607705</v>
      </c>
      <c r="AR14" s="3">
        <v>-1.6037714177007616</v>
      </c>
      <c r="AS14" s="3">
        <v>-4.4186573967507705</v>
      </c>
      <c r="AT14" s="3">
        <v>-5.7546631341007721</v>
      </c>
      <c r="AU14" s="3">
        <v>-4.2828241200607735</v>
      </c>
    </row>
    <row r="15" spans="1:47" x14ac:dyDescent="0.25">
      <c r="A15">
        <v>1987.375</v>
      </c>
      <c r="B15">
        <v>5</v>
      </c>
      <c r="C15" s="3">
        <v>-0.33535354034076137</v>
      </c>
      <c r="D15">
        <v>15.669497981607742</v>
      </c>
      <c r="G15" s="3">
        <v>-0.33535354034076137</v>
      </c>
      <c r="H15" s="3">
        <v>-1.3114206938707769</v>
      </c>
      <c r="I15" s="3">
        <v>-2.4788721167707712</v>
      </c>
      <c r="J15" s="3">
        <v>-2.8403952011307547</v>
      </c>
      <c r="K15" s="3">
        <v>-3.2496489045707593</v>
      </c>
      <c r="L15" s="3">
        <v>-3.9234169669407635</v>
      </c>
      <c r="M15" s="3">
        <v>-1.1159987036507704</v>
      </c>
      <c r="N15" s="3">
        <v>-0.73488822433075951</v>
      </c>
      <c r="O15" s="3">
        <v>2.1393244769225279E-2</v>
      </c>
      <c r="P15" s="3">
        <v>0.346637390069234</v>
      </c>
      <c r="Q15" s="3">
        <v>0.912020787759243</v>
      </c>
      <c r="R15" s="3">
        <v>0.75677649209923836</v>
      </c>
      <c r="S15" s="3">
        <v>1.1785690316392319</v>
      </c>
      <c r="T15" s="3">
        <v>1.7114235345992364</v>
      </c>
      <c r="U15" s="3">
        <v>-0.43541689654075511</v>
      </c>
      <c r="V15" s="3">
        <v>-2.7417317744307681</v>
      </c>
      <c r="W15" s="3">
        <v>-1.8271438100307529</v>
      </c>
      <c r="X15" s="3">
        <v>-1.8732676199307727</v>
      </c>
      <c r="Y15" s="3">
        <v>0.73595420476922957</v>
      </c>
      <c r="Z15" s="3">
        <v>1.5659244664692271</v>
      </c>
      <c r="AA15" s="3">
        <v>1.8524098023792341</v>
      </c>
      <c r="AB15" s="3">
        <v>2.4420961504492311</v>
      </c>
      <c r="AC15" s="3">
        <v>1.9535774414092228</v>
      </c>
      <c r="AD15" s="3">
        <v>2.1399495708212228</v>
      </c>
      <c r="AE15" s="3">
        <v>3.018522973209234</v>
      </c>
      <c r="AF15" s="3">
        <v>3.2037219389892342</v>
      </c>
      <c r="AG15" s="3">
        <v>2.8503516876992365</v>
      </c>
      <c r="AH15" s="3">
        <v>1.5492982089822276</v>
      </c>
      <c r="AI15" s="3">
        <v>-1.9206002569707727</v>
      </c>
      <c r="AJ15" s="3">
        <v>1.132073258699223</v>
      </c>
      <c r="AK15" s="3">
        <v>0.48051006084922643</v>
      </c>
      <c r="AL15" s="3">
        <v>1.0633639918392426</v>
      </c>
      <c r="AM15" s="3">
        <v>0.96519801415922746</v>
      </c>
      <c r="AN15" s="3">
        <v>1.8375980735592425</v>
      </c>
      <c r="AO15" s="3">
        <v>2.7315166602692278</v>
      </c>
      <c r="AP15" s="3">
        <v>2.1734786425192314</v>
      </c>
      <c r="AQ15" s="3">
        <v>1.880515014489234</v>
      </c>
      <c r="AR15" s="3">
        <v>1.4169093568692384</v>
      </c>
      <c r="AS15" s="3">
        <v>-1.459145150890766</v>
      </c>
      <c r="AT15" s="3">
        <v>-0.25170846241076383</v>
      </c>
      <c r="AU15" s="3">
        <v>-0.36195759964077051</v>
      </c>
    </row>
    <row r="16" spans="1:47" x14ac:dyDescent="0.25">
      <c r="A16">
        <v>1988.375</v>
      </c>
      <c r="B16">
        <v>5</v>
      </c>
      <c r="C16" s="3">
        <v>1.8152388873692404</v>
      </c>
      <c r="D16">
        <v>15.90954071377967</v>
      </c>
      <c r="G16" s="3">
        <v>1.8152388873692404</v>
      </c>
      <c r="H16" s="3">
        <v>1.3004161718692424</v>
      </c>
      <c r="I16" s="3">
        <v>0.42120302822923172</v>
      </c>
      <c r="J16" s="3">
        <v>-1.738144879260775</v>
      </c>
      <c r="K16" s="3">
        <v>-1.4435084742307702</v>
      </c>
      <c r="L16" s="3">
        <v>-1.3359299806807639</v>
      </c>
      <c r="M16" s="3">
        <v>-1.46228869434076</v>
      </c>
      <c r="N16" s="3">
        <v>-1.0676690314607571</v>
      </c>
      <c r="O16" s="3">
        <v>-0.84388256081077684</v>
      </c>
      <c r="P16" s="3">
        <v>-0.98430620713077255</v>
      </c>
      <c r="Q16" s="3">
        <v>-1.0628494561707658</v>
      </c>
      <c r="R16" s="3">
        <v>-0.85776481624076351</v>
      </c>
      <c r="S16" s="3">
        <v>-0.33535354034076137</v>
      </c>
      <c r="T16" s="3">
        <v>-1.3114206938707769</v>
      </c>
      <c r="U16" s="3">
        <v>-2.4788721167707712</v>
      </c>
      <c r="V16" s="3">
        <v>-2.8403952011307547</v>
      </c>
      <c r="W16" s="3">
        <v>-3.2496489045707593</v>
      </c>
      <c r="X16" s="3">
        <v>-3.9234169669407635</v>
      </c>
      <c r="Y16" s="3">
        <v>-1.1159987036507704</v>
      </c>
      <c r="Z16" s="3">
        <v>-0.73488822433075951</v>
      </c>
      <c r="AA16" s="3">
        <v>2.1393244769225279E-2</v>
      </c>
      <c r="AB16" s="3">
        <v>0.346637390069234</v>
      </c>
      <c r="AC16" s="3">
        <v>0.912020787759243</v>
      </c>
      <c r="AD16" s="3">
        <v>0.75677649209923836</v>
      </c>
      <c r="AE16" s="3">
        <v>1.1785690316392319</v>
      </c>
      <c r="AF16" s="3">
        <v>1.7114235345992364</v>
      </c>
      <c r="AG16" s="3">
        <v>-0.43541689654075511</v>
      </c>
      <c r="AH16" s="3">
        <v>-2.7417317744307681</v>
      </c>
      <c r="AI16" s="3">
        <v>-1.8271438100307529</v>
      </c>
      <c r="AJ16" s="3">
        <v>-1.8732676199307727</v>
      </c>
      <c r="AK16" s="3">
        <v>0.73595420476922957</v>
      </c>
      <c r="AL16" s="3">
        <v>1.5659244664692271</v>
      </c>
      <c r="AM16" s="3">
        <v>1.8524098023792341</v>
      </c>
      <c r="AN16" s="3">
        <v>2.4420961504492311</v>
      </c>
      <c r="AO16" s="3">
        <v>1.9535774414092228</v>
      </c>
      <c r="AP16" s="3">
        <v>2.1399495708212228</v>
      </c>
      <c r="AQ16" s="3">
        <v>3.018522973209234</v>
      </c>
      <c r="AR16" s="3">
        <v>3.2037219389892342</v>
      </c>
      <c r="AS16" s="3">
        <v>2.8503516876992365</v>
      </c>
      <c r="AT16" s="3">
        <v>1.5492982089822276</v>
      </c>
      <c r="AU16" s="3">
        <v>-1.9206002569707727</v>
      </c>
    </row>
    <row r="17" spans="1:47" x14ac:dyDescent="0.25">
      <c r="A17">
        <v>1989.375</v>
      </c>
      <c r="B17">
        <v>5</v>
      </c>
      <c r="C17" s="3">
        <v>3.101098920829223</v>
      </c>
      <c r="D17">
        <v>16.09865387776372</v>
      </c>
      <c r="G17" s="3">
        <v>3.101098920829223</v>
      </c>
      <c r="H17" s="3">
        <v>2.9412418136592424</v>
      </c>
      <c r="I17" s="3">
        <v>3.3389959835592316</v>
      </c>
      <c r="J17" s="3">
        <v>4.0775932636092254</v>
      </c>
      <c r="K17" s="3">
        <v>3.5894435184692313</v>
      </c>
      <c r="L17" s="3">
        <v>2.3186386828592394</v>
      </c>
      <c r="M17" s="3">
        <v>2.519808289969224</v>
      </c>
      <c r="N17" s="3">
        <v>2.8509511295692231</v>
      </c>
      <c r="O17" s="3">
        <v>4.210773910769225</v>
      </c>
      <c r="P17" s="3">
        <v>3.9125285119692315</v>
      </c>
      <c r="Q17" s="3">
        <v>4.1239791073692293</v>
      </c>
      <c r="R17" s="3">
        <v>2.838481122869227</v>
      </c>
      <c r="S17" s="3">
        <v>1.8152388873692404</v>
      </c>
      <c r="T17" s="3">
        <v>1.3004161718692424</v>
      </c>
      <c r="U17" s="3">
        <v>0.42120302822923172</v>
      </c>
      <c r="V17" s="3">
        <v>-1.738144879260775</v>
      </c>
      <c r="W17" s="3">
        <v>-1.4435084742307702</v>
      </c>
      <c r="X17" s="3">
        <v>-1.3359299806807639</v>
      </c>
      <c r="Y17" s="3">
        <v>-1.46228869434076</v>
      </c>
      <c r="Z17" s="3">
        <v>-1.0676690314607571</v>
      </c>
      <c r="AA17" s="3">
        <v>-0.84388256081077684</v>
      </c>
      <c r="AB17" s="3">
        <v>-0.98430620713077255</v>
      </c>
      <c r="AC17" s="3">
        <v>-1.0628494561707658</v>
      </c>
      <c r="AD17" s="3">
        <v>-0.85776481624076351</v>
      </c>
      <c r="AE17" s="3">
        <v>-0.33535354034076137</v>
      </c>
      <c r="AF17" s="3">
        <v>-1.3114206938707769</v>
      </c>
      <c r="AG17" s="3">
        <v>-2.4788721167707712</v>
      </c>
      <c r="AH17" s="3">
        <v>-2.8403952011307547</v>
      </c>
      <c r="AI17" s="3">
        <v>-3.2496489045707593</v>
      </c>
      <c r="AJ17" s="3">
        <v>-3.9234169669407635</v>
      </c>
      <c r="AK17" s="3">
        <v>-1.1159987036507704</v>
      </c>
      <c r="AL17" s="3">
        <v>-0.73488822433075951</v>
      </c>
      <c r="AM17" s="3">
        <v>2.1393244769225279E-2</v>
      </c>
      <c r="AN17" s="3">
        <v>0.346637390069234</v>
      </c>
      <c r="AO17" s="3">
        <v>0.912020787759243</v>
      </c>
      <c r="AP17" s="3">
        <v>0.75677649209923836</v>
      </c>
      <c r="AQ17" s="3">
        <v>1.1785690316392319</v>
      </c>
      <c r="AR17" s="3">
        <v>1.7114235345992364</v>
      </c>
      <c r="AS17" s="3">
        <v>-0.43541689654075511</v>
      </c>
      <c r="AT17" s="3">
        <v>-2.7417317744307681</v>
      </c>
      <c r="AU17" s="3">
        <v>-1.8271438100307529</v>
      </c>
    </row>
    <row r="18" spans="1:47" x14ac:dyDescent="0.25">
      <c r="A18">
        <v>1990.375</v>
      </c>
      <c r="B18">
        <v>5</v>
      </c>
      <c r="C18" s="3">
        <v>1.2389727557242383</v>
      </c>
      <c r="D18">
        <v>16.349638011426933</v>
      </c>
      <c r="G18" s="3">
        <v>1.2389727557242383</v>
      </c>
      <c r="H18" s="3">
        <v>1.6186363016892316</v>
      </c>
      <c r="I18" s="3">
        <v>0.87342533512922516</v>
      </c>
      <c r="J18" s="3">
        <v>2.4928988691492382</v>
      </c>
      <c r="K18" s="3">
        <v>-6.0649675430752892E-2</v>
      </c>
      <c r="L18" s="3">
        <v>-0.80318400744077045</v>
      </c>
      <c r="M18" s="3">
        <v>1.7226007102992229</v>
      </c>
      <c r="N18" s="3">
        <v>2.123144150119245</v>
      </c>
      <c r="O18" s="3">
        <v>1.9350583343592276</v>
      </c>
      <c r="P18" s="3">
        <v>2.4970583207292276</v>
      </c>
      <c r="Q18" s="3">
        <v>3.1293092386692387</v>
      </c>
      <c r="R18" s="3">
        <v>2.5792642141692426</v>
      </c>
      <c r="S18" s="3">
        <v>3.101098920829223</v>
      </c>
      <c r="T18" s="3">
        <v>2.9412418136592424</v>
      </c>
      <c r="U18" s="3">
        <v>3.3389959835592316</v>
      </c>
      <c r="V18" s="3">
        <v>4.0775932636092254</v>
      </c>
      <c r="W18" s="3">
        <v>3.5894435184692313</v>
      </c>
      <c r="X18" s="3">
        <v>2.3186386828592394</v>
      </c>
      <c r="Y18" s="3">
        <v>2.519808289969224</v>
      </c>
      <c r="Z18" s="3">
        <v>2.8509511295692231</v>
      </c>
      <c r="AA18" s="3">
        <v>4.210773910769225</v>
      </c>
      <c r="AB18" s="3">
        <v>3.9125285119692315</v>
      </c>
      <c r="AC18" s="3">
        <v>4.1239791073692293</v>
      </c>
      <c r="AD18" s="3">
        <v>2.838481122869227</v>
      </c>
      <c r="AE18" s="3">
        <v>1.8152388873692404</v>
      </c>
      <c r="AF18" s="3">
        <v>1.3004161718692424</v>
      </c>
      <c r="AG18" s="3">
        <v>0.42120302822923172</v>
      </c>
      <c r="AH18" s="3">
        <v>-1.738144879260775</v>
      </c>
      <c r="AI18" s="3">
        <v>-1.4435084742307702</v>
      </c>
      <c r="AJ18" s="3">
        <v>-1.3359299806807639</v>
      </c>
      <c r="AK18" s="3">
        <v>-1.46228869434076</v>
      </c>
      <c r="AL18" s="3">
        <v>-1.0676690314607571</v>
      </c>
      <c r="AM18" s="3">
        <v>-0.84388256081077684</v>
      </c>
      <c r="AN18" s="3">
        <v>-0.98430620713077255</v>
      </c>
      <c r="AO18" s="3">
        <v>-1.0628494561707658</v>
      </c>
      <c r="AP18" s="3">
        <v>-0.85776481624076351</v>
      </c>
      <c r="AQ18" s="3">
        <v>-0.33535354034076137</v>
      </c>
      <c r="AR18" s="3">
        <v>-1.3114206938707769</v>
      </c>
      <c r="AS18" s="3">
        <v>-2.4788721167707712</v>
      </c>
      <c r="AT18" s="3">
        <v>-2.8403952011307547</v>
      </c>
      <c r="AU18" s="3">
        <v>-3.2496489045707593</v>
      </c>
    </row>
    <row r="19" spans="1:47" x14ac:dyDescent="0.25">
      <c r="A19">
        <v>1991.375</v>
      </c>
      <c r="B19">
        <v>5</v>
      </c>
      <c r="C19" s="3">
        <v>1.5588966751912405</v>
      </c>
      <c r="D19">
        <v>16.038562099125006</v>
      </c>
      <c r="G19" s="3">
        <v>1.5588966751912405</v>
      </c>
      <c r="H19" s="3">
        <v>1.6316906620592251</v>
      </c>
      <c r="I19" s="3">
        <v>1.2957303481892386</v>
      </c>
      <c r="J19" s="3">
        <v>-1.2335507462607638</v>
      </c>
      <c r="K19" s="3">
        <v>0.16320301782923852</v>
      </c>
      <c r="L19" s="3">
        <v>1.1043187677692341</v>
      </c>
      <c r="M19" s="3">
        <v>2.7184411626292273</v>
      </c>
      <c r="N19" s="3">
        <v>1.6554374506492406</v>
      </c>
      <c r="O19" s="3">
        <v>0.73988715803922955</v>
      </c>
      <c r="P19" s="3">
        <v>1.2394592322392297</v>
      </c>
      <c r="Q19" s="3">
        <v>1.5319094081492275</v>
      </c>
      <c r="R19" s="3">
        <v>1.4473524387232231</v>
      </c>
      <c r="S19" s="3">
        <v>1.2389727557242383</v>
      </c>
      <c r="T19" s="3">
        <v>1.6186363016892316</v>
      </c>
      <c r="U19" s="3">
        <v>0.87342533512922516</v>
      </c>
      <c r="V19" s="3">
        <v>2.4928988691492382</v>
      </c>
      <c r="W19" s="3">
        <v>-6.0649675430752892E-2</v>
      </c>
      <c r="X19" s="3">
        <v>-0.80318400744077045</v>
      </c>
      <c r="Y19" s="3">
        <v>1.7226007102992229</v>
      </c>
      <c r="Z19" s="3">
        <v>2.123144150119245</v>
      </c>
      <c r="AA19" s="3">
        <v>1.9350583343592276</v>
      </c>
      <c r="AB19" s="3">
        <v>2.4970583207292276</v>
      </c>
      <c r="AC19" s="3">
        <v>3.1293092386692387</v>
      </c>
      <c r="AD19" s="3">
        <v>2.5792642141692426</v>
      </c>
      <c r="AE19" s="3">
        <v>3.101098920829223</v>
      </c>
      <c r="AF19" s="3">
        <v>2.9412418136592424</v>
      </c>
      <c r="AG19" s="3">
        <v>3.3389959835592316</v>
      </c>
      <c r="AH19" s="3">
        <v>4.0775932636092254</v>
      </c>
      <c r="AI19" s="3">
        <v>3.5894435184692313</v>
      </c>
      <c r="AJ19" s="3">
        <v>2.3186386828592394</v>
      </c>
      <c r="AK19" s="3">
        <v>2.519808289969224</v>
      </c>
      <c r="AL19" s="3">
        <v>2.8509511295692231</v>
      </c>
      <c r="AM19" s="3">
        <v>4.210773910769225</v>
      </c>
      <c r="AN19" s="3">
        <v>3.9125285119692315</v>
      </c>
      <c r="AO19" s="3">
        <v>4.1239791073692293</v>
      </c>
      <c r="AP19" s="3">
        <v>2.838481122869227</v>
      </c>
      <c r="AQ19" s="3">
        <v>1.8152388873692404</v>
      </c>
      <c r="AR19" s="3">
        <v>1.3004161718692424</v>
      </c>
      <c r="AS19" s="3">
        <v>0.42120302822923172</v>
      </c>
      <c r="AT19" s="3">
        <v>-1.738144879260775</v>
      </c>
      <c r="AU19" s="3">
        <v>-1.4435084742307702</v>
      </c>
    </row>
    <row r="20" spans="1:47" x14ac:dyDescent="0.25">
      <c r="A20">
        <v>1992.375</v>
      </c>
      <c r="B20">
        <v>5</v>
      </c>
      <c r="C20" s="3">
        <v>-0.84115852963076165</v>
      </c>
      <c r="D20">
        <v>16.699807941244604</v>
      </c>
      <c r="G20" s="3">
        <v>-0.84115852963076165</v>
      </c>
      <c r="H20" s="3">
        <v>-1.4262157430307572</v>
      </c>
      <c r="I20" s="3">
        <v>-1.6423887356207789</v>
      </c>
      <c r="J20" s="3">
        <v>-2.3034867752407635</v>
      </c>
      <c r="K20" s="3">
        <v>-4.0346397557107512</v>
      </c>
      <c r="L20" s="3">
        <v>-1.5787000165107659</v>
      </c>
      <c r="M20" s="3">
        <v>-1.6823914399807602</v>
      </c>
      <c r="N20" s="3">
        <v>-0.45250741993075744</v>
      </c>
      <c r="O20" s="3">
        <v>-0.43909391222076166</v>
      </c>
      <c r="P20" s="3">
        <v>0.99610122664924261</v>
      </c>
      <c r="Q20" s="3">
        <v>1.3196503246692344</v>
      </c>
      <c r="R20" s="3">
        <v>1.5908299070092362</v>
      </c>
      <c r="S20" s="3">
        <v>1.5588966751912405</v>
      </c>
      <c r="T20" s="3">
        <v>1.6316906620592251</v>
      </c>
      <c r="U20" s="3">
        <v>1.2957303481892386</v>
      </c>
      <c r="V20" s="3">
        <v>-1.2335507462607638</v>
      </c>
      <c r="W20" s="3">
        <v>0.16320301782923852</v>
      </c>
      <c r="X20" s="3">
        <v>1.1043187677692341</v>
      </c>
      <c r="Y20" s="3">
        <v>2.7184411626292273</v>
      </c>
      <c r="Z20" s="3">
        <v>1.6554374506492406</v>
      </c>
      <c r="AA20" s="3">
        <v>0.73988715803922955</v>
      </c>
      <c r="AB20" s="3">
        <v>1.2394592322392297</v>
      </c>
      <c r="AC20" s="3">
        <v>1.5319094081492275</v>
      </c>
      <c r="AD20" s="3">
        <v>1.4473524387232231</v>
      </c>
      <c r="AE20" s="3">
        <v>1.2389727557242383</v>
      </c>
      <c r="AF20" s="3">
        <v>1.6186363016892316</v>
      </c>
      <c r="AG20" s="3">
        <v>0.87342533512922516</v>
      </c>
      <c r="AH20" s="3">
        <v>2.4928988691492382</v>
      </c>
      <c r="AI20" s="3">
        <v>-6.0649675430752892E-2</v>
      </c>
      <c r="AJ20" s="3">
        <v>-0.80318400744077045</v>
      </c>
      <c r="AK20" s="3">
        <v>1.7226007102992229</v>
      </c>
      <c r="AL20" s="3">
        <v>2.123144150119245</v>
      </c>
      <c r="AM20" s="3">
        <v>1.9350583343592276</v>
      </c>
      <c r="AN20" s="3">
        <v>2.4970583207292276</v>
      </c>
      <c r="AO20" s="3">
        <v>3.1293092386692387</v>
      </c>
      <c r="AP20" s="3">
        <v>2.5792642141692426</v>
      </c>
      <c r="AQ20" s="3">
        <v>3.101098920829223</v>
      </c>
      <c r="AR20" s="3">
        <v>2.9412418136592424</v>
      </c>
      <c r="AS20" s="3">
        <v>3.3389959835592316</v>
      </c>
      <c r="AT20" s="3">
        <v>4.0775932636092254</v>
      </c>
      <c r="AU20" s="3">
        <v>3.5894435184692313</v>
      </c>
    </row>
    <row r="21" spans="1:47" x14ac:dyDescent="0.25">
      <c r="A21">
        <v>1993.375</v>
      </c>
      <c r="B21">
        <v>5</v>
      </c>
      <c r="C21" s="3">
        <v>-1.7499852617307701</v>
      </c>
      <c r="D21">
        <v>17.003949767293527</v>
      </c>
      <c r="G21" s="3">
        <v>-1.7499852617307701</v>
      </c>
      <c r="H21" s="3">
        <v>-1.4652308750507557</v>
      </c>
      <c r="I21" s="3">
        <v>-1.400128325530777</v>
      </c>
      <c r="J21" s="3">
        <v>-2.5427820538307531</v>
      </c>
      <c r="K21" s="3">
        <v>-6.6647353730779207E-2</v>
      </c>
      <c r="L21" s="3">
        <v>0.2562015870692339</v>
      </c>
      <c r="M21" s="3">
        <v>-0.76324945283075885</v>
      </c>
      <c r="N21" s="3">
        <v>-0.47740350051075731</v>
      </c>
      <c r="O21" s="3">
        <v>0.67246091184924062</v>
      </c>
      <c r="P21" s="3">
        <v>0.91106123696924057</v>
      </c>
      <c r="Q21" s="3">
        <v>0.30045070326922318</v>
      </c>
      <c r="R21" s="3">
        <v>-1.121383650430777</v>
      </c>
      <c r="S21" s="3">
        <v>-0.84115852963076165</v>
      </c>
      <c r="T21" s="3">
        <v>-1.4262157430307572</v>
      </c>
      <c r="U21" s="3">
        <v>-1.6423887356207789</v>
      </c>
      <c r="V21" s="3">
        <v>-2.3034867752407635</v>
      </c>
      <c r="W21" s="3">
        <v>-4.0346397557107512</v>
      </c>
      <c r="X21" s="3">
        <v>-1.5787000165107659</v>
      </c>
      <c r="Y21" s="3">
        <v>-1.6823914399807602</v>
      </c>
      <c r="Z21" s="3">
        <v>-0.45250741993075744</v>
      </c>
      <c r="AA21" s="3">
        <v>-0.43909391222076166</v>
      </c>
      <c r="AB21" s="3">
        <v>0.99610122664924261</v>
      </c>
      <c r="AC21" s="3">
        <v>1.3196503246692344</v>
      </c>
      <c r="AD21" s="3">
        <v>1.5908299070092362</v>
      </c>
      <c r="AE21" s="3">
        <v>1.5588966751912405</v>
      </c>
      <c r="AF21" s="3">
        <v>1.6316906620592251</v>
      </c>
      <c r="AG21" s="3">
        <v>1.2957303481892386</v>
      </c>
      <c r="AH21" s="3">
        <v>-1.2335507462607638</v>
      </c>
      <c r="AI21" s="3">
        <v>0.16320301782923852</v>
      </c>
      <c r="AJ21" s="3">
        <v>1.1043187677692341</v>
      </c>
      <c r="AK21" s="3">
        <v>2.7184411626292273</v>
      </c>
      <c r="AL21" s="3">
        <v>1.6554374506492406</v>
      </c>
      <c r="AM21" s="3">
        <v>0.73988715803922955</v>
      </c>
      <c r="AN21" s="3">
        <v>1.2394592322392297</v>
      </c>
      <c r="AO21" s="3">
        <v>1.5319094081492275</v>
      </c>
      <c r="AP21" s="3">
        <v>1.4473524387232231</v>
      </c>
      <c r="AQ21" s="3">
        <v>1.2389727557242383</v>
      </c>
      <c r="AR21" s="3">
        <v>1.6186363016892316</v>
      </c>
      <c r="AS21" s="3">
        <v>0.87342533512922516</v>
      </c>
      <c r="AT21" s="3">
        <v>2.4928988691492382</v>
      </c>
      <c r="AU21" s="3">
        <v>-6.0649675430752892E-2</v>
      </c>
    </row>
    <row r="22" spans="1:47" x14ac:dyDescent="0.25">
      <c r="A22">
        <v>1994.375</v>
      </c>
      <c r="B22">
        <v>5</v>
      </c>
      <c r="C22" s="3">
        <v>0.48058693018923609</v>
      </c>
      <c r="D22">
        <v>16.360124741013923</v>
      </c>
      <c r="G22" s="3">
        <v>0.48058693018923609</v>
      </c>
      <c r="H22" s="3">
        <v>0.43658393346923852</v>
      </c>
      <c r="I22" s="3">
        <v>0.55829599056923407</v>
      </c>
      <c r="J22" s="3">
        <v>-0.26735246563077253</v>
      </c>
      <c r="K22" s="3">
        <v>-0.96840572933077751</v>
      </c>
      <c r="L22" s="3">
        <v>-1.3840851574307529</v>
      </c>
      <c r="M22" s="3">
        <v>-0.34274929363076823</v>
      </c>
      <c r="N22" s="3">
        <v>-1.003711165430766</v>
      </c>
      <c r="O22" s="3">
        <v>3.3413247869227392E-2</v>
      </c>
      <c r="P22" s="3">
        <v>-0.23892460953076178</v>
      </c>
      <c r="Q22" s="3">
        <v>-5.7858695630772616E-2</v>
      </c>
      <c r="R22" s="3">
        <v>-1.2440622765307658</v>
      </c>
      <c r="S22" s="3">
        <v>-1.7499852617307701</v>
      </c>
      <c r="T22" s="3">
        <v>-1.4652308750507557</v>
      </c>
      <c r="U22" s="3">
        <v>-1.400128325530777</v>
      </c>
      <c r="V22" s="3">
        <v>-2.5427820538307531</v>
      </c>
      <c r="W22" s="3">
        <v>-6.6647353730779207E-2</v>
      </c>
      <c r="X22" s="3">
        <v>0.2562015870692339</v>
      </c>
      <c r="Y22" s="3">
        <v>-0.76324945283075885</v>
      </c>
      <c r="Z22" s="3">
        <v>-0.47740350051075731</v>
      </c>
      <c r="AA22" s="3">
        <v>0.67246091184924062</v>
      </c>
      <c r="AB22" s="3">
        <v>0.91106123696924057</v>
      </c>
      <c r="AC22" s="3">
        <v>0.30045070326922318</v>
      </c>
      <c r="AD22" s="3">
        <v>-1.121383650430777</v>
      </c>
      <c r="AE22" s="3">
        <v>-0.84115852963076165</v>
      </c>
      <c r="AF22" s="3">
        <v>-1.4262157430307572</v>
      </c>
      <c r="AG22" s="3">
        <v>-1.6423887356207789</v>
      </c>
      <c r="AH22" s="3">
        <v>-2.3034867752407635</v>
      </c>
      <c r="AI22" s="3">
        <v>-4.0346397557107512</v>
      </c>
      <c r="AJ22" s="3">
        <v>-1.5787000165107659</v>
      </c>
      <c r="AK22" s="3">
        <v>-1.6823914399807602</v>
      </c>
      <c r="AL22" s="3">
        <v>-0.45250741993075744</v>
      </c>
      <c r="AM22" s="3">
        <v>-0.43909391222076166</v>
      </c>
      <c r="AN22" s="3">
        <v>0.99610122664924261</v>
      </c>
      <c r="AO22" s="3">
        <v>1.3196503246692344</v>
      </c>
      <c r="AP22" s="3">
        <v>1.5908299070092362</v>
      </c>
      <c r="AQ22" s="3">
        <v>1.5588966751912405</v>
      </c>
      <c r="AR22" s="3">
        <v>1.6316906620592251</v>
      </c>
      <c r="AS22" s="3">
        <v>1.2957303481892386</v>
      </c>
      <c r="AT22" s="3">
        <v>-1.2335507462607638</v>
      </c>
      <c r="AU22" s="3">
        <v>0.16320301782923852</v>
      </c>
    </row>
    <row r="23" spans="1:47" x14ac:dyDescent="0.25">
      <c r="A23">
        <v>1995.375</v>
      </c>
      <c r="B23">
        <v>5</v>
      </c>
      <c r="C23" s="3">
        <v>7.6683764169240554E-2</v>
      </c>
      <c r="D23">
        <v>16.54824878861637</v>
      </c>
      <c r="G23" s="3">
        <v>7.6683764169240554E-2</v>
      </c>
      <c r="H23" s="3">
        <v>0.10972375916922747</v>
      </c>
      <c r="I23" s="3">
        <v>-0.31761633993075511</v>
      </c>
      <c r="J23" s="3">
        <v>-1.3699783146307574</v>
      </c>
      <c r="K23" s="3">
        <v>-2.2407406892407531</v>
      </c>
      <c r="L23" s="3">
        <v>-1.0063510335307699</v>
      </c>
      <c r="M23" s="3">
        <v>1.3061153370692451</v>
      </c>
      <c r="N23" s="3">
        <v>-0.22854296843077238</v>
      </c>
      <c r="O23" s="3">
        <v>0.54970240346922294</v>
      </c>
      <c r="P23" s="3">
        <v>1.4629862816792296</v>
      </c>
      <c r="Q23" s="3">
        <v>1.3126903932192404</v>
      </c>
      <c r="R23" s="3">
        <v>1.4165573207592337</v>
      </c>
      <c r="S23" s="3">
        <v>0.48058693018923609</v>
      </c>
      <c r="T23" s="3">
        <v>0.43658393346923852</v>
      </c>
      <c r="U23" s="3">
        <v>0.55829599056923407</v>
      </c>
      <c r="V23" s="3">
        <v>-0.26735246563077253</v>
      </c>
      <c r="W23" s="3">
        <v>-0.96840572933077751</v>
      </c>
      <c r="X23" s="3">
        <v>-1.3840851574307529</v>
      </c>
      <c r="Y23" s="3">
        <v>-0.34274929363076823</v>
      </c>
      <c r="Z23" s="3">
        <v>-1.003711165430766</v>
      </c>
      <c r="AA23" s="3">
        <v>3.3413247869227392E-2</v>
      </c>
      <c r="AB23" s="3">
        <v>-0.23892460953076178</v>
      </c>
      <c r="AC23" s="3">
        <v>-5.7858695630772616E-2</v>
      </c>
      <c r="AD23" s="3">
        <v>-1.2440622765307658</v>
      </c>
      <c r="AE23" s="3">
        <v>-1.7499852617307701</v>
      </c>
      <c r="AF23" s="3">
        <v>-1.4652308750507557</v>
      </c>
      <c r="AG23" s="3">
        <v>-1.400128325530777</v>
      </c>
      <c r="AH23" s="3">
        <v>-2.5427820538307531</v>
      </c>
      <c r="AI23" s="3">
        <v>-6.6647353730779207E-2</v>
      </c>
      <c r="AJ23" s="3">
        <v>0.2562015870692339</v>
      </c>
      <c r="AK23" s="3">
        <v>-0.76324945283075885</v>
      </c>
      <c r="AL23" s="3">
        <v>-0.47740350051075731</v>
      </c>
      <c r="AM23" s="3">
        <v>0.67246091184924062</v>
      </c>
      <c r="AN23" s="3">
        <v>0.91106123696924057</v>
      </c>
      <c r="AO23" s="3">
        <v>0.30045070326922318</v>
      </c>
      <c r="AP23" s="3">
        <v>-1.121383650430777</v>
      </c>
      <c r="AQ23" s="3">
        <v>-0.84115852963076165</v>
      </c>
      <c r="AR23" s="3">
        <v>-1.4262157430307572</v>
      </c>
      <c r="AS23" s="3">
        <v>-1.6423887356207789</v>
      </c>
      <c r="AT23" s="3">
        <v>-2.3034867752407635</v>
      </c>
      <c r="AU23" s="3">
        <v>-4.0346397557107512</v>
      </c>
    </row>
    <row r="24" spans="1:47" x14ac:dyDescent="0.25">
      <c r="A24">
        <v>1996.375</v>
      </c>
      <c r="B24">
        <v>5</v>
      </c>
      <c r="C24" s="3">
        <v>0.93481068946924495</v>
      </c>
      <c r="D24">
        <v>16.334512420788847</v>
      </c>
      <c r="G24" s="3">
        <v>0.93481068946924495</v>
      </c>
      <c r="H24" s="3">
        <v>-9.6817897150762722E-2</v>
      </c>
      <c r="I24" s="3">
        <v>0.34425614486924488</v>
      </c>
      <c r="J24" s="3">
        <v>5.2294937169236277E-2</v>
      </c>
      <c r="K24" s="3">
        <v>0.12928496692922442</v>
      </c>
      <c r="L24" s="3">
        <v>-1.3773610517907746</v>
      </c>
      <c r="M24" s="3">
        <v>1.5170529866692426</v>
      </c>
      <c r="N24" s="3">
        <v>1.4887714762392252</v>
      </c>
      <c r="O24" s="3">
        <v>0.48882257341924473</v>
      </c>
      <c r="P24" s="3">
        <v>2.4735421464692338</v>
      </c>
      <c r="Q24" s="3">
        <v>1.2489220058692447</v>
      </c>
      <c r="R24" s="3">
        <v>0.55404742496924286</v>
      </c>
      <c r="S24" s="3">
        <v>7.6683764169240554E-2</v>
      </c>
      <c r="T24" s="3">
        <v>0.10972375916922747</v>
      </c>
      <c r="U24" s="3">
        <v>-0.31761633993075511</v>
      </c>
      <c r="V24" s="3">
        <v>-1.3699783146307574</v>
      </c>
      <c r="W24" s="3">
        <v>-2.2407406892407531</v>
      </c>
      <c r="X24" s="3">
        <v>-1.0063510335307699</v>
      </c>
      <c r="Y24" s="3">
        <v>1.3061153370692451</v>
      </c>
      <c r="Z24" s="3">
        <v>-0.22854296843077238</v>
      </c>
      <c r="AA24" s="3">
        <v>0.54970240346922294</v>
      </c>
      <c r="AB24" s="3">
        <v>1.4629862816792296</v>
      </c>
      <c r="AC24" s="3">
        <v>1.3126903932192404</v>
      </c>
      <c r="AD24" s="3">
        <v>1.4165573207592337</v>
      </c>
      <c r="AE24" s="3">
        <v>0.48058693018923609</v>
      </c>
      <c r="AF24" s="3">
        <v>0.43658393346923852</v>
      </c>
      <c r="AG24" s="3">
        <v>0.55829599056923407</v>
      </c>
      <c r="AH24" s="3">
        <v>-0.26735246563077253</v>
      </c>
      <c r="AI24" s="3">
        <v>-0.96840572933077751</v>
      </c>
      <c r="AJ24" s="3">
        <v>-1.3840851574307529</v>
      </c>
      <c r="AK24" s="3">
        <v>-0.34274929363076823</v>
      </c>
      <c r="AL24" s="3">
        <v>-1.003711165430766</v>
      </c>
      <c r="AM24" s="3">
        <v>3.3413247869227392E-2</v>
      </c>
      <c r="AN24" s="3">
        <v>-0.23892460953076178</v>
      </c>
      <c r="AO24" s="3">
        <v>-5.7858695630772616E-2</v>
      </c>
      <c r="AP24" s="3">
        <v>-1.2440622765307658</v>
      </c>
      <c r="AQ24" s="3">
        <v>-1.7499852617307701</v>
      </c>
      <c r="AR24" s="3">
        <v>-1.4652308750507557</v>
      </c>
      <c r="AS24" s="3">
        <v>-1.400128325530777</v>
      </c>
      <c r="AT24" s="3">
        <v>-2.5427820538307531</v>
      </c>
      <c r="AU24" s="3">
        <v>-6.6647353730779207E-2</v>
      </c>
    </row>
    <row r="25" spans="1:47" x14ac:dyDescent="0.25">
      <c r="A25">
        <v>1997.375</v>
      </c>
      <c r="B25">
        <v>5</v>
      </c>
      <c r="C25" s="3">
        <v>-1.0207669603507683</v>
      </c>
      <c r="D25">
        <v>15.886431213508819</v>
      </c>
      <c r="G25" s="3">
        <v>-1.0207669603507683</v>
      </c>
      <c r="H25" s="3">
        <v>-9.7373376630768144E-2</v>
      </c>
      <c r="I25" s="3">
        <v>1.4184623768092359</v>
      </c>
      <c r="J25" s="3">
        <v>-0.48558845493075964</v>
      </c>
      <c r="K25" s="3">
        <v>-1.4328003235307725</v>
      </c>
      <c r="L25" s="3">
        <v>0.25270418406924511</v>
      </c>
      <c r="M25" s="3">
        <v>0.81910462036922738</v>
      </c>
      <c r="N25" s="3">
        <v>1.2670931882692424</v>
      </c>
      <c r="O25" s="3">
        <v>1.252030043689234</v>
      </c>
      <c r="P25" s="3">
        <v>2.7404304538592403</v>
      </c>
      <c r="Q25" s="3">
        <v>2.3489521429392384</v>
      </c>
      <c r="R25" s="3">
        <v>1.766043151369225</v>
      </c>
      <c r="S25" s="3">
        <v>0.93481068946924495</v>
      </c>
      <c r="T25" s="3">
        <v>-9.6817897150762722E-2</v>
      </c>
      <c r="U25" s="3">
        <v>0.34425614486924488</v>
      </c>
      <c r="V25" s="3">
        <v>5.2294937169236277E-2</v>
      </c>
      <c r="W25" s="3">
        <v>0.12928496692922442</v>
      </c>
      <c r="X25" s="3">
        <v>-1.3773610517907746</v>
      </c>
      <c r="Y25" s="3">
        <v>1.5170529866692426</v>
      </c>
      <c r="Z25" s="3">
        <v>1.4887714762392252</v>
      </c>
      <c r="AA25" s="3">
        <v>0.48882257341924473</v>
      </c>
      <c r="AB25" s="3">
        <v>2.4735421464692338</v>
      </c>
      <c r="AC25" s="3">
        <v>1.2489220058692447</v>
      </c>
      <c r="AD25" s="3">
        <v>0.55404742496924286</v>
      </c>
      <c r="AE25" s="3">
        <v>7.6683764169240554E-2</v>
      </c>
      <c r="AF25" s="3">
        <v>0.10972375916922747</v>
      </c>
      <c r="AG25" s="3">
        <v>-0.31761633993075511</v>
      </c>
      <c r="AH25" s="3">
        <v>-1.3699783146307574</v>
      </c>
      <c r="AI25" s="3">
        <v>-2.2407406892407531</v>
      </c>
      <c r="AJ25" s="3">
        <v>-1.0063510335307699</v>
      </c>
      <c r="AK25" s="3">
        <v>1.3061153370692451</v>
      </c>
      <c r="AL25" s="3">
        <v>-0.22854296843077238</v>
      </c>
      <c r="AM25" s="3">
        <v>0.54970240346922294</v>
      </c>
      <c r="AN25" s="3">
        <v>1.4629862816792296</v>
      </c>
      <c r="AO25" s="3">
        <v>1.3126903932192404</v>
      </c>
      <c r="AP25" s="3">
        <v>1.4165573207592337</v>
      </c>
      <c r="AQ25" s="3">
        <v>0.48058693018923609</v>
      </c>
      <c r="AR25" s="3">
        <v>0.43658393346923852</v>
      </c>
      <c r="AS25" s="3">
        <v>0.55829599056923407</v>
      </c>
      <c r="AT25" s="3">
        <v>-0.26735246563077253</v>
      </c>
      <c r="AU25" s="3">
        <v>-0.96840572933077751</v>
      </c>
    </row>
    <row r="26" spans="1:47" x14ac:dyDescent="0.25">
      <c r="A26">
        <v>1998.375</v>
      </c>
      <c r="B26">
        <v>5</v>
      </c>
      <c r="C26" s="3">
        <v>0.36530161782924503</v>
      </c>
      <c r="D26">
        <v>15.36085728415731</v>
      </c>
      <c r="G26" s="3">
        <v>0.36530161782924503</v>
      </c>
      <c r="H26" s="3">
        <v>-0.67479155132076152</v>
      </c>
      <c r="I26" s="3">
        <v>-2.787153976350762</v>
      </c>
      <c r="J26" s="3">
        <v>-4.7932476183307555</v>
      </c>
      <c r="K26" s="3">
        <v>-5.1007095236207638</v>
      </c>
      <c r="L26" s="3">
        <v>-3.1512866676807603</v>
      </c>
      <c r="M26" s="3">
        <v>-3.1398037807207642</v>
      </c>
      <c r="N26" s="3">
        <v>-2.6304183801607746</v>
      </c>
      <c r="O26" s="3">
        <v>-2.6443173447007617</v>
      </c>
      <c r="P26" s="3">
        <v>-2.0635819996307614</v>
      </c>
      <c r="Q26" s="3">
        <v>-1.616506618360757</v>
      </c>
      <c r="R26" s="3">
        <v>-2.2607291906107592</v>
      </c>
      <c r="S26" s="3">
        <v>-1.0207669603507683</v>
      </c>
      <c r="T26" s="3">
        <v>-9.7373376630768144E-2</v>
      </c>
      <c r="U26" s="3">
        <v>1.4184623768092359</v>
      </c>
      <c r="V26" s="3">
        <v>-0.48558845493075964</v>
      </c>
      <c r="W26" s="3">
        <v>-1.4328003235307725</v>
      </c>
      <c r="X26" s="3">
        <v>0.25270418406924511</v>
      </c>
      <c r="Y26" s="3">
        <v>0.81910462036922738</v>
      </c>
      <c r="Z26" s="3">
        <v>1.2670931882692424</v>
      </c>
      <c r="AA26" s="3">
        <v>1.252030043689234</v>
      </c>
      <c r="AB26" s="3">
        <v>2.7404304538592403</v>
      </c>
      <c r="AC26" s="3">
        <v>2.3489521429392384</v>
      </c>
      <c r="AD26" s="3">
        <v>1.766043151369225</v>
      </c>
      <c r="AE26" s="3">
        <v>0.93481068946924495</v>
      </c>
      <c r="AF26" s="3">
        <v>-9.6817897150762722E-2</v>
      </c>
      <c r="AG26" s="3">
        <v>0.34425614486924488</v>
      </c>
      <c r="AH26" s="3">
        <v>5.2294937169236277E-2</v>
      </c>
      <c r="AI26" s="3">
        <v>0.12928496692922442</v>
      </c>
      <c r="AJ26" s="3">
        <v>-1.3773610517907746</v>
      </c>
      <c r="AK26" s="3">
        <v>1.5170529866692426</v>
      </c>
      <c r="AL26" s="3">
        <v>1.4887714762392252</v>
      </c>
      <c r="AM26" s="3">
        <v>0.48882257341924473</v>
      </c>
      <c r="AN26" s="3">
        <v>2.4735421464692338</v>
      </c>
      <c r="AO26" s="3">
        <v>1.2489220058692447</v>
      </c>
      <c r="AP26" s="3">
        <v>0.55404742496924286</v>
      </c>
      <c r="AQ26" s="3">
        <v>7.6683764169240554E-2</v>
      </c>
      <c r="AR26" s="3">
        <v>0.10972375916922747</v>
      </c>
      <c r="AS26" s="3">
        <v>-0.31761633993075511</v>
      </c>
      <c r="AT26" s="3">
        <v>-1.3699783146307574</v>
      </c>
      <c r="AU26" s="3">
        <v>-2.2407406892407531</v>
      </c>
    </row>
    <row r="27" spans="1:47" x14ac:dyDescent="0.25">
      <c r="A27">
        <v>1999.375</v>
      </c>
      <c r="B27">
        <v>5</v>
      </c>
      <c r="C27" s="3">
        <v>4.2896200438692365</v>
      </c>
      <c r="D27">
        <v>15.684396824364823</v>
      </c>
      <c r="G27" s="3">
        <v>4.2896200438692365</v>
      </c>
      <c r="H27" s="3">
        <v>4.2750099174692346</v>
      </c>
      <c r="I27" s="3">
        <v>2.720610813269225</v>
      </c>
      <c r="J27" s="3">
        <v>2.0505162265692274</v>
      </c>
      <c r="K27" s="3">
        <v>2.0362881506692445</v>
      </c>
      <c r="L27" s="3">
        <v>3.053984121499234</v>
      </c>
      <c r="M27" s="3">
        <v>2.044175869139242</v>
      </c>
      <c r="N27" s="3">
        <v>3.7128887155072277</v>
      </c>
      <c r="O27" s="3">
        <v>3.4363206710852405</v>
      </c>
      <c r="P27" s="3">
        <v>4.4289432049292321</v>
      </c>
      <c r="Q27" s="3">
        <v>3.8889257109492208</v>
      </c>
      <c r="R27" s="3">
        <v>2.0395898820592362</v>
      </c>
      <c r="S27" s="3">
        <v>0.36530161782924503</v>
      </c>
      <c r="T27" s="3">
        <v>-0.67479155132076152</v>
      </c>
      <c r="U27" s="3">
        <v>-2.787153976350762</v>
      </c>
      <c r="V27" s="3">
        <v>-4.7932476183307555</v>
      </c>
      <c r="W27" s="3">
        <v>-5.1007095236207638</v>
      </c>
      <c r="X27" s="3">
        <v>-3.1512866676807603</v>
      </c>
      <c r="Y27" s="3">
        <v>-3.1398037807207642</v>
      </c>
      <c r="Z27" s="3">
        <v>-2.6304183801607746</v>
      </c>
      <c r="AA27" s="3">
        <v>-2.6443173447007617</v>
      </c>
      <c r="AB27" s="3">
        <v>-2.0635819996307614</v>
      </c>
      <c r="AC27" s="3">
        <v>-1.616506618360757</v>
      </c>
      <c r="AD27" s="3">
        <v>-2.2607291906107592</v>
      </c>
      <c r="AE27" s="3">
        <v>-1.0207669603507683</v>
      </c>
      <c r="AF27" s="3">
        <v>-9.7373376630768144E-2</v>
      </c>
      <c r="AG27" s="3">
        <v>1.4184623768092359</v>
      </c>
      <c r="AH27" s="3">
        <v>-0.48558845493075964</v>
      </c>
      <c r="AI27" s="3">
        <v>-1.4328003235307725</v>
      </c>
      <c r="AJ27" s="3">
        <v>0.25270418406924511</v>
      </c>
      <c r="AK27" s="3">
        <v>0.81910462036922738</v>
      </c>
      <c r="AL27" s="3">
        <v>1.2670931882692424</v>
      </c>
      <c r="AM27" s="3">
        <v>1.252030043689234</v>
      </c>
      <c r="AN27" s="3">
        <v>2.7404304538592403</v>
      </c>
      <c r="AO27" s="3">
        <v>2.3489521429392384</v>
      </c>
      <c r="AP27" s="3">
        <v>1.766043151369225</v>
      </c>
      <c r="AQ27" s="3">
        <v>0.93481068946924495</v>
      </c>
      <c r="AR27" s="3">
        <v>-9.6817897150762722E-2</v>
      </c>
      <c r="AS27" s="3">
        <v>0.34425614486924488</v>
      </c>
      <c r="AT27" s="3">
        <v>5.2294937169236277E-2</v>
      </c>
      <c r="AU27" s="3">
        <v>0.12928496692922442</v>
      </c>
    </row>
    <row r="28" spans="1:47" x14ac:dyDescent="0.25">
      <c r="A28">
        <v>2000.375</v>
      </c>
      <c r="B28">
        <v>5</v>
      </c>
      <c r="C28" s="3">
        <v>3.5373226747692317</v>
      </c>
      <c r="D28">
        <v>15.915820218663171</v>
      </c>
      <c r="G28" s="3">
        <v>3.5373226747692317</v>
      </c>
      <c r="H28" s="3">
        <v>3.0903652242692421</v>
      </c>
      <c r="I28" s="3">
        <v>1.4600406446692253</v>
      </c>
      <c r="J28" s="3">
        <v>0.9794701684692293</v>
      </c>
      <c r="K28" s="3">
        <v>4.1817926795692255</v>
      </c>
      <c r="L28" s="3">
        <v>3.394136948569225</v>
      </c>
      <c r="M28" s="3">
        <v>3.509488163569245</v>
      </c>
      <c r="N28" s="3">
        <v>4.1367831363692362</v>
      </c>
      <c r="O28" s="3">
        <v>3.8332401099692253</v>
      </c>
      <c r="P28" s="3">
        <v>3.4883985685692318</v>
      </c>
      <c r="Q28" s="3">
        <v>4.7052333398692276</v>
      </c>
      <c r="R28" s="3">
        <v>4.0284021538692274</v>
      </c>
      <c r="S28" s="3">
        <v>4.2896200438692365</v>
      </c>
      <c r="T28" s="3">
        <v>4.2750099174692346</v>
      </c>
      <c r="U28" s="3">
        <v>2.720610813269225</v>
      </c>
      <c r="V28" s="3">
        <v>2.0505162265692274</v>
      </c>
      <c r="W28" s="3">
        <v>2.0362881506692445</v>
      </c>
      <c r="X28" s="3">
        <v>3.053984121499234</v>
      </c>
      <c r="Y28" s="3">
        <v>2.044175869139242</v>
      </c>
      <c r="Z28" s="3">
        <v>3.7128887155072277</v>
      </c>
      <c r="AA28" s="3">
        <v>3.4363206710852405</v>
      </c>
      <c r="AB28" s="3">
        <v>4.4289432049292321</v>
      </c>
      <c r="AC28" s="3">
        <v>3.8889257109492208</v>
      </c>
      <c r="AD28" s="3">
        <v>2.0395898820592362</v>
      </c>
      <c r="AE28" s="3">
        <v>0.36530161782924503</v>
      </c>
      <c r="AF28" s="3">
        <v>-0.67479155132076152</v>
      </c>
      <c r="AG28" s="3">
        <v>-2.787153976350762</v>
      </c>
      <c r="AH28" s="3">
        <v>-4.7932476183307555</v>
      </c>
      <c r="AI28" s="3">
        <v>-5.1007095236207638</v>
      </c>
      <c r="AJ28" s="3">
        <v>-3.1512866676807603</v>
      </c>
      <c r="AK28" s="3">
        <v>-3.1398037807207642</v>
      </c>
      <c r="AL28" s="3">
        <v>-2.6304183801607746</v>
      </c>
      <c r="AM28" s="3">
        <v>-2.6443173447007617</v>
      </c>
      <c r="AN28" s="3">
        <v>-2.0635819996307614</v>
      </c>
      <c r="AO28" s="3">
        <v>-1.616506618360757</v>
      </c>
      <c r="AP28" s="3">
        <v>-2.2607291906107592</v>
      </c>
      <c r="AQ28" s="3">
        <v>-1.0207669603507683</v>
      </c>
      <c r="AR28" s="3">
        <v>-9.7373376630768144E-2</v>
      </c>
      <c r="AS28" s="3">
        <v>1.4184623768092359</v>
      </c>
      <c r="AT28" s="3">
        <v>-0.48558845493075964</v>
      </c>
      <c r="AU28" s="3">
        <v>-1.4328003235307725</v>
      </c>
    </row>
    <row r="29" spans="1:47" x14ac:dyDescent="0.25">
      <c r="A29">
        <v>2001.375</v>
      </c>
      <c r="B29">
        <v>5</v>
      </c>
      <c r="C29" s="3">
        <v>2.8748315578692294</v>
      </c>
      <c r="D29">
        <v>15.087079629089581</v>
      </c>
      <c r="G29" s="3">
        <v>2.8748315578692294</v>
      </c>
      <c r="H29" s="3">
        <v>3.2092950798692228</v>
      </c>
      <c r="I29" s="3">
        <v>1.7469426557692425</v>
      </c>
      <c r="J29" s="3">
        <v>1.4616929183692422</v>
      </c>
      <c r="K29" s="3">
        <v>-0.38835567963076423</v>
      </c>
      <c r="L29" s="3">
        <v>-0.22668680423076398</v>
      </c>
      <c r="M29" s="3">
        <v>1.6595333543692334</v>
      </c>
      <c r="N29" s="3">
        <v>2.6644051674692379</v>
      </c>
      <c r="O29" s="3">
        <v>2.5123353872692271</v>
      </c>
      <c r="P29" s="3">
        <v>3.4102340611692208</v>
      </c>
      <c r="Q29" s="3">
        <v>3.4716817257692343</v>
      </c>
      <c r="R29" s="3">
        <v>3.2955469341692334</v>
      </c>
      <c r="S29" s="3">
        <v>3.5373226747692317</v>
      </c>
      <c r="T29" s="3">
        <v>3.0903652242692421</v>
      </c>
      <c r="U29" s="3">
        <v>1.4600406446692253</v>
      </c>
      <c r="V29" s="3">
        <v>0.9794701684692293</v>
      </c>
      <c r="W29" s="3">
        <v>4.1817926795692255</v>
      </c>
      <c r="X29" s="3">
        <v>3.394136948569225</v>
      </c>
      <c r="Y29" s="3">
        <v>3.509488163569245</v>
      </c>
      <c r="Z29" s="3">
        <v>4.1367831363692362</v>
      </c>
      <c r="AA29" s="3">
        <v>3.8332401099692253</v>
      </c>
      <c r="AB29" s="3">
        <v>3.4883985685692318</v>
      </c>
      <c r="AC29" s="3">
        <v>4.7052333398692276</v>
      </c>
      <c r="AD29" s="3">
        <v>4.0284021538692274</v>
      </c>
      <c r="AE29" s="3">
        <v>4.2896200438692365</v>
      </c>
      <c r="AF29" s="3">
        <v>4.2750099174692346</v>
      </c>
      <c r="AG29" s="3">
        <v>2.720610813269225</v>
      </c>
      <c r="AH29" s="3">
        <v>2.0505162265692274</v>
      </c>
      <c r="AI29" s="3">
        <v>2.0362881506692445</v>
      </c>
      <c r="AJ29" s="3">
        <v>3.053984121499234</v>
      </c>
      <c r="AK29" s="3">
        <v>2.044175869139242</v>
      </c>
      <c r="AL29" s="3">
        <v>3.7128887155072277</v>
      </c>
      <c r="AM29" s="3">
        <v>3.4363206710852405</v>
      </c>
      <c r="AN29" s="3">
        <v>4.4289432049292321</v>
      </c>
      <c r="AO29" s="3">
        <v>3.8889257109492208</v>
      </c>
      <c r="AP29" s="3">
        <v>2.0395898820592362</v>
      </c>
      <c r="AQ29" s="3">
        <v>0.36530161782924503</v>
      </c>
      <c r="AR29" s="3">
        <v>-0.67479155132076152</v>
      </c>
      <c r="AS29" s="3">
        <v>-2.787153976350762</v>
      </c>
      <c r="AT29" s="3">
        <v>-4.7932476183307555</v>
      </c>
      <c r="AU29" s="3">
        <v>-5.1007095236207638</v>
      </c>
    </row>
    <row r="30" spans="1:47" x14ac:dyDescent="0.25">
      <c r="A30">
        <v>2002.375</v>
      </c>
      <c r="B30">
        <v>5</v>
      </c>
      <c r="C30" s="3">
        <v>1.9076068417692387</v>
      </c>
      <c r="D30">
        <v>15.528284840014555</v>
      </c>
      <c r="G30" s="3">
        <v>1.9076068417692387</v>
      </c>
      <c r="H30" s="3">
        <v>3.0384176178892228</v>
      </c>
      <c r="I30" s="3">
        <v>2.3836384248692406</v>
      </c>
      <c r="J30" s="3">
        <v>1.7291000883692318</v>
      </c>
      <c r="K30" s="3">
        <v>0.57640479186923832</v>
      </c>
      <c r="L30" s="3">
        <v>0.41005423246923839</v>
      </c>
      <c r="M30" s="3">
        <v>0.95477888506922737</v>
      </c>
      <c r="N30" s="3">
        <v>2.6059359112692251</v>
      </c>
      <c r="O30" s="3">
        <v>2.3933862785692384</v>
      </c>
      <c r="P30" s="3">
        <v>2.724954240169227</v>
      </c>
      <c r="Q30" s="3">
        <v>3.197693081169227</v>
      </c>
      <c r="R30" s="3">
        <v>3.2077139517692337</v>
      </c>
      <c r="S30" s="3">
        <v>2.8748315578692294</v>
      </c>
      <c r="T30" s="3">
        <v>3.2092950798692228</v>
      </c>
      <c r="U30" s="3">
        <v>1.7469426557692425</v>
      </c>
      <c r="V30" s="3">
        <v>1.4616929183692422</v>
      </c>
      <c r="W30" s="3">
        <v>-0.38835567963076423</v>
      </c>
      <c r="X30" s="3">
        <v>-0.22668680423076398</v>
      </c>
      <c r="Y30" s="3">
        <v>1.6595333543692334</v>
      </c>
      <c r="Z30" s="3">
        <v>2.6644051674692379</v>
      </c>
      <c r="AA30" s="3">
        <v>2.5123353872692271</v>
      </c>
      <c r="AB30" s="3">
        <v>3.4102340611692208</v>
      </c>
      <c r="AC30" s="3">
        <v>3.4716817257692343</v>
      </c>
      <c r="AD30" s="3">
        <v>3.2955469341692334</v>
      </c>
      <c r="AE30" s="3">
        <v>3.5373226747692317</v>
      </c>
      <c r="AF30" s="3">
        <v>3.0903652242692421</v>
      </c>
      <c r="AG30" s="3">
        <v>1.4600406446692253</v>
      </c>
      <c r="AH30" s="3">
        <v>0.9794701684692293</v>
      </c>
      <c r="AI30" s="3">
        <v>4.1817926795692255</v>
      </c>
      <c r="AJ30" s="3">
        <v>3.394136948569225</v>
      </c>
      <c r="AK30" s="3">
        <v>3.509488163569245</v>
      </c>
      <c r="AL30" s="3">
        <v>4.1367831363692362</v>
      </c>
      <c r="AM30" s="3">
        <v>3.8332401099692253</v>
      </c>
      <c r="AN30" s="3">
        <v>3.4883985685692318</v>
      </c>
      <c r="AO30" s="3">
        <v>4.7052333398692276</v>
      </c>
      <c r="AP30" s="3">
        <v>4.0284021538692274</v>
      </c>
      <c r="AQ30" s="3">
        <v>4.2896200438692365</v>
      </c>
      <c r="AR30" s="3">
        <v>4.2750099174692346</v>
      </c>
      <c r="AS30" s="3">
        <v>2.720610813269225</v>
      </c>
      <c r="AT30" s="3">
        <v>2.0505162265692274</v>
      </c>
      <c r="AU30" s="3">
        <v>2.0362881506692445</v>
      </c>
    </row>
    <row r="31" spans="1:47" x14ac:dyDescent="0.25">
      <c r="A31">
        <v>2003.375</v>
      </c>
      <c r="B31">
        <v>5</v>
      </c>
      <c r="C31" s="3">
        <v>2.2880968023692252</v>
      </c>
      <c r="D31">
        <v>14.984070353520202</v>
      </c>
      <c r="G31" s="3">
        <v>2.2880968023692252</v>
      </c>
      <c r="H31" s="3">
        <v>1.3477316226692384</v>
      </c>
      <c r="I31" s="3">
        <v>-0.21509650943075509</v>
      </c>
      <c r="J31" s="3">
        <v>-1.3804676941707616</v>
      </c>
      <c r="K31" s="3">
        <v>-3.3722278468307572</v>
      </c>
      <c r="L31" s="3">
        <v>-2.8223534988307661</v>
      </c>
      <c r="M31" s="3">
        <v>-2.5511742228307752</v>
      </c>
      <c r="N31" s="3">
        <v>-0.85183288539076163</v>
      </c>
      <c r="O31" s="3">
        <v>0.39340332639922526</v>
      </c>
      <c r="P31" s="3">
        <v>0.59083584561924296</v>
      </c>
      <c r="Q31" s="3">
        <v>1.6826666062692384</v>
      </c>
      <c r="R31" s="3">
        <v>1.4205022298692254</v>
      </c>
      <c r="S31" s="3">
        <v>1.9076068417692387</v>
      </c>
      <c r="T31" s="3">
        <v>3.0384176178892228</v>
      </c>
      <c r="U31" s="3">
        <v>2.3836384248692406</v>
      </c>
      <c r="V31" s="3">
        <v>1.7291000883692318</v>
      </c>
      <c r="W31" s="3">
        <v>0.57640479186923832</v>
      </c>
      <c r="X31" s="3">
        <v>0.41005423246923839</v>
      </c>
      <c r="Y31" s="3">
        <v>0.95477888506922737</v>
      </c>
      <c r="Z31" s="3">
        <v>2.6059359112692251</v>
      </c>
      <c r="AA31" s="3">
        <v>2.3933862785692384</v>
      </c>
      <c r="AB31" s="3">
        <v>2.724954240169227</v>
      </c>
      <c r="AC31" s="3">
        <v>3.197693081169227</v>
      </c>
      <c r="AD31" s="3">
        <v>3.2077139517692337</v>
      </c>
      <c r="AE31" s="3">
        <v>2.8748315578692294</v>
      </c>
      <c r="AF31" s="3">
        <v>3.2092950798692228</v>
      </c>
      <c r="AG31" s="3">
        <v>1.7469426557692425</v>
      </c>
      <c r="AH31" s="3">
        <v>1.4616929183692422</v>
      </c>
      <c r="AI31" s="3">
        <v>-0.38835567963076423</v>
      </c>
      <c r="AJ31" s="3">
        <v>-0.22668680423076398</v>
      </c>
      <c r="AK31" s="3">
        <v>1.6595333543692334</v>
      </c>
      <c r="AL31" s="3">
        <v>2.6644051674692379</v>
      </c>
      <c r="AM31" s="3">
        <v>2.5123353872692271</v>
      </c>
      <c r="AN31" s="3">
        <v>3.4102340611692208</v>
      </c>
      <c r="AO31" s="3">
        <v>3.4716817257692343</v>
      </c>
      <c r="AP31" s="3">
        <v>3.2955469341692334</v>
      </c>
      <c r="AQ31" s="3">
        <v>3.5373226747692317</v>
      </c>
      <c r="AR31" s="3">
        <v>3.0903652242692421</v>
      </c>
      <c r="AS31" s="3">
        <v>1.4600406446692253</v>
      </c>
      <c r="AT31" s="3">
        <v>0.9794701684692293</v>
      </c>
      <c r="AU31" s="3">
        <v>4.1817926795692255</v>
      </c>
    </row>
    <row r="32" spans="1:47" x14ac:dyDescent="0.25">
      <c r="A32">
        <v>2004.375</v>
      </c>
      <c r="B32">
        <v>5</v>
      </c>
      <c r="C32" s="3">
        <v>1.3046613783592229</v>
      </c>
      <c r="D32">
        <v>16.27018729289059</v>
      </c>
      <c r="G32" s="3">
        <v>1.3046613783592229</v>
      </c>
      <c r="H32" s="3">
        <v>0.59094081723922087</v>
      </c>
      <c r="I32" s="3">
        <v>1.4408482313592275</v>
      </c>
      <c r="J32" s="3">
        <v>-1.6729482482407596</v>
      </c>
      <c r="K32" s="3">
        <v>-1.095964693210753</v>
      </c>
      <c r="L32" s="3">
        <v>-1.0499957530007684</v>
      </c>
      <c r="M32" s="3">
        <v>1.8076010837492387</v>
      </c>
      <c r="N32" s="3">
        <v>5.9040367769244984E-2</v>
      </c>
      <c r="O32" s="3">
        <v>1.020079867869234</v>
      </c>
      <c r="P32" s="3">
        <v>1.3330668343492251</v>
      </c>
      <c r="Q32" s="3">
        <v>2.0764134763692423</v>
      </c>
      <c r="R32" s="3">
        <v>1.538133375409245</v>
      </c>
      <c r="S32" s="3">
        <v>2.2880968023692252</v>
      </c>
      <c r="T32" s="3">
        <v>1.3477316226692384</v>
      </c>
      <c r="U32" s="3">
        <v>-0.21509650943075509</v>
      </c>
      <c r="V32" s="3">
        <v>-1.3804676941707616</v>
      </c>
      <c r="W32" s="3">
        <v>-3.3722278468307572</v>
      </c>
      <c r="X32" s="3">
        <v>-2.8223534988307661</v>
      </c>
      <c r="Y32" s="3">
        <v>-2.5511742228307752</v>
      </c>
      <c r="Z32" s="3">
        <v>-0.85183288539076163</v>
      </c>
      <c r="AA32" s="3">
        <v>0.39340332639922526</v>
      </c>
      <c r="AB32" s="3">
        <v>0.59083584561924296</v>
      </c>
      <c r="AC32" s="3">
        <v>1.6826666062692384</v>
      </c>
      <c r="AD32" s="3">
        <v>1.4205022298692254</v>
      </c>
      <c r="AE32" s="3">
        <v>1.9076068417692387</v>
      </c>
      <c r="AF32" s="3">
        <v>3.0384176178892228</v>
      </c>
      <c r="AG32" s="3">
        <v>2.3836384248692406</v>
      </c>
      <c r="AH32" s="3">
        <v>1.7291000883692318</v>
      </c>
      <c r="AI32" s="3">
        <v>0.57640479186923832</v>
      </c>
      <c r="AJ32" s="3">
        <v>0.41005423246923839</v>
      </c>
      <c r="AK32" s="3">
        <v>0.95477888506922737</v>
      </c>
      <c r="AL32" s="3">
        <v>2.6059359112692251</v>
      </c>
      <c r="AM32" s="3">
        <v>2.3933862785692384</v>
      </c>
      <c r="AN32" s="3">
        <v>2.724954240169227</v>
      </c>
      <c r="AO32" s="3">
        <v>3.197693081169227</v>
      </c>
      <c r="AP32" s="3">
        <v>3.2077139517692337</v>
      </c>
      <c r="AQ32" s="3">
        <v>2.8748315578692294</v>
      </c>
      <c r="AR32" s="3">
        <v>3.2092950798692228</v>
      </c>
      <c r="AS32" s="3">
        <v>1.7469426557692425</v>
      </c>
      <c r="AT32" s="3">
        <v>1.4616929183692422</v>
      </c>
      <c r="AU32" s="3">
        <v>-0.38835567963076423</v>
      </c>
    </row>
    <row r="33" spans="1:47" x14ac:dyDescent="0.25">
      <c r="A33">
        <v>2005.375</v>
      </c>
      <c r="B33">
        <v>5</v>
      </c>
      <c r="C33" s="3">
        <v>-0.5079246517307725</v>
      </c>
      <c r="D33">
        <v>16.056454729560876</v>
      </c>
      <c r="G33" s="3">
        <v>-0.5079246517307725</v>
      </c>
      <c r="H33" s="3">
        <v>0.29846351686923395</v>
      </c>
      <c r="I33" s="3">
        <v>-1.6761749096307603</v>
      </c>
      <c r="J33" s="3">
        <v>-1.3825177939307545</v>
      </c>
      <c r="K33" s="3">
        <v>-1.774578943930764</v>
      </c>
      <c r="L33" s="3">
        <v>-0.34530564288076371</v>
      </c>
      <c r="M33" s="3">
        <v>0.32788333794924063</v>
      </c>
      <c r="N33" s="3">
        <v>0.44187939644322305</v>
      </c>
      <c r="O33" s="3">
        <v>0.97939350272924519</v>
      </c>
      <c r="P33" s="3">
        <v>0.19707756144923189</v>
      </c>
      <c r="Q33" s="3">
        <v>0.82747681711923837</v>
      </c>
      <c r="R33" s="3">
        <v>1.9188675702592293</v>
      </c>
      <c r="S33" s="3">
        <v>1.3046613783592229</v>
      </c>
      <c r="T33" s="3">
        <v>0.59094081723922087</v>
      </c>
      <c r="U33" s="3">
        <v>1.4408482313592275</v>
      </c>
      <c r="V33" s="3">
        <v>-1.6729482482407596</v>
      </c>
      <c r="W33" s="3">
        <v>-1.095964693210753</v>
      </c>
      <c r="X33" s="3">
        <v>-1.0499957530007684</v>
      </c>
      <c r="Y33" s="3">
        <v>1.8076010837492387</v>
      </c>
      <c r="Z33" s="3">
        <v>5.9040367769244984E-2</v>
      </c>
      <c r="AA33" s="3">
        <v>1.020079867869234</v>
      </c>
      <c r="AB33" s="3">
        <v>1.3330668343492251</v>
      </c>
      <c r="AC33" s="3">
        <v>2.0764134763692423</v>
      </c>
      <c r="AD33" s="3">
        <v>1.538133375409245</v>
      </c>
      <c r="AE33" s="3">
        <v>2.2880968023692252</v>
      </c>
      <c r="AF33" s="3">
        <v>1.3477316226692384</v>
      </c>
      <c r="AG33" s="3">
        <v>-0.21509650943075509</v>
      </c>
      <c r="AH33" s="3">
        <v>-1.3804676941707616</v>
      </c>
      <c r="AI33" s="3">
        <v>-3.3722278468307572</v>
      </c>
      <c r="AJ33" s="3">
        <v>-2.8223534988307661</v>
      </c>
      <c r="AK33" s="3">
        <v>-2.5511742228307752</v>
      </c>
      <c r="AL33" s="3">
        <v>-0.85183288539076163</v>
      </c>
      <c r="AM33" s="3">
        <v>0.39340332639922526</v>
      </c>
      <c r="AN33" s="3">
        <v>0.59083584561924296</v>
      </c>
      <c r="AO33" s="3">
        <v>1.6826666062692384</v>
      </c>
      <c r="AP33" s="3">
        <v>1.4205022298692254</v>
      </c>
      <c r="AQ33" s="3">
        <v>1.9076068417692387</v>
      </c>
      <c r="AR33" s="3">
        <v>3.0384176178892228</v>
      </c>
      <c r="AS33" s="3">
        <v>2.3836384248692406</v>
      </c>
      <c r="AT33" s="3">
        <v>1.7291000883692318</v>
      </c>
      <c r="AU33" s="3">
        <v>0.57640479186923832</v>
      </c>
    </row>
    <row r="34" spans="1:47" x14ac:dyDescent="0.25">
      <c r="A34">
        <v>2006.375</v>
      </c>
      <c r="B34">
        <v>5</v>
      </c>
      <c r="C34" s="3">
        <v>2.1628221249392339</v>
      </c>
      <c r="D34">
        <v>15.968880994902058</v>
      </c>
      <c r="G34" s="3">
        <v>2.1628221249392339</v>
      </c>
      <c r="H34" s="3">
        <v>2.2926456901192314</v>
      </c>
      <c r="I34" s="3">
        <v>1.9418874460192272</v>
      </c>
      <c r="J34" s="3">
        <v>1.5328446123392316</v>
      </c>
      <c r="K34" s="3">
        <v>0.24639725443924221</v>
      </c>
      <c r="L34" s="3">
        <v>-1.7059552504307725</v>
      </c>
      <c r="M34" s="3">
        <v>2.3657050289692316</v>
      </c>
      <c r="N34" s="3">
        <v>2.1485403461692405</v>
      </c>
      <c r="O34" s="3">
        <v>1.8314558438692428</v>
      </c>
      <c r="P34" s="3">
        <v>1.3496924048692274</v>
      </c>
      <c r="Q34" s="3">
        <v>1.4338550498692317</v>
      </c>
      <c r="R34" s="3">
        <v>0.3387690722692363</v>
      </c>
      <c r="S34" s="3">
        <v>-0.5079246517307725</v>
      </c>
      <c r="T34" s="3">
        <v>0.29846351686923395</v>
      </c>
      <c r="U34" s="3">
        <v>-1.6761749096307603</v>
      </c>
      <c r="V34" s="3">
        <v>-1.3825177939307545</v>
      </c>
      <c r="W34" s="3">
        <v>-1.774578943930764</v>
      </c>
      <c r="X34" s="3">
        <v>-0.34530564288076371</v>
      </c>
      <c r="Y34" s="3">
        <v>0.32788333794924063</v>
      </c>
      <c r="Z34" s="3">
        <v>0.44187939644322305</v>
      </c>
      <c r="AA34" s="3">
        <v>0.97939350272924519</v>
      </c>
      <c r="AB34" s="3">
        <v>0.19707756144923189</v>
      </c>
      <c r="AC34" s="3">
        <v>0.82747681711923837</v>
      </c>
      <c r="AD34" s="3">
        <v>1.9188675702592293</v>
      </c>
      <c r="AE34" s="3">
        <v>1.3046613783592229</v>
      </c>
      <c r="AF34" s="3">
        <v>0.59094081723922087</v>
      </c>
      <c r="AG34" s="3">
        <v>1.4408482313592275</v>
      </c>
      <c r="AH34" s="3">
        <v>-1.6729482482407596</v>
      </c>
      <c r="AI34" s="3">
        <v>-1.095964693210753</v>
      </c>
      <c r="AJ34" s="3">
        <v>-1.0499957530007684</v>
      </c>
      <c r="AK34" s="3">
        <v>1.8076010837492387</v>
      </c>
      <c r="AL34" s="3">
        <v>5.9040367769244984E-2</v>
      </c>
      <c r="AM34" s="3">
        <v>1.020079867869234</v>
      </c>
      <c r="AN34" s="3">
        <v>1.3330668343492251</v>
      </c>
      <c r="AO34" s="3">
        <v>2.0764134763692423</v>
      </c>
      <c r="AP34" s="3">
        <v>1.538133375409245</v>
      </c>
      <c r="AQ34" s="3">
        <v>2.2880968023692252</v>
      </c>
      <c r="AR34" s="3">
        <v>1.3477316226692384</v>
      </c>
      <c r="AS34" s="3">
        <v>-0.21509650943075509</v>
      </c>
      <c r="AT34" s="3">
        <v>-1.3804676941707616</v>
      </c>
      <c r="AU34" s="3">
        <v>-3.3722278468307572</v>
      </c>
    </row>
    <row r="35" spans="1:47" x14ac:dyDescent="0.25">
      <c r="A35">
        <v>2007.375</v>
      </c>
      <c r="B35">
        <v>5</v>
      </c>
      <c r="C35" s="3">
        <v>2.2741382218892316</v>
      </c>
      <c r="D35">
        <v>15.816319037641536</v>
      </c>
      <c r="G35" s="3">
        <v>2.2741382218892316</v>
      </c>
      <c r="H35" s="3">
        <v>0.91576861426923528</v>
      </c>
      <c r="I35" s="3">
        <v>1.5584511780692361</v>
      </c>
      <c r="J35" s="3">
        <v>-0.38390259033377455</v>
      </c>
      <c r="K35" s="3">
        <v>-0.29827832770077151</v>
      </c>
      <c r="L35" s="3">
        <v>-1.3194225846907526</v>
      </c>
      <c r="M35" s="3">
        <v>0.34878441866923404</v>
      </c>
      <c r="N35" s="3">
        <v>0.133375123389223</v>
      </c>
      <c r="O35" s="3">
        <v>1.2713854909392337</v>
      </c>
      <c r="P35" s="3">
        <v>1.789928194669234</v>
      </c>
      <c r="Q35" s="3">
        <v>1.2275044462992428</v>
      </c>
      <c r="R35" s="3">
        <v>1.816965704619234</v>
      </c>
      <c r="S35" s="3">
        <v>2.1628221249392339</v>
      </c>
      <c r="T35" s="3">
        <v>2.2926456901192314</v>
      </c>
      <c r="U35" s="3">
        <v>1.9418874460192272</v>
      </c>
      <c r="V35" s="3">
        <v>1.5328446123392316</v>
      </c>
      <c r="W35" s="3">
        <v>0.24639725443924221</v>
      </c>
      <c r="X35" s="3">
        <v>-1.7059552504307725</v>
      </c>
      <c r="Y35" s="3">
        <v>2.3657050289692316</v>
      </c>
      <c r="Z35" s="3">
        <v>2.1485403461692405</v>
      </c>
      <c r="AA35" s="3">
        <v>1.8314558438692428</v>
      </c>
      <c r="AB35" s="3">
        <v>1.3496924048692274</v>
      </c>
      <c r="AC35" s="3">
        <v>1.4338550498692317</v>
      </c>
      <c r="AD35" s="3">
        <v>0.3387690722692363</v>
      </c>
      <c r="AE35" s="3">
        <v>-0.5079246517307725</v>
      </c>
      <c r="AF35" s="3">
        <v>0.29846351686923395</v>
      </c>
      <c r="AG35" s="3">
        <v>-1.6761749096307603</v>
      </c>
      <c r="AH35" s="3">
        <v>-1.3825177939307545</v>
      </c>
      <c r="AI35" s="3">
        <v>-1.774578943930764</v>
      </c>
      <c r="AJ35" s="3">
        <v>-0.34530564288076371</v>
      </c>
      <c r="AK35" s="3">
        <v>0.32788333794924063</v>
      </c>
      <c r="AL35" s="3">
        <v>0.44187939644322305</v>
      </c>
      <c r="AM35" s="3">
        <v>0.97939350272924519</v>
      </c>
      <c r="AN35" s="3">
        <v>0.19707756144923189</v>
      </c>
      <c r="AO35" s="3">
        <v>0.82747681711923837</v>
      </c>
      <c r="AP35" s="3">
        <v>1.9188675702592293</v>
      </c>
      <c r="AQ35" s="3">
        <v>1.3046613783592229</v>
      </c>
      <c r="AR35" s="3">
        <v>0.59094081723922087</v>
      </c>
      <c r="AS35" s="3">
        <v>1.4408482313592275</v>
      </c>
      <c r="AT35" s="3">
        <v>-1.6729482482407596</v>
      </c>
      <c r="AU35" s="3">
        <v>-1.095964693210753</v>
      </c>
    </row>
    <row r="36" spans="1:47" x14ac:dyDescent="0.25">
      <c r="A36">
        <v>2008.375</v>
      </c>
      <c r="B36">
        <v>5</v>
      </c>
      <c r="C36" s="3">
        <v>3.1445083440692292</v>
      </c>
      <c r="D36">
        <v>15.873171037628065</v>
      </c>
      <c r="G36" s="3">
        <v>3.1445083440692292</v>
      </c>
      <c r="H36" s="3">
        <v>4.3037038856692229</v>
      </c>
      <c r="I36" s="3">
        <v>3.5141544352692451</v>
      </c>
      <c r="J36" s="3">
        <v>2.0171252992692406</v>
      </c>
      <c r="K36" s="3">
        <v>2.6252510639492432</v>
      </c>
      <c r="L36" s="3">
        <v>2.6049737380592211</v>
      </c>
      <c r="M36" s="3">
        <v>1.9780654593992426</v>
      </c>
      <c r="N36" s="3">
        <v>3.8121810804692426</v>
      </c>
      <c r="O36" s="3">
        <v>2.9581203447292252</v>
      </c>
      <c r="P36" s="3">
        <v>2.7815152350692447</v>
      </c>
      <c r="Q36" s="3">
        <v>2.0566604165692253</v>
      </c>
      <c r="R36" s="3">
        <v>2.5920905191692314</v>
      </c>
      <c r="S36" s="3">
        <v>2.2741382218892316</v>
      </c>
      <c r="T36" s="3">
        <v>0.91576861426923528</v>
      </c>
      <c r="U36" s="3">
        <v>1.5584511780692361</v>
      </c>
      <c r="V36" s="3">
        <v>-0.38390259033377455</v>
      </c>
      <c r="W36" s="3">
        <v>-0.29827832770077151</v>
      </c>
      <c r="X36" s="3">
        <v>-1.3194225846907526</v>
      </c>
      <c r="Y36" s="3">
        <v>0.34878441866923404</v>
      </c>
      <c r="Z36" s="3">
        <v>0.133375123389223</v>
      </c>
      <c r="AA36" s="3">
        <v>1.2713854909392337</v>
      </c>
      <c r="AB36" s="3">
        <v>1.789928194669234</v>
      </c>
      <c r="AC36" s="3">
        <v>1.2275044462992428</v>
      </c>
      <c r="AD36" s="3">
        <v>1.816965704619234</v>
      </c>
      <c r="AE36" s="3">
        <v>2.1628221249392339</v>
      </c>
      <c r="AF36" s="3">
        <v>2.2926456901192314</v>
      </c>
      <c r="AG36" s="3">
        <v>1.9418874460192272</v>
      </c>
      <c r="AH36" s="3">
        <v>1.5328446123392316</v>
      </c>
      <c r="AI36" s="3">
        <v>0.24639725443924221</v>
      </c>
      <c r="AJ36" s="3">
        <v>-1.7059552504307725</v>
      </c>
      <c r="AK36" s="3">
        <v>2.3657050289692316</v>
      </c>
      <c r="AL36" s="3">
        <v>2.1485403461692405</v>
      </c>
      <c r="AM36" s="3">
        <v>1.8314558438692428</v>
      </c>
      <c r="AN36" s="3">
        <v>1.3496924048692274</v>
      </c>
      <c r="AO36" s="3">
        <v>1.4338550498692317</v>
      </c>
      <c r="AP36" s="3">
        <v>0.3387690722692363</v>
      </c>
      <c r="AQ36" s="3">
        <v>-0.5079246517307725</v>
      </c>
      <c r="AR36" s="3">
        <v>0.29846351686923395</v>
      </c>
      <c r="AS36" s="3">
        <v>-1.6761749096307603</v>
      </c>
      <c r="AT36" s="3">
        <v>-1.3825177939307545</v>
      </c>
      <c r="AU36" s="3">
        <v>-1.774578943930764</v>
      </c>
    </row>
    <row r="37" spans="1:47" x14ac:dyDescent="0.25">
      <c r="A37">
        <v>2009.375</v>
      </c>
      <c r="B37">
        <v>5</v>
      </c>
      <c r="C37" s="3">
        <v>2.8559780762592273</v>
      </c>
      <c r="D37">
        <v>16.322640998904404</v>
      </c>
      <c r="G37" s="3">
        <v>2.8559780762592273</v>
      </c>
      <c r="H37" s="3">
        <v>3.3982535946892316</v>
      </c>
      <c r="I37" s="3">
        <v>3.7437798352422273</v>
      </c>
      <c r="J37" s="3">
        <v>3.1401515433092211</v>
      </c>
      <c r="K37" s="3">
        <v>2.3256610174192414</v>
      </c>
      <c r="L37" s="3">
        <v>3.0732084994992381</v>
      </c>
      <c r="M37" s="3">
        <v>2.4197133966692208</v>
      </c>
      <c r="N37" s="3">
        <v>3.7297149387692254</v>
      </c>
      <c r="O37" s="3">
        <v>3.1178040014692385</v>
      </c>
      <c r="P37" s="3">
        <v>3.3034292364692428</v>
      </c>
      <c r="Q37" s="3">
        <v>3.5154691291692206</v>
      </c>
      <c r="R37" s="3">
        <v>3.7396919383692429</v>
      </c>
      <c r="S37" s="3">
        <v>3.1445083440692292</v>
      </c>
      <c r="T37" s="3">
        <v>4.3037038856692229</v>
      </c>
      <c r="U37" s="3">
        <v>3.5141544352692451</v>
      </c>
      <c r="V37" s="3">
        <v>2.0171252992692406</v>
      </c>
      <c r="W37" s="3">
        <v>2.6252510639492432</v>
      </c>
      <c r="X37" s="3">
        <v>2.6049737380592211</v>
      </c>
      <c r="Y37" s="3">
        <v>1.9780654593992426</v>
      </c>
      <c r="Z37" s="3">
        <v>3.8121810804692426</v>
      </c>
      <c r="AA37" s="3">
        <v>2.9581203447292252</v>
      </c>
      <c r="AB37" s="3">
        <v>2.7815152350692447</v>
      </c>
      <c r="AC37" s="3">
        <v>2.0566604165692253</v>
      </c>
      <c r="AD37" s="3">
        <v>2.5920905191692314</v>
      </c>
      <c r="AE37" s="3">
        <v>2.2741382218892316</v>
      </c>
      <c r="AF37" s="3">
        <v>0.91576861426923528</v>
      </c>
      <c r="AG37" s="3">
        <v>1.5584511780692361</v>
      </c>
      <c r="AH37" s="3">
        <v>-0.38390259033377455</v>
      </c>
      <c r="AI37" s="3">
        <v>-0.29827832770077151</v>
      </c>
      <c r="AJ37" s="3">
        <v>-1.3194225846907526</v>
      </c>
      <c r="AK37" s="3">
        <v>0.34878441866923404</v>
      </c>
      <c r="AL37" s="3">
        <v>0.133375123389223</v>
      </c>
      <c r="AM37" s="3">
        <v>1.2713854909392337</v>
      </c>
      <c r="AN37" s="3">
        <v>1.789928194669234</v>
      </c>
      <c r="AO37" s="3">
        <v>1.2275044462992428</v>
      </c>
      <c r="AP37" s="3">
        <v>1.816965704619234</v>
      </c>
      <c r="AQ37" s="3">
        <v>2.1628221249392339</v>
      </c>
      <c r="AR37" s="3">
        <v>2.2926456901192314</v>
      </c>
      <c r="AS37" s="3">
        <v>1.9418874460192272</v>
      </c>
      <c r="AT37" s="3">
        <v>1.5328446123392316</v>
      </c>
      <c r="AU37" s="3">
        <v>0.24639725443924221</v>
      </c>
    </row>
    <row r="38" spans="1:47" x14ac:dyDescent="0.25">
      <c r="A38">
        <v>2010.375</v>
      </c>
      <c r="B38">
        <v>5</v>
      </c>
      <c r="C38" s="3">
        <v>2.1367981933692386</v>
      </c>
      <c r="D38">
        <v>15.453662301432944</v>
      </c>
      <c r="G38" s="3">
        <v>2.1367981933692386</v>
      </c>
      <c r="H38" s="3">
        <v>1.1052457697692384</v>
      </c>
      <c r="I38" s="3">
        <v>-0.48756181103076601</v>
      </c>
      <c r="J38" s="3">
        <v>-2.6477017098307662</v>
      </c>
      <c r="K38" s="3">
        <v>-3.3208245141307722</v>
      </c>
      <c r="L38" s="3">
        <v>-2.4654593805307572</v>
      </c>
      <c r="M38" s="3">
        <v>1.0901500019244892E-2</v>
      </c>
      <c r="N38" s="3">
        <v>-0.44134536233076377</v>
      </c>
      <c r="O38" s="3">
        <v>0.55891123916923846</v>
      </c>
      <c r="P38" s="3">
        <v>1.2312497751892382</v>
      </c>
      <c r="Q38" s="3">
        <v>1.1174872949192272</v>
      </c>
      <c r="R38" s="3">
        <v>1.0325521682292274</v>
      </c>
      <c r="S38" s="3">
        <v>2.8559780762592273</v>
      </c>
      <c r="T38" s="3">
        <v>3.3982535946892316</v>
      </c>
      <c r="U38" s="3">
        <v>3.7437798352422273</v>
      </c>
      <c r="V38" s="3">
        <v>3.1401515433092211</v>
      </c>
      <c r="W38" s="3">
        <v>2.3256610174192414</v>
      </c>
      <c r="X38" s="3">
        <v>3.0732084994992381</v>
      </c>
      <c r="Y38" s="3">
        <v>2.4197133966692208</v>
      </c>
      <c r="Z38" s="3">
        <v>3.7297149387692254</v>
      </c>
      <c r="AA38" s="3">
        <v>3.1178040014692385</v>
      </c>
      <c r="AB38" s="3">
        <v>3.3034292364692428</v>
      </c>
      <c r="AC38" s="3">
        <v>3.5154691291692206</v>
      </c>
      <c r="AD38" s="3">
        <v>3.7396919383692429</v>
      </c>
      <c r="AE38" s="3">
        <v>3.1445083440692292</v>
      </c>
      <c r="AF38" s="3">
        <v>4.3037038856692229</v>
      </c>
      <c r="AG38" s="3">
        <v>3.5141544352692451</v>
      </c>
      <c r="AH38" s="3">
        <v>2.0171252992692406</v>
      </c>
      <c r="AI38" s="3">
        <v>2.6252510639492432</v>
      </c>
      <c r="AJ38" s="3">
        <v>2.6049737380592211</v>
      </c>
      <c r="AK38" s="3">
        <v>1.9780654593992426</v>
      </c>
      <c r="AL38" s="3">
        <v>3.8121810804692426</v>
      </c>
      <c r="AM38" s="3">
        <v>2.9581203447292252</v>
      </c>
      <c r="AN38" s="3">
        <v>2.7815152350692447</v>
      </c>
      <c r="AO38" s="3">
        <v>2.0566604165692253</v>
      </c>
      <c r="AP38" s="3">
        <v>2.5920905191692314</v>
      </c>
      <c r="AQ38" s="3">
        <v>2.2741382218892316</v>
      </c>
      <c r="AR38" s="3">
        <v>0.91576861426923528</v>
      </c>
      <c r="AS38" s="3">
        <v>1.5584511780692361</v>
      </c>
      <c r="AT38" s="3">
        <v>-0.38390259033377455</v>
      </c>
      <c r="AU38" s="3">
        <v>-0.29827832770077151</v>
      </c>
    </row>
    <row r="39" spans="1:47" x14ac:dyDescent="0.25">
      <c r="A39">
        <v>2011.375</v>
      </c>
      <c r="B39">
        <v>5</v>
      </c>
      <c r="C39" s="3">
        <v>2.994733051169236</v>
      </c>
      <c r="D39">
        <v>15.342476234111642</v>
      </c>
      <c r="G39" s="3">
        <v>2.994733051169236</v>
      </c>
      <c r="H39" s="3">
        <v>3.7169376469992383</v>
      </c>
      <c r="I39" s="3">
        <v>2.6917547487692408</v>
      </c>
      <c r="J39" s="3">
        <v>4.0854112138192225</v>
      </c>
      <c r="K39" s="3">
        <v>1.239910041719225</v>
      </c>
      <c r="L39" s="3">
        <v>3.7306486162292316</v>
      </c>
      <c r="M39" s="3">
        <v>4.031058309969243</v>
      </c>
      <c r="N39" s="3">
        <v>3.7667653419692209</v>
      </c>
      <c r="O39" s="3">
        <v>4.2842263740692337</v>
      </c>
      <c r="P39" s="3">
        <v>5.3692223996192361</v>
      </c>
      <c r="Q39" s="3">
        <v>5.3632401589792407</v>
      </c>
      <c r="R39" s="3">
        <v>3.3288297101692361</v>
      </c>
      <c r="S39" s="3">
        <v>2.1367981933692386</v>
      </c>
      <c r="T39" s="3">
        <v>1.1052457697692384</v>
      </c>
      <c r="U39" s="3">
        <v>-0.48756181103076601</v>
      </c>
      <c r="V39" s="3">
        <v>-2.6477017098307662</v>
      </c>
      <c r="W39" s="3">
        <v>-3.3208245141307722</v>
      </c>
      <c r="X39" s="3">
        <v>-2.4654593805307572</v>
      </c>
      <c r="Y39" s="3">
        <v>1.0901500019244892E-2</v>
      </c>
      <c r="Z39" s="3">
        <v>-0.44134536233076377</v>
      </c>
      <c r="AA39" s="3">
        <v>0.55891123916923846</v>
      </c>
      <c r="AB39" s="3">
        <v>1.2312497751892382</v>
      </c>
      <c r="AC39" s="3">
        <v>1.1174872949192272</v>
      </c>
      <c r="AD39" s="3">
        <v>1.0325521682292274</v>
      </c>
      <c r="AE39" s="3">
        <v>2.8559780762592273</v>
      </c>
      <c r="AF39" s="3">
        <v>3.3982535946892316</v>
      </c>
      <c r="AG39" s="3">
        <v>3.7437798352422273</v>
      </c>
      <c r="AH39" s="3">
        <v>3.1401515433092211</v>
      </c>
      <c r="AI39" s="3">
        <v>2.3256610174192414</v>
      </c>
      <c r="AJ39" s="3">
        <v>3.0732084994992381</v>
      </c>
      <c r="AK39" s="3">
        <v>2.4197133966692208</v>
      </c>
      <c r="AL39" s="3">
        <v>3.7297149387692254</v>
      </c>
      <c r="AM39" s="3">
        <v>3.1178040014692385</v>
      </c>
      <c r="AN39" s="3">
        <v>3.3034292364692428</v>
      </c>
      <c r="AO39" s="3">
        <v>3.5154691291692206</v>
      </c>
      <c r="AP39" s="3">
        <v>3.7396919383692429</v>
      </c>
      <c r="AQ39" s="3">
        <v>3.1445083440692292</v>
      </c>
      <c r="AR39" s="3">
        <v>4.3037038856692229</v>
      </c>
      <c r="AS39" s="3">
        <v>3.5141544352692451</v>
      </c>
      <c r="AT39" s="3">
        <v>2.0171252992692406</v>
      </c>
      <c r="AU39" s="3">
        <v>2.6252510639492432</v>
      </c>
    </row>
    <row r="40" spans="1:47" x14ac:dyDescent="0.25">
      <c r="A40">
        <v>2012.375</v>
      </c>
      <c r="B40">
        <v>5</v>
      </c>
      <c r="C40" s="3">
        <v>3.3148665312692316</v>
      </c>
      <c r="D40">
        <v>15.594797021168862</v>
      </c>
      <c r="G40" s="3">
        <v>3.3148665312692316</v>
      </c>
      <c r="H40" s="3">
        <v>2.7316463550692207</v>
      </c>
      <c r="I40" s="3">
        <v>2.9837590889692205</v>
      </c>
      <c r="J40" s="3">
        <v>0.95535216508924714</v>
      </c>
      <c r="K40" s="3">
        <v>1.7700253141892386</v>
      </c>
      <c r="L40" s="3">
        <v>2.882561274810246</v>
      </c>
      <c r="M40" s="3">
        <v>4.0480641576192209</v>
      </c>
      <c r="N40" s="3">
        <v>3.3780577038692257</v>
      </c>
      <c r="O40" s="3">
        <v>3.505408443069232</v>
      </c>
      <c r="P40" s="3">
        <v>3.303517913359225</v>
      </c>
      <c r="Q40" s="3">
        <v>3.6558712369092294</v>
      </c>
      <c r="R40" s="3">
        <v>2.754497701969234</v>
      </c>
      <c r="S40" s="3">
        <v>2.994733051169236</v>
      </c>
      <c r="T40" s="3">
        <v>3.7169376469992383</v>
      </c>
      <c r="U40" s="3">
        <v>2.6917547487692408</v>
      </c>
      <c r="V40" s="3">
        <v>4.0854112138192225</v>
      </c>
      <c r="W40" s="3">
        <v>1.239910041719225</v>
      </c>
      <c r="X40" s="3">
        <v>3.7306486162292316</v>
      </c>
      <c r="Y40" s="3">
        <v>4.031058309969243</v>
      </c>
      <c r="Z40" s="3">
        <v>3.7667653419692209</v>
      </c>
      <c r="AA40" s="3">
        <v>4.2842263740692337</v>
      </c>
      <c r="AB40" s="3">
        <v>5.3692223996192361</v>
      </c>
      <c r="AC40" s="3">
        <v>5.3632401589792407</v>
      </c>
      <c r="AD40" s="3">
        <v>3.3288297101692361</v>
      </c>
      <c r="AE40" s="3">
        <v>2.1367981933692386</v>
      </c>
      <c r="AF40" s="3">
        <v>1.1052457697692384</v>
      </c>
      <c r="AG40" s="3">
        <v>-0.48756181103076601</v>
      </c>
      <c r="AH40" s="3">
        <v>-2.6477017098307662</v>
      </c>
      <c r="AI40" s="3">
        <v>-3.3208245141307722</v>
      </c>
      <c r="AJ40" s="3">
        <v>-2.4654593805307572</v>
      </c>
      <c r="AK40" s="3">
        <v>1.0901500019244892E-2</v>
      </c>
      <c r="AL40" s="3">
        <v>-0.44134536233076377</v>
      </c>
      <c r="AM40" s="3">
        <v>0.55891123916923846</v>
      </c>
      <c r="AN40" s="3">
        <v>1.2312497751892382</v>
      </c>
      <c r="AO40" s="3">
        <v>1.1174872949192272</v>
      </c>
      <c r="AP40" s="3">
        <v>1.0325521682292274</v>
      </c>
      <c r="AQ40" s="3">
        <v>2.8559780762592273</v>
      </c>
      <c r="AR40" s="3">
        <v>3.3982535946892316</v>
      </c>
      <c r="AS40" s="3">
        <v>3.7437798352422273</v>
      </c>
      <c r="AT40" s="3">
        <v>3.1401515433092211</v>
      </c>
      <c r="AU40" s="3">
        <v>2.3256610174192414</v>
      </c>
    </row>
    <row r="41" spans="1:47" x14ac:dyDescent="0.25">
      <c r="A41">
        <v>2013.375</v>
      </c>
      <c r="B41">
        <v>5</v>
      </c>
      <c r="C41" s="3">
        <v>2.6100064923692252</v>
      </c>
      <c r="D41">
        <v>15.449788461853791</v>
      </c>
      <c r="G41" s="3">
        <v>2.6100064923692252</v>
      </c>
      <c r="H41" s="3">
        <v>2.4413346113592227</v>
      </c>
      <c r="I41" s="3">
        <v>1.7311234118592274</v>
      </c>
      <c r="J41" s="3">
        <v>1.2031396460692443</v>
      </c>
      <c r="K41" s="3">
        <v>0.36910590186924719</v>
      </c>
      <c r="L41" s="3">
        <v>0.81033411676924127</v>
      </c>
      <c r="M41" s="3">
        <v>1.2795358532692251</v>
      </c>
      <c r="N41" s="3">
        <v>1.5053767653692383</v>
      </c>
      <c r="O41" s="3">
        <v>3.135958294269245</v>
      </c>
      <c r="P41" s="3">
        <v>3.1158533679692386</v>
      </c>
      <c r="Q41" s="3">
        <v>3.1915599164692323</v>
      </c>
      <c r="R41" s="3">
        <v>2.4713739030692272</v>
      </c>
      <c r="S41" s="3">
        <v>3.3148665312692316</v>
      </c>
      <c r="T41" s="3">
        <v>2.7316463550692207</v>
      </c>
      <c r="U41" s="3">
        <v>2.9837590889692205</v>
      </c>
      <c r="V41" s="3">
        <v>0.95535216508924714</v>
      </c>
      <c r="W41" s="3">
        <v>1.7700253141892386</v>
      </c>
      <c r="X41" s="3">
        <v>2.882561274810246</v>
      </c>
      <c r="Y41" s="3">
        <v>4.0480641576192209</v>
      </c>
      <c r="Z41" s="3">
        <v>3.3780577038692257</v>
      </c>
      <c r="AA41" s="3">
        <v>3.505408443069232</v>
      </c>
      <c r="AB41" s="3">
        <v>3.303517913359225</v>
      </c>
      <c r="AC41" s="3">
        <v>3.6558712369092294</v>
      </c>
      <c r="AD41" s="3">
        <v>2.754497701969234</v>
      </c>
      <c r="AE41" s="3">
        <v>2.994733051169236</v>
      </c>
      <c r="AF41" s="3">
        <v>3.7169376469992383</v>
      </c>
      <c r="AG41" s="3">
        <v>2.6917547487692408</v>
      </c>
      <c r="AH41" s="3">
        <v>4.0854112138192225</v>
      </c>
      <c r="AI41" s="3">
        <v>1.239910041719225</v>
      </c>
      <c r="AJ41" s="3">
        <v>3.7306486162292316</v>
      </c>
      <c r="AK41" s="3">
        <v>4.031058309969243</v>
      </c>
      <c r="AL41" s="3">
        <v>3.7667653419692209</v>
      </c>
      <c r="AM41" s="3">
        <v>4.2842263740692337</v>
      </c>
      <c r="AN41" s="3">
        <v>5.3692223996192361</v>
      </c>
      <c r="AO41" s="3">
        <v>5.3632401589792407</v>
      </c>
      <c r="AP41" s="3">
        <v>3.3288297101692361</v>
      </c>
      <c r="AQ41" s="3">
        <v>2.1367981933692386</v>
      </c>
      <c r="AR41" s="3">
        <v>1.1052457697692384</v>
      </c>
      <c r="AS41" s="3">
        <v>-0.48756181103076601</v>
      </c>
      <c r="AT41" s="3">
        <v>-2.6477017098307662</v>
      </c>
      <c r="AU41" s="3">
        <v>-3.3208245141307722</v>
      </c>
    </row>
    <row r="42" spans="1:47" x14ac:dyDescent="0.25">
      <c r="A42">
        <v>2014.375</v>
      </c>
      <c r="B42">
        <v>5</v>
      </c>
      <c r="C42" s="3">
        <v>1.4034630548992453</v>
      </c>
      <c r="D42">
        <v>15.441079866004722</v>
      </c>
      <c r="G42" s="3">
        <v>1.4034630548992453</v>
      </c>
      <c r="H42" s="3">
        <v>0.41214923718922075</v>
      </c>
      <c r="I42" s="3">
        <v>0.28743131410924311</v>
      </c>
      <c r="J42" s="3">
        <v>1.0879898171392406</v>
      </c>
      <c r="K42" s="3">
        <v>-0.77898724903076388</v>
      </c>
      <c r="L42" s="3">
        <v>1.0610023320692252</v>
      </c>
      <c r="M42" s="3">
        <v>2.2475169349192448</v>
      </c>
      <c r="N42" s="3">
        <v>1.7144541562192339</v>
      </c>
      <c r="O42" s="3">
        <v>1.7441879054492251</v>
      </c>
      <c r="P42" s="3">
        <v>2.441292262069223</v>
      </c>
      <c r="Q42" s="3">
        <v>3.4288168388092322</v>
      </c>
      <c r="R42" s="3">
        <v>3.176564167829234</v>
      </c>
      <c r="S42" s="3">
        <v>2.6100064923692252</v>
      </c>
      <c r="T42" s="3">
        <v>2.4413346113592227</v>
      </c>
      <c r="U42" s="3">
        <v>1.7311234118592274</v>
      </c>
      <c r="V42" s="3">
        <v>1.2031396460692443</v>
      </c>
      <c r="W42" s="3">
        <v>0.36910590186924719</v>
      </c>
      <c r="X42" s="3">
        <v>0.81033411676924127</v>
      </c>
      <c r="Y42" s="3">
        <v>1.2795358532692251</v>
      </c>
      <c r="Z42" s="3">
        <v>1.5053767653692383</v>
      </c>
      <c r="AA42" s="3">
        <v>3.135958294269245</v>
      </c>
      <c r="AB42" s="3">
        <v>3.1158533679692386</v>
      </c>
      <c r="AC42" s="3">
        <v>3.1915599164692323</v>
      </c>
      <c r="AD42" s="3">
        <v>2.4713739030692272</v>
      </c>
      <c r="AE42" s="3">
        <v>3.3148665312692316</v>
      </c>
      <c r="AF42" s="3">
        <v>2.7316463550692207</v>
      </c>
      <c r="AG42" s="3">
        <v>2.9837590889692205</v>
      </c>
      <c r="AH42" s="3">
        <v>0.95535216508924714</v>
      </c>
      <c r="AI42" s="3">
        <v>1.7700253141892386</v>
      </c>
      <c r="AJ42" s="3">
        <v>2.882561274810246</v>
      </c>
      <c r="AK42" s="3">
        <v>4.0480641576192209</v>
      </c>
      <c r="AL42" s="3">
        <v>3.3780577038692257</v>
      </c>
      <c r="AM42" s="3">
        <v>3.505408443069232</v>
      </c>
      <c r="AN42" s="3">
        <v>3.303517913359225</v>
      </c>
      <c r="AO42" s="3">
        <v>3.6558712369092294</v>
      </c>
      <c r="AP42" s="3">
        <v>2.754497701969234</v>
      </c>
      <c r="AQ42" s="3">
        <v>2.994733051169236</v>
      </c>
      <c r="AR42" s="3">
        <v>3.7169376469992383</v>
      </c>
      <c r="AS42" s="3">
        <v>2.6917547487692408</v>
      </c>
      <c r="AT42" s="3">
        <v>4.0854112138192225</v>
      </c>
      <c r="AU42" s="3">
        <v>1.239910041719225</v>
      </c>
    </row>
    <row r="43" spans="1:47" x14ac:dyDescent="0.25">
      <c r="A43">
        <v>2015.375</v>
      </c>
      <c r="B43">
        <v>5</v>
      </c>
      <c r="C43" s="3">
        <v>-3.0684870940772491E-2</v>
      </c>
      <c r="D43">
        <v>15.956467236092841</v>
      </c>
      <c r="G43" s="3">
        <v>-3.0684870940772491E-2</v>
      </c>
      <c r="H43" s="3">
        <v>0.45460829456923418</v>
      </c>
      <c r="I43" s="3">
        <v>3.5930787669227304E-2</v>
      </c>
      <c r="J43" s="3">
        <v>-1.4061045382307595</v>
      </c>
      <c r="K43" s="3">
        <v>-2.1196752670907553</v>
      </c>
      <c r="L43" s="3">
        <v>-2.2526105113207597</v>
      </c>
      <c r="M43" s="3">
        <v>-1.2621451354507678</v>
      </c>
      <c r="N43" s="3">
        <v>-0.56983358888077473</v>
      </c>
      <c r="O43" s="3">
        <v>0.10178133444922077</v>
      </c>
      <c r="P43" s="3">
        <v>0.71163629737922962</v>
      </c>
      <c r="Q43" s="3">
        <v>1.2302889477092382</v>
      </c>
      <c r="R43" s="3">
        <v>1.5207169755392274</v>
      </c>
      <c r="S43" s="3">
        <v>1.4034630548992453</v>
      </c>
      <c r="T43" s="3">
        <v>0.41214923718922075</v>
      </c>
      <c r="U43" s="3">
        <v>0.28743131410924311</v>
      </c>
      <c r="V43" s="3">
        <v>1.0879898171392406</v>
      </c>
      <c r="W43" s="3">
        <v>-0.77898724903076388</v>
      </c>
      <c r="X43" s="3">
        <v>1.0610023320692252</v>
      </c>
      <c r="Y43" s="3">
        <v>2.2475169349192448</v>
      </c>
      <c r="Z43" s="3">
        <v>1.7144541562192339</v>
      </c>
      <c r="AA43" s="3">
        <v>1.7441879054492251</v>
      </c>
      <c r="AB43" s="3">
        <v>2.441292262069223</v>
      </c>
      <c r="AC43" s="3">
        <v>3.4288168388092322</v>
      </c>
      <c r="AD43" s="3">
        <v>3.176564167829234</v>
      </c>
      <c r="AE43" s="3">
        <v>2.6100064923692252</v>
      </c>
      <c r="AF43" s="3">
        <v>2.4413346113592227</v>
      </c>
      <c r="AG43" s="3">
        <v>1.7311234118592274</v>
      </c>
      <c r="AH43" s="3">
        <v>1.2031396460692443</v>
      </c>
      <c r="AI43" s="3">
        <v>0.36910590186924719</v>
      </c>
      <c r="AJ43" s="3">
        <v>0.81033411676924127</v>
      </c>
      <c r="AK43" s="3">
        <v>1.2795358532692251</v>
      </c>
      <c r="AL43" s="3">
        <v>1.5053767653692383</v>
      </c>
      <c r="AM43" s="3">
        <v>3.135958294269245</v>
      </c>
      <c r="AN43" s="3">
        <v>3.1158533679692386</v>
      </c>
      <c r="AO43" s="3">
        <v>3.1915599164692323</v>
      </c>
      <c r="AP43" s="3">
        <v>2.4713739030692272</v>
      </c>
      <c r="AQ43" s="3">
        <v>3.3148665312692316</v>
      </c>
      <c r="AR43" s="3">
        <v>2.7316463550692207</v>
      </c>
      <c r="AS43" s="3">
        <v>2.9837590889692205</v>
      </c>
      <c r="AT43" s="3">
        <v>0.95535216508924714</v>
      </c>
      <c r="AU43" s="3">
        <v>1.7700253141892386</v>
      </c>
    </row>
    <row r="44" spans="1:47" x14ac:dyDescent="0.25">
      <c r="A44">
        <v>2016.375</v>
      </c>
      <c r="B44">
        <v>5</v>
      </c>
      <c r="C44" s="3">
        <v>-3.6238594620772724E-2</v>
      </c>
      <c r="D44">
        <v>16.107221667702962</v>
      </c>
      <c r="G44" s="3">
        <v>-3.6238594620772724E-2</v>
      </c>
      <c r="H44" s="3">
        <v>-1.9728460609507639</v>
      </c>
      <c r="I44" s="3">
        <v>-2.3126394715807717</v>
      </c>
      <c r="J44" s="3">
        <v>-4.0803512152507615</v>
      </c>
      <c r="K44" s="3">
        <v>-5.0763222569207516</v>
      </c>
      <c r="L44" s="3">
        <v>-3.4209596195307723</v>
      </c>
      <c r="M44" s="3">
        <v>-1.3308764840307548</v>
      </c>
      <c r="N44" s="3">
        <v>-3.1528870372307658</v>
      </c>
      <c r="O44" s="3">
        <v>-1.9948764680307747</v>
      </c>
      <c r="P44" s="3">
        <v>-1.5252614967307725</v>
      </c>
      <c r="Q44" s="3">
        <v>-1.6149105574307594</v>
      </c>
      <c r="R44" s="3">
        <v>-0.92363914943077907</v>
      </c>
      <c r="S44" s="3">
        <v>-3.0684870940772491E-2</v>
      </c>
      <c r="T44" s="3">
        <v>0.45460829456923418</v>
      </c>
      <c r="U44" s="3">
        <v>3.5930787669227304E-2</v>
      </c>
      <c r="V44" s="3">
        <v>-1.4061045382307595</v>
      </c>
      <c r="W44" s="3">
        <v>-2.1196752670907553</v>
      </c>
      <c r="X44" s="3">
        <v>-2.2526105113207597</v>
      </c>
      <c r="Y44" s="3">
        <v>-1.2621451354507678</v>
      </c>
      <c r="Z44" s="3">
        <v>-0.56983358888077473</v>
      </c>
      <c r="AA44" s="3">
        <v>0.10178133444922077</v>
      </c>
      <c r="AB44" s="3">
        <v>0.71163629737922962</v>
      </c>
      <c r="AC44" s="3">
        <v>1.2302889477092382</v>
      </c>
      <c r="AD44" s="3">
        <v>1.5207169755392274</v>
      </c>
      <c r="AE44" s="3">
        <v>1.4034630548992453</v>
      </c>
      <c r="AF44" s="3">
        <v>0.41214923718922075</v>
      </c>
      <c r="AG44" s="3">
        <v>0.28743131410924311</v>
      </c>
      <c r="AH44" s="3">
        <v>1.0879898171392406</v>
      </c>
      <c r="AI44" s="3">
        <v>-0.77898724903076388</v>
      </c>
      <c r="AJ44" s="3">
        <v>1.0610023320692252</v>
      </c>
      <c r="AK44" s="3">
        <v>2.2475169349192448</v>
      </c>
      <c r="AL44" s="3">
        <v>1.7144541562192339</v>
      </c>
      <c r="AM44" s="3">
        <v>1.7441879054492251</v>
      </c>
      <c r="AN44" s="3">
        <v>2.441292262069223</v>
      </c>
      <c r="AO44" s="3">
        <v>3.4288168388092322</v>
      </c>
      <c r="AP44" s="3">
        <v>3.176564167829234</v>
      </c>
      <c r="AQ44" s="3">
        <v>2.6100064923692252</v>
      </c>
      <c r="AR44" s="3">
        <v>2.4413346113592227</v>
      </c>
      <c r="AS44" s="3">
        <v>1.7311234118592274</v>
      </c>
      <c r="AT44" s="3">
        <v>1.2031396460692443</v>
      </c>
      <c r="AU44" s="3">
        <v>0.36910590186924719</v>
      </c>
    </row>
    <row r="45" spans="1:47" x14ac:dyDescent="0.25">
      <c r="A45">
        <v>2017.375</v>
      </c>
      <c r="B45">
        <v>5</v>
      </c>
      <c r="C45" s="3">
        <v>0.6355308827592252</v>
      </c>
      <c r="D45">
        <v>16.336515690604926</v>
      </c>
      <c r="G45" s="3">
        <v>0.6355308827592252</v>
      </c>
      <c r="H45" s="3">
        <v>0.2263728185012383</v>
      </c>
      <c r="I45" s="3">
        <v>0.75269428361922963</v>
      </c>
      <c r="J45" s="3">
        <v>0.10561636126922933</v>
      </c>
      <c r="K45" s="3">
        <v>0.53788867355923242</v>
      </c>
      <c r="L45" s="3">
        <v>1.3136739487692362</v>
      </c>
      <c r="M45" s="3">
        <v>0.48803656106923615</v>
      </c>
      <c r="N45" s="3">
        <v>0.91796129348923017</v>
      </c>
      <c r="O45" s="3">
        <v>2.3205943892092407</v>
      </c>
      <c r="P45" s="3">
        <v>2.8199650322192427</v>
      </c>
      <c r="Q45" s="3">
        <v>2.6337997278192273</v>
      </c>
      <c r="R45" s="3">
        <v>1.1669819309692406</v>
      </c>
      <c r="S45" s="3">
        <v>-3.6238594620772724E-2</v>
      </c>
      <c r="T45" s="3">
        <v>-1.9728460609507639</v>
      </c>
      <c r="U45" s="3">
        <v>-2.3126394715807717</v>
      </c>
      <c r="V45" s="3">
        <v>-4.0803512152507615</v>
      </c>
      <c r="W45" s="3">
        <v>-5.0763222569207516</v>
      </c>
      <c r="X45" s="3">
        <v>-3.4209596195307723</v>
      </c>
      <c r="Y45" s="3">
        <v>-1.3308764840307548</v>
      </c>
      <c r="Z45" s="3">
        <v>-3.1528870372307658</v>
      </c>
      <c r="AA45" s="3">
        <v>-1.9948764680307747</v>
      </c>
      <c r="AB45" s="3">
        <v>-1.5252614967307725</v>
      </c>
      <c r="AC45" s="3">
        <v>-1.6149105574307594</v>
      </c>
      <c r="AD45" s="3">
        <v>-0.92363914943077907</v>
      </c>
      <c r="AE45" s="3">
        <v>-3.0684870940772491E-2</v>
      </c>
      <c r="AF45" s="3">
        <v>0.45460829456923418</v>
      </c>
      <c r="AG45" s="3">
        <v>3.5930787669227304E-2</v>
      </c>
      <c r="AH45" s="3">
        <v>-1.4061045382307595</v>
      </c>
      <c r="AI45" s="3">
        <v>-2.1196752670907553</v>
      </c>
      <c r="AJ45" s="3">
        <v>-2.2526105113207597</v>
      </c>
      <c r="AK45" s="3">
        <v>-1.2621451354507678</v>
      </c>
      <c r="AL45" s="3">
        <v>-0.56983358888077473</v>
      </c>
      <c r="AM45" s="3">
        <v>0.10178133444922077</v>
      </c>
      <c r="AN45" s="3">
        <v>0.71163629737922962</v>
      </c>
      <c r="AO45" s="3">
        <v>1.2302889477092382</v>
      </c>
      <c r="AP45" s="3">
        <v>1.5207169755392274</v>
      </c>
      <c r="AQ45" s="3">
        <v>1.4034630548992453</v>
      </c>
      <c r="AR45" s="3">
        <v>0.41214923718922075</v>
      </c>
      <c r="AS45" s="3">
        <v>0.28743131410924311</v>
      </c>
      <c r="AT45" s="3">
        <v>1.0879898171392406</v>
      </c>
      <c r="AU45" s="3">
        <v>-0.77898724903076388</v>
      </c>
    </row>
    <row r="46" spans="1:47" x14ac:dyDescent="0.25">
      <c r="A46">
        <v>2018.375</v>
      </c>
      <c r="B46">
        <v>5</v>
      </c>
      <c r="C46" s="3">
        <v>2.0574152523692271</v>
      </c>
      <c r="D46">
        <v>15.624505992737458</v>
      </c>
      <c r="G46" s="3">
        <v>2.0574152523692271</v>
      </c>
      <c r="H46" s="3">
        <v>2.057989922469234</v>
      </c>
      <c r="I46" s="3">
        <v>2.4866597172692426</v>
      </c>
      <c r="J46" s="3">
        <v>1.7138665980692449</v>
      </c>
      <c r="K46" s="3">
        <v>9.4529943569231722E-2</v>
      </c>
      <c r="L46" s="3">
        <v>0.60212085066922516</v>
      </c>
      <c r="M46" s="3">
        <v>2.3005714547692206</v>
      </c>
      <c r="N46" s="3">
        <v>2.2583431590692404</v>
      </c>
      <c r="O46" s="3">
        <v>1.6955769090092339</v>
      </c>
      <c r="P46" s="3">
        <v>2.0752345825592298</v>
      </c>
      <c r="Q46" s="3">
        <v>2.4774201739092447</v>
      </c>
      <c r="R46" s="3">
        <v>0.86056713492922976</v>
      </c>
      <c r="S46" s="3">
        <v>0.6355308827592252</v>
      </c>
      <c r="T46" s="3">
        <v>0.2263728185012383</v>
      </c>
      <c r="U46" s="3">
        <v>0.75269428361922963</v>
      </c>
      <c r="V46" s="3">
        <v>0.10561636126922933</v>
      </c>
      <c r="W46" s="3">
        <v>0.53788867355923242</v>
      </c>
      <c r="X46" s="3">
        <v>1.3136739487692362</v>
      </c>
      <c r="Y46" s="3">
        <v>0.48803656106923615</v>
      </c>
      <c r="Z46" s="3">
        <v>0.91796129348923017</v>
      </c>
      <c r="AA46" s="3">
        <v>2.3205943892092407</v>
      </c>
      <c r="AB46" s="3">
        <v>2.8199650322192427</v>
      </c>
      <c r="AC46" s="3">
        <v>2.6337997278192273</v>
      </c>
      <c r="AD46" s="3">
        <v>1.1669819309692406</v>
      </c>
      <c r="AE46" s="3">
        <v>-3.6238594620772724E-2</v>
      </c>
      <c r="AF46" s="3">
        <v>-1.9728460609507639</v>
      </c>
      <c r="AG46" s="3">
        <v>-2.3126394715807717</v>
      </c>
      <c r="AH46" s="3">
        <v>-4.0803512152507615</v>
      </c>
      <c r="AI46" s="3">
        <v>-5.0763222569207516</v>
      </c>
      <c r="AJ46" s="3">
        <v>-3.4209596195307723</v>
      </c>
      <c r="AK46" s="3">
        <v>-1.3308764840307548</v>
      </c>
      <c r="AL46" s="3">
        <v>-3.1528870372307658</v>
      </c>
      <c r="AM46" s="3">
        <v>-1.9948764680307747</v>
      </c>
      <c r="AN46" s="3">
        <v>-1.5252614967307725</v>
      </c>
      <c r="AO46" s="3">
        <v>-1.6149105574307594</v>
      </c>
      <c r="AP46" s="3">
        <v>-0.92363914943077907</v>
      </c>
      <c r="AQ46" s="3">
        <v>-3.0684870940772491E-2</v>
      </c>
      <c r="AR46" s="3">
        <v>0.45460829456923418</v>
      </c>
      <c r="AS46" s="3">
        <v>3.5930787669227304E-2</v>
      </c>
      <c r="AT46" s="3">
        <v>-1.4061045382307595</v>
      </c>
      <c r="AU46" s="3">
        <v>-2.1196752670907553</v>
      </c>
    </row>
    <row r="47" spans="1:47" x14ac:dyDescent="0.25">
      <c r="A47">
        <v>2019.375</v>
      </c>
      <c r="B47">
        <v>5</v>
      </c>
      <c r="C47" s="3">
        <v>0.16846339816923617</v>
      </c>
      <c r="D47">
        <v>16.552086797548142</v>
      </c>
      <c r="G47" s="3">
        <v>0.16846339816923617</v>
      </c>
      <c r="H47" s="3">
        <v>-0.47616772613075503</v>
      </c>
      <c r="I47" s="3">
        <v>-0.53457451533077904</v>
      </c>
      <c r="J47" s="3">
        <v>0.49570576106923198</v>
      </c>
      <c r="K47" s="3">
        <v>-1.7311455758407726</v>
      </c>
      <c r="L47" s="3">
        <v>-0.96561260333077037</v>
      </c>
      <c r="M47" s="3">
        <v>-0.49344882973076382</v>
      </c>
      <c r="N47" s="3">
        <v>-0.57542024343075715</v>
      </c>
      <c r="O47" s="3">
        <v>0.80345345206922736</v>
      </c>
      <c r="P47" s="3">
        <v>1.1295069963692277</v>
      </c>
      <c r="Q47" s="3">
        <v>2.2252832571692274</v>
      </c>
      <c r="R47" s="3">
        <v>1.4889856663692449</v>
      </c>
      <c r="S47" s="3">
        <v>2.0574152523692271</v>
      </c>
      <c r="T47" s="3">
        <v>2.057989922469234</v>
      </c>
      <c r="U47" s="3">
        <v>2.4866597172692426</v>
      </c>
      <c r="V47" s="3">
        <v>1.7138665980692449</v>
      </c>
      <c r="W47" s="3">
        <v>9.4529943569231722E-2</v>
      </c>
      <c r="X47" s="3">
        <v>0.60212085066922516</v>
      </c>
      <c r="Y47" s="3">
        <v>2.3005714547692206</v>
      </c>
      <c r="Z47" s="3">
        <v>2.2583431590692404</v>
      </c>
      <c r="AA47" s="3">
        <v>1.6955769090092339</v>
      </c>
      <c r="AB47" s="3">
        <v>2.0752345825592298</v>
      </c>
      <c r="AC47" s="3">
        <v>2.4774201739092447</v>
      </c>
      <c r="AD47" s="3">
        <v>0.86056713492922976</v>
      </c>
      <c r="AE47" s="3">
        <v>0.6355308827592252</v>
      </c>
      <c r="AF47" s="3">
        <v>0.2263728185012383</v>
      </c>
      <c r="AG47" s="3">
        <v>0.75269428361922963</v>
      </c>
      <c r="AH47" s="3">
        <v>0.10561636126922933</v>
      </c>
      <c r="AI47" s="3">
        <v>0.53788867355923242</v>
      </c>
      <c r="AJ47" s="3">
        <v>1.3136739487692362</v>
      </c>
      <c r="AK47" s="3">
        <v>0.48803656106923615</v>
      </c>
      <c r="AL47" s="3">
        <v>0.91796129348923017</v>
      </c>
      <c r="AM47" s="3">
        <v>2.3205943892092407</v>
      </c>
      <c r="AN47" s="3">
        <v>2.8199650322192427</v>
      </c>
      <c r="AO47" s="3">
        <v>2.6337997278192273</v>
      </c>
      <c r="AP47" s="3">
        <v>1.1669819309692406</v>
      </c>
      <c r="AQ47" s="3">
        <v>-3.6238594620772724E-2</v>
      </c>
      <c r="AR47" s="3">
        <v>-1.9728460609507639</v>
      </c>
      <c r="AS47" s="3">
        <v>-2.3126394715807717</v>
      </c>
      <c r="AT47" s="3">
        <v>-4.0803512152507615</v>
      </c>
      <c r="AU47" s="3">
        <v>-5.0763222569207516</v>
      </c>
    </row>
    <row r="48" spans="1:47" x14ac:dyDescent="0.25">
      <c r="A48">
        <v>2020.375</v>
      </c>
      <c r="B48">
        <v>5</v>
      </c>
      <c r="C48" s="3">
        <v>0.94188844476923839</v>
      </c>
      <c r="D48">
        <v>16.562603156870754</v>
      </c>
      <c r="G48" s="3">
        <v>0.94188844476923839</v>
      </c>
      <c r="H48" s="3">
        <v>1.418113753069234</v>
      </c>
      <c r="I48" s="3">
        <v>2.890156064869227</v>
      </c>
      <c r="J48" s="3">
        <v>0.72176298916923387</v>
      </c>
      <c r="K48" s="3">
        <v>0.50067563736922516</v>
      </c>
      <c r="L48" s="3">
        <v>-1.2565737220307747</v>
      </c>
      <c r="M48" s="3">
        <v>-1.0369431740307637</v>
      </c>
      <c r="N48" s="3">
        <v>0.70103079876923413</v>
      </c>
      <c r="O48" s="3">
        <v>0.37751908686922514</v>
      </c>
      <c r="P48" s="3">
        <v>0.59593210106922745</v>
      </c>
      <c r="Q48" s="3">
        <v>0.41449108666922962</v>
      </c>
      <c r="R48" s="3">
        <v>0.73665835736922736</v>
      </c>
      <c r="S48" s="3">
        <v>0.16846339816923617</v>
      </c>
      <c r="T48" s="3">
        <v>-0.47616772613075503</v>
      </c>
      <c r="U48" s="3">
        <v>-0.53457451533077904</v>
      </c>
      <c r="V48" s="3">
        <v>0.49570576106923198</v>
      </c>
      <c r="W48" s="3">
        <v>-1.7311455758407726</v>
      </c>
      <c r="X48" s="3">
        <v>-0.96561260333077037</v>
      </c>
      <c r="Y48" s="3">
        <v>-0.49344882973076382</v>
      </c>
      <c r="Z48" s="3">
        <v>-0.57542024343075715</v>
      </c>
      <c r="AA48" s="3">
        <v>0.80345345206922736</v>
      </c>
      <c r="AB48" s="3">
        <v>1.1295069963692277</v>
      </c>
      <c r="AC48" s="3">
        <v>2.2252832571692274</v>
      </c>
      <c r="AD48" s="3">
        <v>1.4889856663692449</v>
      </c>
      <c r="AE48" s="3">
        <v>2.0574152523692271</v>
      </c>
      <c r="AF48" s="3">
        <v>2.057989922469234</v>
      </c>
      <c r="AG48" s="3">
        <v>2.4866597172692426</v>
      </c>
      <c r="AH48" s="3">
        <v>1.7138665980692449</v>
      </c>
      <c r="AI48" s="3">
        <v>9.4529943569231722E-2</v>
      </c>
      <c r="AJ48" s="3">
        <v>0.60212085066922516</v>
      </c>
      <c r="AK48" s="3">
        <v>2.3005714547692206</v>
      </c>
      <c r="AL48" s="3">
        <v>2.2583431590692404</v>
      </c>
      <c r="AM48" s="3">
        <v>1.6955769090092339</v>
      </c>
      <c r="AN48" s="3">
        <v>2.0752345825592298</v>
      </c>
      <c r="AO48" s="3">
        <v>2.4774201739092447</v>
      </c>
      <c r="AP48" s="3">
        <v>0.86056713492922976</v>
      </c>
      <c r="AQ48" s="3">
        <v>0.6355308827592252</v>
      </c>
      <c r="AR48" s="3">
        <v>0.2263728185012383</v>
      </c>
      <c r="AS48" s="3">
        <v>0.75269428361922963</v>
      </c>
      <c r="AT48" s="3">
        <v>0.10561636126922933</v>
      </c>
      <c r="AU48" s="3">
        <v>0.53788867355923242</v>
      </c>
    </row>
    <row r="49" spans="1:47" x14ac:dyDescent="0.25">
      <c r="A49">
        <v>2021.375</v>
      </c>
      <c r="B49">
        <v>5</v>
      </c>
      <c r="C49" s="3">
        <v>3.013470621229243</v>
      </c>
      <c r="D49">
        <v>15.812689343675405</v>
      </c>
      <c r="G49" s="3">
        <v>3.013470621229243</v>
      </c>
      <c r="H49" s="3">
        <v>3.4358862912692407</v>
      </c>
      <c r="I49" s="3">
        <v>4.1419505337292053</v>
      </c>
      <c r="J49" s="3">
        <v>1.6625542466692296</v>
      </c>
      <c r="K49" s="3">
        <v>0.56966047319922519</v>
      </c>
      <c r="L49" s="3">
        <v>7.4266250269225065E-2</v>
      </c>
      <c r="M49" s="3">
        <v>2.7389921961692316</v>
      </c>
      <c r="N49" s="3">
        <v>2.6532131311692275</v>
      </c>
      <c r="O49" s="3">
        <v>2.7449835301692338</v>
      </c>
      <c r="P49" s="3">
        <v>2.4282919043692339</v>
      </c>
      <c r="Q49" s="3">
        <v>2.4569034265692382</v>
      </c>
      <c r="R49" s="3">
        <v>1.9575282925692208</v>
      </c>
      <c r="S49" s="3">
        <v>0.94188844476923839</v>
      </c>
      <c r="T49" s="3">
        <v>1.418113753069234</v>
      </c>
      <c r="U49" s="3">
        <v>2.890156064869227</v>
      </c>
      <c r="V49" s="3">
        <v>0.72176298916923387</v>
      </c>
      <c r="W49" s="3">
        <v>0.50067563736922516</v>
      </c>
      <c r="X49" s="3">
        <v>-1.2565737220307747</v>
      </c>
      <c r="Y49" s="3">
        <v>-1.0369431740307637</v>
      </c>
      <c r="Z49" s="3">
        <v>0.70103079876923413</v>
      </c>
      <c r="AA49" s="3">
        <v>0.37751908686922514</v>
      </c>
      <c r="AB49" s="3">
        <v>0.59593210106922745</v>
      </c>
      <c r="AC49" s="3">
        <v>0.41449108666922962</v>
      </c>
      <c r="AD49" s="3">
        <v>0.73665835736922736</v>
      </c>
      <c r="AE49" s="3">
        <v>0.16846339816923617</v>
      </c>
      <c r="AF49" s="3">
        <v>-0.47616772613075503</v>
      </c>
      <c r="AG49" s="3">
        <v>-0.53457451533077904</v>
      </c>
      <c r="AH49" s="3">
        <v>0.49570576106923198</v>
      </c>
      <c r="AI49" s="3">
        <v>-1.7311455758407726</v>
      </c>
      <c r="AJ49" s="3">
        <v>-0.96561260333077037</v>
      </c>
      <c r="AK49" s="3">
        <v>-0.49344882973076382</v>
      </c>
      <c r="AL49" s="3">
        <v>-0.57542024343075715</v>
      </c>
      <c r="AM49" s="3">
        <v>0.80345345206922736</v>
      </c>
      <c r="AN49" s="3">
        <v>1.1295069963692277</v>
      </c>
      <c r="AO49" s="3">
        <v>2.2252832571692274</v>
      </c>
      <c r="AP49" s="3">
        <v>1.4889856663692449</v>
      </c>
      <c r="AQ49" s="3">
        <v>2.0574152523692271</v>
      </c>
      <c r="AR49" s="3">
        <v>2.057989922469234</v>
      </c>
      <c r="AS49" s="3">
        <v>2.4866597172692426</v>
      </c>
      <c r="AT49" s="3">
        <v>1.7138665980692449</v>
      </c>
      <c r="AU49" s="3">
        <v>9.4529943569231722E-2</v>
      </c>
    </row>
    <row r="50" spans="1:47" x14ac:dyDescent="0.25">
      <c r="A50">
        <v>2022.375</v>
      </c>
      <c r="B50">
        <v>5</v>
      </c>
      <c r="C50" s="3">
        <v>4.3843827266992443</v>
      </c>
      <c r="D50">
        <v>16.714282911673809</v>
      </c>
      <c r="G50" s="3">
        <v>4.3843827266992443</v>
      </c>
      <c r="H50" s="3">
        <v>3.738704460969243</v>
      </c>
      <c r="I50" s="3">
        <v>2.5391773460692382</v>
      </c>
      <c r="J50" s="3">
        <v>1.5244433762692298</v>
      </c>
      <c r="K50" s="3">
        <v>1.1166221583692315</v>
      </c>
      <c r="L50" s="3">
        <v>3.7450370694692299</v>
      </c>
      <c r="M50" s="3">
        <v>3.3026885758992401</v>
      </c>
      <c r="N50" s="3">
        <v>3.7375478410922232</v>
      </c>
      <c r="O50" s="3">
        <v>3.2127393982092203</v>
      </c>
      <c r="P50" s="3">
        <v>2.8442826277692275</v>
      </c>
      <c r="Q50" s="3">
        <v>4.163303717119228</v>
      </c>
      <c r="R50" s="3">
        <v>2.8356994875692361</v>
      </c>
      <c r="S50" s="3">
        <v>3.013470621229243</v>
      </c>
      <c r="T50" s="3">
        <v>3.4358862912692407</v>
      </c>
      <c r="U50" s="3">
        <v>4.1419505337292053</v>
      </c>
      <c r="V50" s="3">
        <v>1.6625542466692296</v>
      </c>
      <c r="W50" s="3">
        <v>0.56966047319922519</v>
      </c>
      <c r="X50" s="3">
        <v>7.4266250269225065E-2</v>
      </c>
      <c r="Y50" s="3">
        <v>2.7389921961692316</v>
      </c>
      <c r="Z50" s="3">
        <v>2.6532131311692275</v>
      </c>
      <c r="AA50" s="3">
        <v>2.7449835301692338</v>
      </c>
      <c r="AB50" s="3">
        <v>2.4282919043692339</v>
      </c>
      <c r="AC50" s="3">
        <v>2.4569034265692382</v>
      </c>
      <c r="AD50" s="3">
        <v>1.9575282925692208</v>
      </c>
      <c r="AE50" s="3">
        <v>0.94188844476923839</v>
      </c>
      <c r="AF50" s="3">
        <v>1.418113753069234</v>
      </c>
      <c r="AG50" s="3">
        <v>2.890156064869227</v>
      </c>
      <c r="AH50" s="3">
        <v>0.72176298916923387</v>
      </c>
      <c r="AI50" s="3">
        <v>0.50067563736922516</v>
      </c>
      <c r="AJ50" s="3">
        <v>-1.2565737220307747</v>
      </c>
      <c r="AK50" s="3">
        <v>-1.0369431740307637</v>
      </c>
      <c r="AL50" s="3">
        <v>0.70103079876923413</v>
      </c>
      <c r="AM50" s="3">
        <v>0.37751908686922514</v>
      </c>
      <c r="AN50" s="3">
        <v>0.59593210106922745</v>
      </c>
      <c r="AO50" s="3">
        <v>0.41449108666922962</v>
      </c>
      <c r="AP50" s="3">
        <v>0.73665835736922736</v>
      </c>
      <c r="AQ50" s="3">
        <v>0.16846339816923617</v>
      </c>
      <c r="AR50" s="3">
        <v>-0.47616772613075503</v>
      </c>
      <c r="AS50" s="3">
        <v>-0.53457451533077904</v>
      </c>
      <c r="AT50" s="3">
        <v>0.49570576106923198</v>
      </c>
      <c r="AU50" s="3">
        <v>-1.7311455758407726</v>
      </c>
    </row>
    <row r="51" spans="1:47" x14ac:dyDescent="0.25">
      <c r="A51">
        <v>2023.375</v>
      </c>
      <c r="B51">
        <v>5</v>
      </c>
      <c r="C51" s="3">
        <v>2.5315232330692252</v>
      </c>
      <c r="D51">
        <v>16.511103760107318</v>
      </c>
      <c r="G51" s="3">
        <v>2.5315232330692252</v>
      </c>
      <c r="H51" s="3">
        <v>2.4242919410692383</v>
      </c>
      <c r="I51" s="3">
        <v>3.0204558906692407</v>
      </c>
      <c r="J51" s="3">
        <v>2.5160163088692427</v>
      </c>
      <c r="K51" s="3">
        <v>0.21799792796922957</v>
      </c>
      <c r="L51" s="3">
        <v>1.0712564202692405</v>
      </c>
      <c r="M51" s="3">
        <v>3.5479114080692211</v>
      </c>
      <c r="N51" s="3">
        <v>3.5468615474692231</v>
      </c>
      <c r="O51" s="3">
        <v>3.5616315340692255</v>
      </c>
      <c r="P51" s="3">
        <v>4.1160447731392207</v>
      </c>
      <c r="Q51" s="3">
        <v>4.716440559979227</v>
      </c>
      <c r="R51" s="3">
        <v>3.4192657767092252</v>
      </c>
      <c r="S51" s="3">
        <v>4.3843827266992443</v>
      </c>
      <c r="T51" s="3">
        <v>3.738704460969243</v>
      </c>
      <c r="U51" s="3">
        <v>2.5391773460692382</v>
      </c>
      <c r="V51" s="3">
        <v>1.5244433762692298</v>
      </c>
      <c r="W51" s="3">
        <v>1.1166221583692315</v>
      </c>
      <c r="X51" s="3">
        <v>3.7450370694692299</v>
      </c>
      <c r="Y51" s="3">
        <v>3.3026885758992401</v>
      </c>
      <c r="Z51" s="3">
        <v>3.7375478410922232</v>
      </c>
      <c r="AA51" s="3">
        <v>3.2127393982092203</v>
      </c>
      <c r="AB51" s="3">
        <v>2.8442826277692275</v>
      </c>
      <c r="AC51" s="3">
        <v>4.163303717119228</v>
      </c>
      <c r="AD51" s="3">
        <v>2.8356994875692361</v>
      </c>
      <c r="AE51" s="3">
        <v>3.013470621229243</v>
      </c>
      <c r="AF51" s="3">
        <v>3.4358862912692407</v>
      </c>
      <c r="AG51" s="3">
        <v>4.1419505337292053</v>
      </c>
      <c r="AH51" s="3">
        <v>1.6625542466692296</v>
      </c>
      <c r="AI51" s="3">
        <v>0.56966047319922519</v>
      </c>
      <c r="AJ51" s="3">
        <v>7.4266250269225065E-2</v>
      </c>
      <c r="AK51" s="3">
        <v>2.7389921961692316</v>
      </c>
      <c r="AL51" s="3">
        <v>2.6532131311692275</v>
      </c>
      <c r="AM51" s="3">
        <v>2.7449835301692338</v>
      </c>
      <c r="AN51" s="3">
        <v>2.4282919043692339</v>
      </c>
      <c r="AO51" s="3">
        <v>2.4569034265692382</v>
      </c>
      <c r="AP51" s="3">
        <v>1.9575282925692208</v>
      </c>
      <c r="AQ51" s="3">
        <v>0.94188844476923839</v>
      </c>
      <c r="AR51" s="3">
        <v>1.418113753069234</v>
      </c>
      <c r="AS51" s="3">
        <v>2.890156064869227</v>
      </c>
      <c r="AT51" s="3">
        <v>0.72176298916923387</v>
      </c>
      <c r="AU51" s="3">
        <v>0.50067563736922516</v>
      </c>
    </row>
    <row r="52" spans="1:47" x14ac:dyDescent="0.25">
      <c r="A52">
        <v>2024</v>
      </c>
      <c r="D52">
        <v>15.348011859581199</v>
      </c>
      <c r="S52" s="3">
        <v>2.5315232330692252</v>
      </c>
      <c r="T52" s="3">
        <v>2.4242919410692383</v>
      </c>
      <c r="U52" s="3">
        <v>3.0204558906692407</v>
      </c>
      <c r="V52" s="3">
        <v>2.5160163088692427</v>
      </c>
      <c r="W52" s="3">
        <v>0.21799792796922957</v>
      </c>
      <c r="X52" s="3">
        <v>1.0712564202692405</v>
      </c>
      <c r="Y52" s="3">
        <v>3.5479114080692211</v>
      </c>
      <c r="Z52" s="3">
        <v>3.5468615474692231</v>
      </c>
      <c r="AA52" s="3">
        <v>3.5616315340692255</v>
      </c>
      <c r="AB52" s="3">
        <v>4.1160447731392207</v>
      </c>
      <c r="AC52" s="3">
        <v>4.716440559979227</v>
      </c>
      <c r="AD52" s="3">
        <v>3.4192657767092252</v>
      </c>
      <c r="AE52" s="3">
        <v>4.3843827266992443</v>
      </c>
      <c r="AF52" s="3">
        <v>3.738704460969243</v>
      </c>
      <c r="AG52" s="3">
        <v>2.5391773460692382</v>
      </c>
      <c r="AH52" s="3">
        <v>1.5244433762692298</v>
      </c>
      <c r="AI52" s="3">
        <v>1.1166221583692315</v>
      </c>
      <c r="AJ52" s="3">
        <v>3.7450370694692299</v>
      </c>
      <c r="AK52" s="3">
        <v>3.3026885758992401</v>
      </c>
      <c r="AL52" s="3">
        <v>3.7375478410922232</v>
      </c>
      <c r="AM52" s="3">
        <v>3.2127393982092203</v>
      </c>
      <c r="AN52" s="3">
        <v>2.8442826277692275</v>
      </c>
      <c r="AO52" s="3">
        <v>4.163303717119228</v>
      </c>
      <c r="AP52" s="3">
        <v>2.8356994875692361</v>
      </c>
      <c r="AQ52" s="3">
        <v>3.013470621229243</v>
      </c>
      <c r="AR52" s="3">
        <v>3.4358862912692407</v>
      </c>
      <c r="AS52" s="3">
        <v>4.1419505337292053</v>
      </c>
      <c r="AT52" s="3">
        <v>1.6625542466692296</v>
      </c>
      <c r="AU52" s="3">
        <v>0.56966047319922519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E8F3-CE96-45D2-8C17-C1E77539981B}">
  <dimension ref="B18:I39"/>
  <sheetViews>
    <sheetView workbookViewId="0">
      <selection activeCell="M19" sqref="M19"/>
    </sheetView>
  </sheetViews>
  <sheetFormatPr defaultRowHeight="15" x14ac:dyDescent="0.25"/>
  <sheetData>
    <row r="18" spans="2:9" x14ac:dyDescent="0.25">
      <c r="B18" t="s">
        <v>46</v>
      </c>
    </row>
    <row r="19" spans="2:9" x14ac:dyDescent="0.25">
      <c r="C19" t="s">
        <v>47</v>
      </c>
      <c r="E19" t="s">
        <v>48</v>
      </c>
      <c r="I19">
        <v>-0.62</v>
      </c>
    </row>
    <row r="20" spans="2:9" x14ac:dyDescent="0.25">
      <c r="E20" t="s">
        <v>49</v>
      </c>
    </row>
    <row r="21" spans="2:9" x14ac:dyDescent="0.25">
      <c r="C21" t="s">
        <v>50</v>
      </c>
      <c r="I21">
        <v>0.43</v>
      </c>
    </row>
    <row r="39" spans="2:2" x14ac:dyDescent="0.25">
      <c r="B39" t="s">
        <v>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71DF-CB4C-47AF-9C46-3D0A6D3FF193}">
  <dimension ref="A1:AJ271"/>
  <sheetViews>
    <sheetView topLeftCell="A243" workbookViewId="0">
      <selection activeCell="H281" sqref="H281"/>
    </sheetView>
  </sheetViews>
  <sheetFormatPr defaultRowHeight="15" x14ac:dyDescent="0.25"/>
  <cols>
    <col min="6" max="9" width="9.28515625" bestFit="1" customWidth="1"/>
    <col min="10" max="10" width="9.7109375" customWidth="1"/>
    <col min="11" max="11" width="10.7109375" customWidth="1"/>
    <col min="12" max="13" width="11.5703125" bestFit="1" customWidth="1"/>
    <col min="14" max="14" width="9.5703125" bestFit="1" customWidth="1"/>
    <col min="15" max="15" width="9.28515625" bestFit="1" customWidth="1"/>
    <col min="16" max="16" width="10.7109375" bestFit="1" customWidth="1"/>
    <col min="17" max="17" width="11.5703125" bestFit="1" customWidth="1"/>
    <col min="18" max="18" width="12.5703125" bestFit="1" customWidth="1"/>
    <col min="19" max="19" width="10.7109375" bestFit="1" customWidth="1"/>
    <col min="20" max="20" width="9.5703125" bestFit="1" customWidth="1"/>
    <col min="21" max="21" width="10.7109375" bestFit="1" customWidth="1"/>
    <col min="22" max="22" width="12" bestFit="1" customWidth="1"/>
    <col min="23" max="23" width="9.28515625" bestFit="1" customWidth="1"/>
  </cols>
  <sheetData>
    <row r="1" spans="1:18" x14ac:dyDescent="0.25">
      <c r="A1" t="s">
        <v>59</v>
      </c>
      <c r="B1" t="s">
        <v>44</v>
      </c>
    </row>
    <row r="2" spans="1:18" x14ac:dyDescent="0.25">
      <c r="B2" s="11" t="s">
        <v>60</v>
      </c>
      <c r="C2" s="11"/>
      <c r="F2" s="1"/>
    </row>
    <row r="3" spans="1:18" x14ac:dyDescent="0.25">
      <c r="B3" s="11"/>
      <c r="C3" s="1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B4" s="11"/>
      <c r="C4" s="11" t="s">
        <v>61</v>
      </c>
      <c r="K4" t="s">
        <v>62</v>
      </c>
      <c r="M4" t="s">
        <v>63</v>
      </c>
    </row>
    <row r="5" spans="1:18" x14ac:dyDescent="0.25">
      <c r="B5" s="11" t="s">
        <v>64</v>
      </c>
      <c r="C5" s="11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</row>
    <row r="6" spans="1:18" x14ac:dyDescent="0.25">
      <c r="B6">
        <v>1963</v>
      </c>
      <c r="C6">
        <v>1991859.774</v>
      </c>
      <c r="D6">
        <f t="shared" ref="D6:D67" si="0">LN(C6)</f>
        <v>14.504579320070553</v>
      </c>
    </row>
    <row r="7" spans="1:18" x14ac:dyDescent="0.25">
      <c r="B7">
        <v>1964</v>
      </c>
      <c r="C7">
        <v>2012601.398</v>
      </c>
      <c r="D7">
        <f t="shared" si="0"/>
        <v>14.514938671104998</v>
      </c>
      <c r="E7">
        <f>D7-D6</f>
        <v>1.0359351034445297E-2</v>
      </c>
      <c r="F7">
        <f>D6</f>
        <v>14.504579320070553</v>
      </c>
    </row>
    <row r="8" spans="1:18" x14ac:dyDescent="0.25">
      <c r="B8">
        <v>1965</v>
      </c>
      <c r="C8">
        <v>5170949.67</v>
      </c>
      <c r="D8">
        <f t="shared" si="0"/>
        <v>15.458566918203937</v>
      </c>
      <c r="E8">
        <f t="shared" ref="E8:E67" si="1">D8-D7</f>
        <v>0.943628247098939</v>
      </c>
      <c r="F8">
        <f t="shared" ref="F8:F67" si="2">D7</f>
        <v>14.514938671104998</v>
      </c>
      <c r="G8">
        <f>D6</f>
        <v>14.504579320070553</v>
      </c>
    </row>
    <row r="9" spans="1:18" x14ac:dyDescent="0.25">
      <c r="B9">
        <v>1966</v>
      </c>
      <c r="C9">
        <v>2903851.051</v>
      </c>
      <c r="D9">
        <f t="shared" si="0"/>
        <v>14.881548362633435</v>
      </c>
      <c r="E9">
        <f t="shared" si="1"/>
        <v>-0.5770185555705023</v>
      </c>
      <c r="F9">
        <f t="shared" si="2"/>
        <v>15.458566918203937</v>
      </c>
      <c r="G9">
        <f t="shared" ref="G9:G67" si="3">D7</f>
        <v>14.514938671104998</v>
      </c>
      <c r="H9">
        <f>D6</f>
        <v>14.504579320070553</v>
      </c>
    </row>
    <row r="10" spans="1:18" ht="15.75" thickBot="1" x14ac:dyDescent="0.3">
      <c r="B10">
        <v>1967</v>
      </c>
      <c r="C10">
        <v>1725062.7949999999</v>
      </c>
      <c r="D10" s="7">
        <f t="shared" si="0"/>
        <v>14.360774010683578</v>
      </c>
      <c r="E10" s="7">
        <f t="shared" si="1"/>
        <v>-0.52077435194985711</v>
      </c>
      <c r="F10" s="7">
        <f t="shared" si="2"/>
        <v>14.881548362633435</v>
      </c>
      <c r="G10" s="7">
        <f t="shared" si="3"/>
        <v>15.458566918203937</v>
      </c>
      <c r="H10" s="7">
        <f t="shared" ref="H10:H67" si="4">D7</f>
        <v>14.514938671104998</v>
      </c>
      <c r="I10" s="7">
        <f>D6</f>
        <v>14.504579320070553</v>
      </c>
      <c r="J10" s="7"/>
    </row>
    <row r="11" spans="1:18" x14ac:dyDescent="0.25">
      <c r="B11">
        <v>1968</v>
      </c>
      <c r="C11">
        <v>1011976.914</v>
      </c>
      <c r="D11">
        <f t="shared" si="0"/>
        <v>13.827416316316381</v>
      </c>
      <c r="E11">
        <f t="shared" si="1"/>
        <v>-0.53335769436719715</v>
      </c>
      <c r="F11">
        <f t="shared" si="2"/>
        <v>14.360774010683578</v>
      </c>
      <c r="G11">
        <f t="shared" si="3"/>
        <v>14.881548362633435</v>
      </c>
      <c r="H11">
        <f t="shared" si="4"/>
        <v>15.458566918203937</v>
      </c>
      <c r="I11">
        <f t="shared" ref="I11:I67" si="5">D7</f>
        <v>14.514938671104998</v>
      </c>
      <c r="J11">
        <f>D6</f>
        <v>14.504579320070553</v>
      </c>
      <c r="K11">
        <f>STDEV(F11:J11)</f>
        <v>0.44333365334117875</v>
      </c>
      <c r="L11">
        <f>J11</f>
        <v>14.504579320070553</v>
      </c>
      <c r="M11">
        <f t="shared" ref="M11:Q30" si="6">F11-$L11</f>
        <v>-0.14380530938697511</v>
      </c>
      <c r="N11">
        <f t="shared" si="6"/>
        <v>0.376969042562882</v>
      </c>
      <c r="O11">
        <f t="shared" si="6"/>
        <v>0.9539875981333843</v>
      </c>
      <c r="P11">
        <f t="shared" si="6"/>
        <v>1.0359351034445297E-2</v>
      </c>
      <c r="Q11">
        <f t="shared" si="6"/>
        <v>0</v>
      </c>
    </row>
    <row r="12" spans="1:18" x14ac:dyDescent="0.25">
      <c r="B12">
        <v>1969</v>
      </c>
      <c r="C12">
        <v>2016715.5</v>
      </c>
      <c r="D12">
        <f t="shared" si="0"/>
        <v>14.516980755921772</v>
      </c>
      <c r="E12">
        <f t="shared" si="1"/>
        <v>0.68956443960539104</v>
      </c>
      <c r="F12">
        <f t="shared" si="2"/>
        <v>13.827416316316381</v>
      </c>
      <c r="G12">
        <f t="shared" si="3"/>
        <v>14.360774010683578</v>
      </c>
      <c r="H12">
        <f t="shared" si="4"/>
        <v>14.881548362633435</v>
      </c>
      <c r="I12">
        <f t="shared" si="5"/>
        <v>15.458566918203937</v>
      </c>
      <c r="J12">
        <f t="shared" ref="J12:J67" si="7">D7</f>
        <v>14.514938671104998</v>
      </c>
      <c r="K12">
        <f t="shared" ref="K12:K67" si="8">STDEV(F12:J12)</f>
        <v>0.60773815741968218</v>
      </c>
      <c r="L12">
        <f t="shared" ref="L12:L67" si="9">J12</f>
        <v>14.514938671104998</v>
      </c>
      <c r="M12">
        <f t="shared" si="6"/>
        <v>-0.68752235478861756</v>
      </c>
      <c r="N12">
        <f t="shared" si="6"/>
        <v>-0.15416466042142041</v>
      </c>
      <c r="O12">
        <f t="shared" si="6"/>
        <v>0.3666096915284367</v>
      </c>
      <c r="P12">
        <f t="shared" si="6"/>
        <v>0.943628247098939</v>
      </c>
      <c r="Q12">
        <f t="shared" si="6"/>
        <v>0</v>
      </c>
    </row>
    <row r="13" spans="1:18" x14ac:dyDescent="0.25">
      <c r="B13">
        <v>1970</v>
      </c>
      <c r="C13">
        <v>1945368.9129999999</v>
      </c>
      <c r="D13">
        <f t="shared" si="0"/>
        <v>14.480962189542703</v>
      </c>
      <c r="E13">
        <f t="shared" si="1"/>
        <v>-3.6018566379068417E-2</v>
      </c>
      <c r="F13">
        <f t="shared" si="2"/>
        <v>14.516980755921772</v>
      </c>
      <c r="G13">
        <f t="shared" si="3"/>
        <v>13.827416316316381</v>
      </c>
      <c r="H13">
        <f t="shared" si="4"/>
        <v>14.360774010683578</v>
      </c>
      <c r="I13">
        <f t="shared" si="5"/>
        <v>14.881548362633435</v>
      </c>
      <c r="J13">
        <f t="shared" si="7"/>
        <v>15.458566918203937</v>
      </c>
      <c r="K13">
        <f t="shared" si="8"/>
        <v>0.60766011876154136</v>
      </c>
      <c r="L13">
        <f t="shared" si="9"/>
        <v>15.458566918203937</v>
      </c>
      <c r="M13">
        <f t="shared" si="6"/>
        <v>-0.94158616228216552</v>
      </c>
      <c r="N13">
        <f t="shared" si="6"/>
        <v>-1.6311506018875566</v>
      </c>
      <c r="O13">
        <f t="shared" si="6"/>
        <v>-1.0977929075203594</v>
      </c>
      <c r="P13">
        <f t="shared" si="6"/>
        <v>-0.5770185555705023</v>
      </c>
      <c r="Q13">
        <f t="shared" si="6"/>
        <v>0</v>
      </c>
    </row>
    <row r="14" spans="1:18" x14ac:dyDescent="0.25">
      <c r="B14">
        <v>1971</v>
      </c>
      <c r="C14">
        <v>1996100.301</v>
      </c>
      <c r="D14">
        <f t="shared" si="0"/>
        <v>14.506705985593012</v>
      </c>
      <c r="E14">
        <f t="shared" si="1"/>
        <v>2.5743796050308632E-2</v>
      </c>
      <c r="F14">
        <f t="shared" si="2"/>
        <v>14.480962189542703</v>
      </c>
      <c r="G14">
        <f t="shared" si="3"/>
        <v>14.516980755921772</v>
      </c>
      <c r="H14">
        <f t="shared" si="4"/>
        <v>13.827416316316381</v>
      </c>
      <c r="I14">
        <f t="shared" si="5"/>
        <v>14.360774010683578</v>
      </c>
      <c r="J14">
        <f t="shared" si="7"/>
        <v>14.881548362633435</v>
      </c>
      <c r="K14">
        <f t="shared" si="8"/>
        <v>0.38098647983201805</v>
      </c>
      <c r="L14">
        <f t="shared" si="9"/>
        <v>14.881548362633435</v>
      </c>
      <c r="M14">
        <f t="shared" si="6"/>
        <v>-0.40058617309073163</v>
      </c>
      <c r="N14">
        <f t="shared" si="6"/>
        <v>-0.36456760671166322</v>
      </c>
      <c r="O14">
        <f t="shared" si="6"/>
        <v>-1.0541320463170543</v>
      </c>
      <c r="P14">
        <f t="shared" si="6"/>
        <v>-0.52077435194985711</v>
      </c>
      <c r="Q14">
        <f t="shared" si="6"/>
        <v>0</v>
      </c>
    </row>
    <row r="15" spans="1:18" x14ac:dyDescent="0.25">
      <c r="B15">
        <v>1972</v>
      </c>
      <c r="C15">
        <v>1774534.9469999999</v>
      </c>
      <c r="D15">
        <f t="shared" si="0"/>
        <v>14.389048944873073</v>
      </c>
      <c r="E15">
        <f t="shared" si="1"/>
        <v>-0.11765704071993888</v>
      </c>
      <c r="F15">
        <f t="shared" si="2"/>
        <v>14.506705985593012</v>
      </c>
      <c r="G15">
        <f t="shared" si="3"/>
        <v>14.480962189542703</v>
      </c>
      <c r="H15">
        <f t="shared" si="4"/>
        <v>14.516980755921772</v>
      </c>
      <c r="I15">
        <f t="shared" si="5"/>
        <v>13.827416316316381</v>
      </c>
      <c r="J15">
        <f t="shared" si="7"/>
        <v>14.360774010683578</v>
      </c>
      <c r="K15">
        <f t="shared" si="8"/>
        <v>0.29246655771787344</v>
      </c>
      <c r="L15">
        <f t="shared" si="9"/>
        <v>14.360774010683578</v>
      </c>
      <c r="M15">
        <f t="shared" si="6"/>
        <v>0.1459319749094341</v>
      </c>
      <c r="N15">
        <f t="shared" si="6"/>
        <v>0.12018817885912547</v>
      </c>
      <c r="O15">
        <f t="shared" si="6"/>
        <v>0.15620674523819389</v>
      </c>
      <c r="P15">
        <f t="shared" si="6"/>
        <v>-0.53335769436719715</v>
      </c>
      <c r="Q15">
        <f t="shared" si="6"/>
        <v>0</v>
      </c>
    </row>
    <row r="16" spans="1:18" x14ac:dyDescent="0.25">
      <c r="B16">
        <v>1973</v>
      </c>
      <c r="C16">
        <v>787541.57449999999</v>
      </c>
      <c r="D16">
        <f t="shared" si="0"/>
        <v>13.576671441304295</v>
      </c>
      <c r="E16">
        <f t="shared" si="1"/>
        <v>-0.81237750356877747</v>
      </c>
      <c r="F16">
        <f t="shared" si="2"/>
        <v>14.389048944873073</v>
      </c>
      <c r="G16">
        <f t="shared" si="3"/>
        <v>14.506705985593012</v>
      </c>
      <c r="H16">
        <f t="shared" si="4"/>
        <v>14.480962189542703</v>
      </c>
      <c r="I16">
        <f t="shared" si="5"/>
        <v>14.516980755921772</v>
      </c>
      <c r="J16">
        <f t="shared" si="7"/>
        <v>13.827416316316381</v>
      </c>
      <c r="K16">
        <f t="shared" si="8"/>
        <v>0.29327550291016236</v>
      </c>
      <c r="L16">
        <f t="shared" si="9"/>
        <v>13.827416316316381</v>
      </c>
      <c r="M16">
        <f t="shared" si="6"/>
        <v>0.56163262855669238</v>
      </c>
      <c r="N16">
        <f t="shared" si="6"/>
        <v>0.67928966927663126</v>
      </c>
      <c r="O16">
        <f t="shared" si="6"/>
        <v>0.65354587322632263</v>
      </c>
      <c r="P16">
        <f t="shared" si="6"/>
        <v>0.68956443960539104</v>
      </c>
      <c r="Q16">
        <f t="shared" si="6"/>
        <v>0</v>
      </c>
    </row>
    <row r="17" spans="2:17" x14ac:dyDescent="0.25">
      <c r="B17">
        <v>1974</v>
      </c>
      <c r="C17">
        <v>1504237.2309999999</v>
      </c>
      <c r="D17">
        <f t="shared" si="0"/>
        <v>14.223796504430981</v>
      </c>
      <c r="E17">
        <f t="shared" si="1"/>
        <v>0.64712506312668516</v>
      </c>
      <c r="F17">
        <f t="shared" si="2"/>
        <v>13.576671441304295</v>
      </c>
      <c r="G17">
        <f t="shared" si="3"/>
        <v>14.389048944873073</v>
      </c>
      <c r="H17">
        <f t="shared" si="4"/>
        <v>14.506705985593012</v>
      </c>
      <c r="I17">
        <f t="shared" si="5"/>
        <v>14.480962189542703</v>
      </c>
      <c r="J17">
        <f t="shared" si="7"/>
        <v>14.516980755921772</v>
      </c>
      <c r="K17">
        <f t="shared" si="8"/>
        <v>0.40420095555924845</v>
      </c>
      <c r="L17">
        <f t="shared" si="9"/>
        <v>14.516980755921772</v>
      </c>
      <c r="M17">
        <f t="shared" si="6"/>
        <v>-0.94030931461747613</v>
      </c>
      <c r="N17">
        <f t="shared" si="6"/>
        <v>-0.12793181104869866</v>
      </c>
      <c r="O17">
        <f t="shared" si="6"/>
        <v>-1.0274770328759786E-2</v>
      </c>
      <c r="P17">
        <f t="shared" si="6"/>
        <v>-3.6018566379068417E-2</v>
      </c>
      <c r="Q17">
        <f t="shared" si="6"/>
        <v>0</v>
      </c>
    </row>
    <row r="18" spans="2:17" x14ac:dyDescent="0.25">
      <c r="B18">
        <v>1975</v>
      </c>
      <c r="C18">
        <v>2238670.9840000002</v>
      </c>
      <c r="D18">
        <f t="shared" si="0"/>
        <v>14.621392937038486</v>
      </c>
      <c r="E18">
        <f t="shared" si="1"/>
        <v>0.39759643260750543</v>
      </c>
      <c r="F18">
        <f t="shared" si="2"/>
        <v>14.223796504430981</v>
      </c>
      <c r="G18">
        <f t="shared" si="3"/>
        <v>13.576671441304295</v>
      </c>
      <c r="H18">
        <f t="shared" si="4"/>
        <v>14.389048944873073</v>
      </c>
      <c r="I18">
        <f t="shared" si="5"/>
        <v>14.506705985593012</v>
      </c>
      <c r="J18">
        <f t="shared" si="7"/>
        <v>14.480962189542703</v>
      </c>
      <c r="K18">
        <f t="shared" si="8"/>
        <v>0.384569133353512</v>
      </c>
      <c r="L18">
        <f t="shared" si="9"/>
        <v>14.480962189542703</v>
      </c>
      <c r="M18">
        <f t="shared" si="6"/>
        <v>-0.25716568511172255</v>
      </c>
      <c r="N18">
        <f t="shared" si="6"/>
        <v>-0.90429074823840772</v>
      </c>
      <c r="O18">
        <f t="shared" si="6"/>
        <v>-9.1913244669630245E-2</v>
      </c>
      <c r="P18">
        <f t="shared" si="6"/>
        <v>2.5743796050308632E-2</v>
      </c>
      <c r="Q18">
        <f t="shared" si="6"/>
        <v>0</v>
      </c>
    </row>
    <row r="19" spans="2:17" x14ac:dyDescent="0.25">
      <c r="B19">
        <v>1976</v>
      </c>
      <c r="C19">
        <v>1704895.4480000001</v>
      </c>
      <c r="D19">
        <f t="shared" si="0"/>
        <v>14.349014345998441</v>
      </c>
      <c r="E19">
        <f t="shared" si="1"/>
        <v>-0.27237859104004514</v>
      </c>
      <c r="F19">
        <f t="shared" si="2"/>
        <v>14.621392937038486</v>
      </c>
      <c r="G19">
        <f t="shared" si="3"/>
        <v>14.223796504430981</v>
      </c>
      <c r="H19">
        <f t="shared" si="4"/>
        <v>13.576671441304295</v>
      </c>
      <c r="I19">
        <f t="shared" si="5"/>
        <v>14.389048944873073</v>
      </c>
      <c r="J19">
        <f t="shared" si="7"/>
        <v>14.506705985593012</v>
      </c>
      <c r="K19">
        <f t="shared" si="8"/>
        <v>0.41119000391756866</v>
      </c>
      <c r="L19">
        <f t="shared" si="9"/>
        <v>14.506705985593012</v>
      </c>
      <c r="M19">
        <f t="shared" si="6"/>
        <v>0.11468695144547425</v>
      </c>
      <c r="N19">
        <f t="shared" si="6"/>
        <v>-0.28290948116203118</v>
      </c>
      <c r="O19">
        <f t="shared" si="6"/>
        <v>-0.93003454428871635</v>
      </c>
      <c r="P19">
        <f t="shared" si="6"/>
        <v>-0.11765704071993888</v>
      </c>
      <c r="Q19">
        <f t="shared" si="6"/>
        <v>0</v>
      </c>
    </row>
    <row r="20" spans="2:17" x14ac:dyDescent="0.25">
      <c r="B20">
        <v>1977</v>
      </c>
      <c r="C20">
        <v>2998167.01</v>
      </c>
      <c r="D20">
        <f t="shared" si="0"/>
        <v>14.913511663231187</v>
      </c>
      <c r="E20">
        <f t="shared" si="1"/>
        <v>0.5644973172327461</v>
      </c>
      <c r="F20">
        <f t="shared" si="2"/>
        <v>14.349014345998441</v>
      </c>
      <c r="G20">
        <f t="shared" si="3"/>
        <v>14.621392937038486</v>
      </c>
      <c r="H20">
        <f t="shared" si="4"/>
        <v>14.223796504430981</v>
      </c>
      <c r="I20">
        <f t="shared" si="5"/>
        <v>13.576671441304295</v>
      </c>
      <c r="J20">
        <f t="shared" si="7"/>
        <v>14.389048944873073</v>
      </c>
      <c r="K20">
        <f t="shared" si="8"/>
        <v>0.39354364551548154</v>
      </c>
      <c r="L20">
        <f t="shared" si="9"/>
        <v>14.389048944873073</v>
      </c>
      <c r="M20">
        <f t="shared" si="6"/>
        <v>-4.003459887463201E-2</v>
      </c>
      <c r="N20">
        <f t="shared" si="6"/>
        <v>0.23234399216541313</v>
      </c>
      <c r="O20">
        <f t="shared" si="6"/>
        <v>-0.16525244044209231</v>
      </c>
      <c r="P20">
        <f t="shared" si="6"/>
        <v>-0.81237750356877747</v>
      </c>
      <c r="Q20">
        <f t="shared" si="6"/>
        <v>0</v>
      </c>
    </row>
    <row r="21" spans="2:17" x14ac:dyDescent="0.25">
      <c r="B21">
        <v>1978</v>
      </c>
      <c r="C21">
        <v>2078292.4739999999</v>
      </c>
      <c r="D21">
        <f t="shared" si="0"/>
        <v>14.547057188571719</v>
      </c>
      <c r="E21">
        <f t="shared" si="1"/>
        <v>-0.36645447465946823</v>
      </c>
      <c r="F21">
        <f t="shared" si="2"/>
        <v>14.913511663231187</v>
      </c>
      <c r="G21">
        <f t="shared" si="3"/>
        <v>14.349014345998441</v>
      </c>
      <c r="H21">
        <f t="shared" si="4"/>
        <v>14.621392937038486</v>
      </c>
      <c r="I21">
        <f t="shared" si="5"/>
        <v>14.223796504430981</v>
      </c>
      <c r="J21">
        <f t="shared" si="7"/>
        <v>13.576671441304295</v>
      </c>
      <c r="K21">
        <f t="shared" si="8"/>
        <v>0.50107480938124027</v>
      </c>
      <c r="L21">
        <f t="shared" si="9"/>
        <v>13.576671441304295</v>
      </c>
      <c r="M21">
        <f t="shared" si="6"/>
        <v>1.3368402219268916</v>
      </c>
      <c r="N21">
        <f t="shared" si="6"/>
        <v>0.77234290469414546</v>
      </c>
      <c r="O21">
        <f t="shared" si="6"/>
        <v>1.0447214957341906</v>
      </c>
      <c r="P21">
        <f t="shared" si="6"/>
        <v>0.64712506312668516</v>
      </c>
      <c r="Q21">
        <f t="shared" si="6"/>
        <v>0</v>
      </c>
    </row>
    <row r="22" spans="2:17" x14ac:dyDescent="0.25">
      <c r="B22">
        <v>1979</v>
      </c>
      <c r="C22">
        <v>2579853.17</v>
      </c>
      <c r="D22" s="12">
        <f t="shared" si="0"/>
        <v>14.763243044425604</v>
      </c>
      <c r="E22" s="12">
        <f t="shared" si="1"/>
        <v>0.21618585585388495</v>
      </c>
      <c r="F22" s="12">
        <f t="shared" si="2"/>
        <v>14.547057188571719</v>
      </c>
      <c r="G22" s="12">
        <f t="shared" si="3"/>
        <v>14.913511663231187</v>
      </c>
      <c r="H22" s="12">
        <f t="shared" si="4"/>
        <v>14.349014345998441</v>
      </c>
      <c r="I22" s="12">
        <f t="shared" si="5"/>
        <v>14.621392937038486</v>
      </c>
      <c r="J22" s="12">
        <f t="shared" si="7"/>
        <v>14.223796504430981</v>
      </c>
      <c r="K22">
        <f t="shared" si="8"/>
        <v>0.26562974442481957</v>
      </c>
      <c r="L22">
        <f t="shared" si="9"/>
        <v>14.223796504430981</v>
      </c>
      <c r="M22">
        <f t="shared" si="6"/>
        <v>0.32326068414073816</v>
      </c>
      <c r="N22">
        <f t="shared" si="6"/>
        <v>0.6897151588002064</v>
      </c>
      <c r="O22">
        <f t="shared" si="6"/>
        <v>0.1252178415674603</v>
      </c>
      <c r="P22">
        <f t="shared" si="6"/>
        <v>0.39759643260750543</v>
      </c>
      <c r="Q22">
        <f t="shared" si="6"/>
        <v>0</v>
      </c>
    </row>
    <row r="23" spans="2:17" x14ac:dyDescent="0.25">
      <c r="B23">
        <v>1980</v>
      </c>
      <c r="C23">
        <v>3449719.4070000001</v>
      </c>
      <c r="D23">
        <f t="shared" si="0"/>
        <v>15.053803454395625</v>
      </c>
      <c r="E23">
        <f t="shared" si="1"/>
        <v>0.29056040997002164</v>
      </c>
      <c r="F23">
        <f t="shared" si="2"/>
        <v>14.763243044425604</v>
      </c>
      <c r="G23">
        <f t="shared" si="3"/>
        <v>14.547057188571719</v>
      </c>
      <c r="H23">
        <f t="shared" si="4"/>
        <v>14.913511663231187</v>
      </c>
      <c r="I23">
        <f t="shared" si="5"/>
        <v>14.349014345998441</v>
      </c>
      <c r="J23">
        <f t="shared" si="7"/>
        <v>14.621392937038486</v>
      </c>
      <c r="K23">
        <f t="shared" si="8"/>
        <v>0.21427087656052934</v>
      </c>
      <c r="L23">
        <f t="shared" si="9"/>
        <v>14.621392937038486</v>
      </c>
      <c r="M23">
        <f t="shared" si="6"/>
        <v>0.14185010738711767</v>
      </c>
      <c r="N23">
        <f t="shared" si="6"/>
        <v>-7.4335748466767271E-2</v>
      </c>
      <c r="O23">
        <f t="shared" si="6"/>
        <v>0.29211872619270096</v>
      </c>
      <c r="P23">
        <f t="shared" si="6"/>
        <v>-0.27237859104004514</v>
      </c>
      <c r="Q23">
        <f t="shared" si="6"/>
        <v>0</v>
      </c>
    </row>
    <row r="24" spans="2:17" x14ac:dyDescent="0.25">
      <c r="B24">
        <v>1981</v>
      </c>
      <c r="C24">
        <v>4641785.1629999997</v>
      </c>
      <c r="D24">
        <f t="shared" si="0"/>
        <v>15.350609583616691</v>
      </c>
      <c r="E24">
        <f t="shared" si="1"/>
        <v>0.29680612922106597</v>
      </c>
      <c r="F24">
        <f t="shared" si="2"/>
        <v>15.053803454395625</v>
      </c>
      <c r="G24">
        <f t="shared" si="3"/>
        <v>14.763243044425604</v>
      </c>
      <c r="H24">
        <f t="shared" si="4"/>
        <v>14.547057188571719</v>
      </c>
      <c r="I24">
        <f t="shared" si="5"/>
        <v>14.913511663231187</v>
      </c>
      <c r="J24">
        <f t="shared" si="7"/>
        <v>14.349014345998441</v>
      </c>
      <c r="K24">
        <f t="shared" si="8"/>
        <v>0.28201915458678856</v>
      </c>
      <c r="L24">
        <f t="shared" si="9"/>
        <v>14.349014345998441</v>
      </c>
      <c r="M24">
        <f t="shared" si="6"/>
        <v>0.70478910839718445</v>
      </c>
      <c r="N24">
        <f t="shared" si="6"/>
        <v>0.41422869842716281</v>
      </c>
      <c r="O24">
        <f t="shared" si="6"/>
        <v>0.19804284257327787</v>
      </c>
      <c r="P24">
        <f t="shared" si="6"/>
        <v>0.5644973172327461</v>
      </c>
      <c r="Q24">
        <f t="shared" si="6"/>
        <v>0</v>
      </c>
    </row>
    <row r="25" spans="2:17" x14ac:dyDescent="0.25">
      <c r="B25">
        <v>1982</v>
      </c>
      <c r="C25">
        <v>3785029.6770000001</v>
      </c>
      <c r="D25">
        <f t="shared" si="0"/>
        <v>15.14656428550987</v>
      </c>
      <c r="E25">
        <f t="shared" si="1"/>
        <v>-0.2040452981068217</v>
      </c>
      <c r="F25">
        <f t="shared" si="2"/>
        <v>15.350609583616691</v>
      </c>
      <c r="G25">
        <f t="shared" si="3"/>
        <v>15.053803454395625</v>
      </c>
      <c r="H25">
        <f t="shared" si="4"/>
        <v>14.763243044425604</v>
      </c>
      <c r="I25">
        <f t="shared" si="5"/>
        <v>14.547057188571719</v>
      </c>
      <c r="J25">
        <f t="shared" si="7"/>
        <v>14.913511663231187</v>
      </c>
      <c r="K25">
        <f t="shared" si="8"/>
        <v>0.30284890240810353</v>
      </c>
      <c r="L25">
        <f t="shared" si="9"/>
        <v>14.913511663231187</v>
      </c>
      <c r="M25">
        <f t="shared" si="6"/>
        <v>0.43709792038550432</v>
      </c>
      <c r="N25">
        <f t="shared" si="6"/>
        <v>0.14029179116443835</v>
      </c>
      <c r="O25">
        <f t="shared" si="6"/>
        <v>-0.15026861880558329</v>
      </c>
      <c r="P25">
        <f t="shared" si="6"/>
        <v>-0.36645447465946823</v>
      </c>
      <c r="Q25">
        <f t="shared" si="6"/>
        <v>0</v>
      </c>
    </row>
    <row r="26" spans="2:17" x14ac:dyDescent="0.25">
      <c r="B26">
        <v>1983</v>
      </c>
      <c r="C26">
        <v>8446307.4609999992</v>
      </c>
      <c r="D26">
        <f t="shared" si="0"/>
        <v>15.949239916962867</v>
      </c>
      <c r="E26">
        <f t="shared" si="1"/>
        <v>0.80267563145299725</v>
      </c>
      <c r="F26">
        <f t="shared" si="2"/>
        <v>15.14656428550987</v>
      </c>
      <c r="G26">
        <f t="shared" si="3"/>
        <v>15.350609583616691</v>
      </c>
      <c r="H26">
        <f t="shared" si="4"/>
        <v>15.053803454395625</v>
      </c>
      <c r="I26">
        <f t="shared" si="5"/>
        <v>14.763243044425604</v>
      </c>
      <c r="J26">
        <f t="shared" si="7"/>
        <v>14.547057188571719</v>
      </c>
      <c r="K26">
        <f t="shared" si="8"/>
        <v>0.3180665200819488</v>
      </c>
      <c r="L26">
        <f t="shared" si="9"/>
        <v>14.547057188571719</v>
      </c>
      <c r="M26">
        <f t="shared" si="6"/>
        <v>0.59950709693815085</v>
      </c>
      <c r="N26">
        <f t="shared" si="6"/>
        <v>0.80355239504497256</v>
      </c>
      <c r="O26">
        <f t="shared" si="6"/>
        <v>0.50674626582390658</v>
      </c>
      <c r="P26">
        <f t="shared" si="6"/>
        <v>0.21618585585388495</v>
      </c>
      <c r="Q26">
        <f t="shared" si="6"/>
        <v>0</v>
      </c>
    </row>
    <row r="27" spans="2:17" x14ac:dyDescent="0.25">
      <c r="B27">
        <v>1984</v>
      </c>
      <c r="C27">
        <v>5458425.159</v>
      </c>
      <c r="D27">
        <f t="shared" si="0"/>
        <v>15.512670873698875</v>
      </c>
      <c r="E27">
        <f t="shared" si="1"/>
        <v>-0.43656904326399193</v>
      </c>
      <c r="F27">
        <f t="shared" si="2"/>
        <v>15.949239916962867</v>
      </c>
      <c r="G27">
        <f t="shared" si="3"/>
        <v>15.14656428550987</v>
      </c>
      <c r="H27">
        <f t="shared" si="4"/>
        <v>15.350609583616691</v>
      </c>
      <c r="I27">
        <f t="shared" si="5"/>
        <v>15.053803454395625</v>
      </c>
      <c r="J27">
        <f t="shared" si="7"/>
        <v>14.763243044425604</v>
      </c>
      <c r="K27">
        <f t="shared" si="8"/>
        <v>0.44304257111337897</v>
      </c>
      <c r="L27">
        <f t="shared" si="9"/>
        <v>14.763243044425604</v>
      </c>
      <c r="M27">
        <f t="shared" si="6"/>
        <v>1.1859968725372632</v>
      </c>
      <c r="N27">
        <f t="shared" si="6"/>
        <v>0.38332124108426591</v>
      </c>
      <c r="O27">
        <f t="shared" si="6"/>
        <v>0.58736653919108761</v>
      </c>
      <c r="P27">
        <f t="shared" si="6"/>
        <v>0.29056040997002164</v>
      </c>
      <c r="Q27">
        <f t="shared" si="6"/>
        <v>0</v>
      </c>
    </row>
    <row r="28" spans="2:17" x14ac:dyDescent="0.25">
      <c r="B28">
        <v>1985</v>
      </c>
      <c r="C28">
        <v>8331666.1550000003</v>
      </c>
      <c r="D28">
        <f t="shared" si="0"/>
        <v>15.935574012749413</v>
      </c>
      <c r="E28">
        <f t="shared" si="1"/>
        <v>0.422903139050538</v>
      </c>
      <c r="F28">
        <f t="shared" si="2"/>
        <v>15.512670873698875</v>
      </c>
      <c r="G28">
        <f t="shared" si="3"/>
        <v>15.949239916962867</v>
      </c>
      <c r="H28">
        <f t="shared" si="4"/>
        <v>15.14656428550987</v>
      </c>
      <c r="I28">
        <f t="shared" si="5"/>
        <v>15.350609583616691</v>
      </c>
      <c r="J28">
        <f t="shared" si="7"/>
        <v>15.053803454395625</v>
      </c>
      <c r="K28">
        <f t="shared" si="8"/>
        <v>0.35385276396618781</v>
      </c>
      <c r="L28">
        <f t="shared" si="9"/>
        <v>15.053803454395625</v>
      </c>
      <c r="M28">
        <f t="shared" si="6"/>
        <v>0.45886741930324959</v>
      </c>
      <c r="N28">
        <f t="shared" si="6"/>
        <v>0.89543646256724152</v>
      </c>
      <c r="O28">
        <f t="shared" si="6"/>
        <v>9.2760831114244269E-2</v>
      </c>
      <c r="P28">
        <f t="shared" si="6"/>
        <v>0.29680612922106597</v>
      </c>
      <c r="Q28">
        <f t="shared" si="6"/>
        <v>0</v>
      </c>
    </row>
    <row r="29" spans="2:17" x14ac:dyDescent="0.25">
      <c r="B29">
        <v>1986</v>
      </c>
      <c r="C29">
        <v>5506500.1320000002</v>
      </c>
      <c r="D29">
        <f t="shared" si="0"/>
        <v>15.521439794558805</v>
      </c>
      <c r="E29">
        <f t="shared" si="1"/>
        <v>-0.41413421819060758</v>
      </c>
      <c r="F29">
        <f t="shared" si="2"/>
        <v>15.935574012749413</v>
      </c>
      <c r="G29">
        <f t="shared" si="3"/>
        <v>15.512670873698875</v>
      </c>
      <c r="H29">
        <f t="shared" si="4"/>
        <v>15.949239916962867</v>
      </c>
      <c r="I29">
        <f t="shared" si="5"/>
        <v>15.14656428550987</v>
      </c>
      <c r="J29">
        <f t="shared" si="7"/>
        <v>15.350609583616691</v>
      </c>
      <c r="K29">
        <f t="shared" si="8"/>
        <v>0.35629516620289808</v>
      </c>
      <c r="L29">
        <f t="shared" si="9"/>
        <v>15.350609583616691</v>
      </c>
      <c r="M29">
        <f t="shared" si="6"/>
        <v>0.58496442913272162</v>
      </c>
      <c r="N29">
        <f t="shared" si="6"/>
        <v>0.16206129008218362</v>
      </c>
      <c r="O29">
        <f t="shared" si="6"/>
        <v>0.59863033334617555</v>
      </c>
      <c r="P29">
        <f t="shared" si="6"/>
        <v>-0.2040452981068217</v>
      </c>
      <c r="Q29">
        <f t="shared" si="6"/>
        <v>0</v>
      </c>
    </row>
    <row r="30" spans="2:17" x14ac:dyDescent="0.25">
      <c r="B30">
        <v>1987</v>
      </c>
      <c r="C30">
        <v>6385229.443</v>
      </c>
      <c r="D30">
        <f t="shared" si="0"/>
        <v>15.669497981493823</v>
      </c>
      <c r="E30">
        <f t="shared" si="1"/>
        <v>0.14805818693501749</v>
      </c>
      <c r="F30">
        <f t="shared" si="2"/>
        <v>15.521439794558805</v>
      </c>
      <c r="G30">
        <f t="shared" si="3"/>
        <v>15.935574012749413</v>
      </c>
      <c r="H30">
        <f t="shared" si="4"/>
        <v>15.512670873698875</v>
      </c>
      <c r="I30">
        <f t="shared" si="5"/>
        <v>15.949239916962867</v>
      </c>
      <c r="J30">
        <f t="shared" si="7"/>
        <v>15.14656428550987</v>
      </c>
      <c r="K30">
        <f t="shared" si="8"/>
        <v>0.33657194929752465</v>
      </c>
      <c r="L30">
        <f t="shared" si="9"/>
        <v>15.14656428550987</v>
      </c>
      <c r="M30">
        <f t="shared" si="6"/>
        <v>0.37487550904893574</v>
      </c>
      <c r="N30">
        <f t="shared" si="6"/>
        <v>0.78900972723954332</v>
      </c>
      <c r="O30">
        <f t="shared" si="6"/>
        <v>0.36610658818900532</v>
      </c>
      <c r="P30">
        <f t="shared" si="6"/>
        <v>0.80267563145299725</v>
      </c>
      <c r="Q30">
        <f t="shared" si="6"/>
        <v>0</v>
      </c>
    </row>
    <row r="31" spans="2:17" x14ac:dyDescent="0.25">
      <c r="B31">
        <v>1988</v>
      </c>
      <c r="C31">
        <v>8117564.3779999996</v>
      </c>
      <c r="D31">
        <f t="shared" si="0"/>
        <v>15.909540713694552</v>
      </c>
      <c r="E31">
        <f t="shared" si="1"/>
        <v>0.24004273220072925</v>
      </c>
      <c r="F31">
        <f t="shared" si="2"/>
        <v>15.669497981493823</v>
      </c>
      <c r="G31">
        <f t="shared" si="3"/>
        <v>15.521439794558805</v>
      </c>
      <c r="H31">
        <f t="shared" si="4"/>
        <v>15.935574012749413</v>
      </c>
      <c r="I31">
        <f t="shared" si="5"/>
        <v>15.512670873698875</v>
      </c>
      <c r="J31">
        <f t="shared" si="7"/>
        <v>15.949239916962867</v>
      </c>
      <c r="K31">
        <f t="shared" si="8"/>
        <v>0.2144517794514697</v>
      </c>
      <c r="L31">
        <f t="shared" si="9"/>
        <v>15.949239916962867</v>
      </c>
    </row>
    <row r="32" spans="2:17" x14ac:dyDescent="0.25">
      <c r="B32">
        <v>1989</v>
      </c>
      <c r="C32">
        <v>9807459.9930000007</v>
      </c>
      <c r="D32">
        <f t="shared" si="0"/>
        <v>16.09865387783244</v>
      </c>
      <c r="E32">
        <f t="shared" si="1"/>
        <v>0.18911316413788803</v>
      </c>
      <c r="F32">
        <f t="shared" si="2"/>
        <v>15.909540713694552</v>
      </c>
      <c r="G32">
        <f t="shared" si="3"/>
        <v>15.669497981493823</v>
      </c>
      <c r="H32">
        <f t="shared" si="4"/>
        <v>15.521439794558805</v>
      </c>
      <c r="I32">
        <f t="shared" si="5"/>
        <v>15.935574012749413</v>
      </c>
      <c r="J32">
        <f t="shared" si="7"/>
        <v>15.512670873698875</v>
      </c>
      <c r="K32">
        <f t="shared" si="8"/>
        <v>0.2042265619121332</v>
      </c>
      <c r="L32">
        <f t="shared" si="9"/>
        <v>15.512670873698875</v>
      </c>
    </row>
    <row r="33" spans="2:12" x14ac:dyDescent="0.25">
      <c r="B33">
        <v>1990</v>
      </c>
      <c r="C33">
        <v>12605427.23</v>
      </c>
      <c r="D33">
        <f t="shared" si="0"/>
        <v>16.349638011722757</v>
      </c>
      <c r="E33">
        <f t="shared" si="1"/>
        <v>0.25098413389031649</v>
      </c>
      <c r="F33">
        <f t="shared" si="2"/>
        <v>16.09865387783244</v>
      </c>
      <c r="G33">
        <f t="shared" si="3"/>
        <v>15.909540713694552</v>
      </c>
      <c r="H33">
        <f t="shared" si="4"/>
        <v>15.669497981493823</v>
      </c>
      <c r="I33">
        <f t="shared" si="5"/>
        <v>15.521439794558805</v>
      </c>
      <c r="J33">
        <f t="shared" si="7"/>
        <v>15.935574012749413</v>
      </c>
      <c r="K33">
        <f t="shared" si="8"/>
        <v>0.22944009171426483</v>
      </c>
      <c r="L33">
        <f t="shared" si="9"/>
        <v>15.935574012749413</v>
      </c>
    </row>
    <row r="34" spans="2:12" x14ac:dyDescent="0.25">
      <c r="B34">
        <v>1991</v>
      </c>
      <c r="C34">
        <v>9235470.3269999996</v>
      </c>
      <c r="D34">
        <f t="shared" si="0"/>
        <v>16.038562099067978</v>
      </c>
      <c r="E34">
        <f t="shared" si="1"/>
        <v>-0.31107591265477907</v>
      </c>
      <c r="F34">
        <f t="shared" si="2"/>
        <v>16.349638011722757</v>
      </c>
      <c r="G34">
        <f t="shared" si="3"/>
        <v>16.09865387783244</v>
      </c>
      <c r="H34">
        <f t="shared" si="4"/>
        <v>15.909540713694552</v>
      </c>
      <c r="I34">
        <f t="shared" si="5"/>
        <v>15.669497981493823</v>
      </c>
      <c r="J34">
        <f t="shared" si="7"/>
        <v>15.521439794558805</v>
      </c>
      <c r="K34">
        <f t="shared" si="8"/>
        <v>0.33079148631777966</v>
      </c>
      <c r="L34">
        <f t="shared" si="9"/>
        <v>15.521439794558805</v>
      </c>
    </row>
    <row r="35" spans="2:12" x14ac:dyDescent="0.25">
      <c r="B35">
        <v>1992</v>
      </c>
      <c r="C35">
        <v>17890992.670000002</v>
      </c>
      <c r="D35">
        <f t="shared" si="0"/>
        <v>16.699807941368672</v>
      </c>
      <c r="E35">
        <f t="shared" si="1"/>
        <v>0.66124584230069416</v>
      </c>
      <c r="F35">
        <f t="shared" si="2"/>
        <v>16.038562099067978</v>
      </c>
      <c r="G35">
        <f t="shared" si="3"/>
        <v>16.349638011722757</v>
      </c>
      <c r="H35">
        <f t="shared" si="4"/>
        <v>16.09865387783244</v>
      </c>
      <c r="I35">
        <f t="shared" si="5"/>
        <v>15.909540713694552</v>
      </c>
      <c r="J35">
        <f t="shared" si="7"/>
        <v>15.669497981493823</v>
      </c>
      <c r="K35">
        <f t="shared" si="8"/>
        <v>0.25000622987083726</v>
      </c>
      <c r="L35">
        <f t="shared" si="9"/>
        <v>15.669497981493823</v>
      </c>
    </row>
    <row r="36" spans="2:12" x14ac:dyDescent="0.25">
      <c r="B36">
        <v>1993</v>
      </c>
      <c r="C36">
        <v>24250547.859999999</v>
      </c>
      <c r="D36">
        <f t="shared" si="0"/>
        <v>17.003949767257517</v>
      </c>
      <c r="E36">
        <f t="shared" si="1"/>
        <v>0.30414182588884486</v>
      </c>
      <c r="F36">
        <f t="shared" si="2"/>
        <v>16.699807941368672</v>
      </c>
      <c r="G36">
        <f t="shared" si="3"/>
        <v>16.038562099067978</v>
      </c>
      <c r="H36">
        <f t="shared" si="4"/>
        <v>16.349638011722757</v>
      </c>
      <c r="I36">
        <f t="shared" si="5"/>
        <v>16.09865387783244</v>
      </c>
      <c r="J36">
        <f t="shared" si="7"/>
        <v>15.909540713694552</v>
      </c>
      <c r="K36">
        <f t="shared" si="8"/>
        <v>0.31266929510822161</v>
      </c>
      <c r="L36">
        <f t="shared" si="9"/>
        <v>15.909540713694552</v>
      </c>
    </row>
    <row r="37" spans="2:12" x14ac:dyDescent="0.25">
      <c r="B37">
        <v>1994</v>
      </c>
      <c r="C37">
        <v>12738312.48</v>
      </c>
      <c r="D37">
        <f t="shared" si="0"/>
        <v>16.360124740936158</v>
      </c>
      <c r="E37">
        <f t="shared" si="1"/>
        <v>-0.64382502632135896</v>
      </c>
      <c r="F37">
        <f t="shared" si="2"/>
        <v>17.003949767257517</v>
      </c>
      <c r="G37">
        <f t="shared" si="3"/>
        <v>16.699807941368672</v>
      </c>
      <c r="H37">
        <f t="shared" si="4"/>
        <v>16.038562099067978</v>
      </c>
      <c r="I37">
        <f t="shared" si="5"/>
        <v>16.349638011722757</v>
      </c>
      <c r="J37">
        <f t="shared" si="7"/>
        <v>16.09865387783244</v>
      </c>
      <c r="K37">
        <f t="shared" si="8"/>
        <v>0.40968180661681891</v>
      </c>
      <c r="L37">
        <f t="shared" si="9"/>
        <v>16.09865387783244</v>
      </c>
    </row>
    <row r="38" spans="2:12" x14ac:dyDescent="0.25">
      <c r="B38">
        <v>1995</v>
      </c>
      <c r="C38">
        <v>15374929.539999999</v>
      </c>
      <c r="D38">
        <f t="shared" si="0"/>
        <v>16.548248788882127</v>
      </c>
      <c r="E38">
        <f t="shared" si="1"/>
        <v>0.18812404794596915</v>
      </c>
      <c r="F38">
        <f t="shared" si="2"/>
        <v>16.360124740936158</v>
      </c>
      <c r="G38">
        <f t="shared" si="3"/>
        <v>17.003949767257517</v>
      </c>
      <c r="H38">
        <f t="shared" si="4"/>
        <v>16.699807941368672</v>
      </c>
      <c r="I38">
        <f t="shared" si="5"/>
        <v>16.038562099067978</v>
      </c>
      <c r="J38">
        <f t="shared" si="7"/>
        <v>16.349638011722757</v>
      </c>
      <c r="K38">
        <f t="shared" si="8"/>
        <v>0.37031342035559633</v>
      </c>
      <c r="L38">
        <f t="shared" si="9"/>
        <v>16.349638011722757</v>
      </c>
    </row>
    <row r="39" spans="2:12" x14ac:dyDescent="0.25">
      <c r="B39">
        <v>1996</v>
      </c>
      <c r="C39">
        <v>12416197.41</v>
      </c>
      <c r="D39">
        <f t="shared" si="0"/>
        <v>16.334512420924359</v>
      </c>
      <c r="E39">
        <f t="shared" si="1"/>
        <v>-0.21373636795776818</v>
      </c>
      <c r="F39">
        <f t="shared" si="2"/>
        <v>16.548248788882127</v>
      </c>
      <c r="G39">
        <f t="shared" si="3"/>
        <v>16.360124740936158</v>
      </c>
      <c r="H39">
        <f t="shared" si="4"/>
        <v>17.003949767257517</v>
      </c>
      <c r="I39">
        <f t="shared" si="5"/>
        <v>16.699807941368672</v>
      </c>
      <c r="J39">
        <f t="shared" si="7"/>
        <v>16.038562099067978</v>
      </c>
      <c r="K39">
        <f t="shared" si="8"/>
        <v>0.3619961516031916</v>
      </c>
      <c r="L39">
        <f t="shared" si="9"/>
        <v>16.038562099067978</v>
      </c>
    </row>
    <row r="40" spans="2:12" x14ac:dyDescent="0.25">
      <c r="B40">
        <v>1997</v>
      </c>
      <c r="C40">
        <v>7932122.5099999998</v>
      </c>
      <c r="D40">
        <f t="shared" si="0"/>
        <v>15.88643121353533</v>
      </c>
      <c r="E40">
        <f t="shared" si="1"/>
        <v>-0.44808120738902879</v>
      </c>
      <c r="F40">
        <f t="shared" si="2"/>
        <v>16.334512420924359</v>
      </c>
      <c r="G40">
        <f t="shared" si="3"/>
        <v>16.548248788882127</v>
      </c>
      <c r="H40">
        <f t="shared" si="4"/>
        <v>16.360124740936158</v>
      </c>
      <c r="I40">
        <f t="shared" si="5"/>
        <v>17.003949767257517</v>
      </c>
      <c r="J40">
        <f t="shared" si="7"/>
        <v>16.699807941368672</v>
      </c>
      <c r="K40">
        <f t="shared" si="8"/>
        <v>0.27534961513369749</v>
      </c>
      <c r="L40">
        <f t="shared" si="9"/>
        <v>16.699807941368672</v>
      </c>
    </row>
    <row r="41" spans="2:12" x14ac:dyDescent="0.25">
      <c r="B41">
        <v>1998</v>
      </c>
      <c r="C41">
        <v>4689597.352</v>
      </c>
      <c r="D41">
        <f t="shared" si="0"/>
        <v>15.360857284284904</v>
      </c>
      <c r="E41">
        <f t="shared" si="1"/>
        <v>-0.52557392925042556</v>
      </c>
      <c r="F41">
        <f t="shared" si="2"/>
        <v>15.88643121353533</v>
      </c>
      <c r="G41">
        <f t="shared" si="3"/>
        <v>16.334512420924359</v>
      </c>
      <c r="H41">
        <f t="shared" si="4"/>
        <v>16.548248788882127</v>
      </c>
      <c r="I41">
        <f t="shared" si="5"/>
        <v>16.360124740936158</v>
      </c>
      <c r="J41">
        <f t="shared" si="7"/>
        <v>17.003949767257517</v>
      </c>
      <c r="K41">
        <f t="shared" si="8"/>
        <v>0.40398408616449233</v>
      </c>
      <c r="L41">
        <f t="shared" si="9"/>
        <v>17.003949767257517</v>
      </c>
    </row>
    <row r="42" spans="2:12" x14ac:dyDescent="0.25">
      <c r="B42">
        <v>1999</v>
      </c>
      <c r="C42">
        <v>6481074.1880000001</v>
      </c>
      <c r="D42">
        <f t="shared" si="0"/>
        <v>15.684396824343256</v>
      </c>
      <c r="E42">
        <f t="shared" si="1"/>
        <v>0.32353954005835206</v>
      </c>
      <c r="F42">
        <f t="shared" si="2"/>
        <v>15.360857284284904</v>
      </c>
      <c r="G42">
        <f t="shared" si="3"/>
        <v>15.88643121353533</v>
      </c>
      <c r="H42">
        <f t="shared" si="4"/>
        <v>16.334512420924359</v>
      </c>
      <c r="I42">
        <f t="shared" si="5"/>
        <v>16.548248788882127</v>
      </c>
      <c r="J42">
        <f t="shared" si="7"/>
        <v>16.360124740936158</v>
      </c>
      <c r="K42">
        <f t="shared" si="8"/>
        <v>0.47841201009267897</v>
      </c>
      <c r="L42">
        <f t="shared" si="9"/>
        <v>16.360124740936158</v>
      </c>
    </row>
    <row r="43" spans="2:12" x14ac:dyDescent="0.25">
      <c r="B43">
        <v>2000</v>
      </c>
      <c r="C43">
        <v>8168699.0460000001</v>
      </c>
      <c r="D43">
        <f t="shared" si="0"/>
        <v>15.915820218661151</v>
      </c>
      <c r="E43">
        <f t="shared" si="1"/>
        <v>0.23142339431789516</v>
      </c>
      <c r="F43">
        <f t="shared" si="2"/>
        <v>15.684396824343256</v>
      </c>
      <c r="G43">
        <f t="shared" si="3"/>
        <v>15.360857284284904</v>
      </c>
      <c r="H43">
        <f t="shared" si="4"/>
        <v>15.88643121353533</v>
      </c>
      <c r="I43">
        <f t="shared" si="5"/>
        <v>16.334512420924359</v>
      </c>
      <c r="J43">
        <f t="shared" si="7"/>
        <v>16.548248788882127</v>
      </c>
      <c r="K43">
        <f t="shared" si="8"/>
        <v>0.48129926271477586</v>
      </c>
      <c r="L43">
        <f t="shared" si="9"/>
        <v>16.548248788882127</v>
      </c>
    </row>
    <row r="44" spans="2:12" x14ac:dyDescent="0.25">
      <c r="B44">
        <v>2001</v>
      </c>
      <c r="C44">
        <v>3566444.179</v>
      </c>
      <c r="D44">
        <f t="shared" si="0"/>
        <v>15.087079629098703</v>
      </c>
      <c r="E44">
        <f t="shared" si="1"/>
        <v>-0.82874058956244845</v>
      </c>
      <c r="F44">
        <f t="shared" si="2"/>
        <v>15.915820218661151</v>
      </c>
      <c r="G44">
        <f t="shared" si="3"/>
        <v>15.684396824343256</v>
      </c>
      <c r="H44">
        <f t="shared" si="4"/>
        <v>15.360857284284904</v>
      </c>
      <c r="I44">
        <f t="shared" si="5"/>
        <v>15.88643121353533</v>
      </c>
      <c r="J44">
        <f t="shared" si="7"/>
        <v>16.334512420924359</v>
      </c>
      <c r="K44">
        <f t="shared" si="8"/>
        <v>0.3557290110301754</v>
      </c>
      <c r="L44">
        <f t="shared" si="9"/>
        <v>16.334512420924359</v>
      </c>
    </row>
    <row r="45" spans="2:12" x14ac:dyDescent="0.25">
      <c r="B45">
        <v>2002</v>
      </c>
      <c r="C45">
        <v>5544321.6730000004</v>
      </c>
      <c r="D45">
        <f t="shared" si="0"/>
        <v>15.528284839994072</v>
      </c>
      <c r="E45">
        <f t="shared" si="1"/>
        <v>0.44120521089536879</v>
      </c>
      <c r="F45">
        <f t="shared" si="2"/>
        <v>15.087079629098703</v>
      </c>
      <c r="G45">
        <f t="shared" si="3"/>
        <v>15.915820218661151</v>
      </c>
      <c r="H45">
        <f t="shared" si="4"/>
        <v>15.684396824343256</v>
      </c>
      <c r="I45">
        <f t="shared" si="5"/>
        <v>15.360857284284904</v>
      </c>
      <c r="J45">
        <f t="shared" si="7"/>
        <v>15.88643121353533</v>
      </c>
      <c r="K45">
        <f t="shared" si="8"/>
        <v>0.35648590432443794</v>
      </c>
      <c r="L45">
        <f t="shared" si="9"/>
        <v>15.88643121353533</v>
      </c>
    </row>
    <row r="46" spans="2:12" x14ac:dyDescent="0.25">
      <c r="B46">
        <v>2003</v>
      </c>
      <c r="C46">
        <v>3217355.65</v>
      </c>
      <c r="D46">
        <f t="shared" si="0"/>
        <v>14.984070353421135</v>
      </c>
      <c r="E46">
        <f t="shared" si="1"/>
        <v>-0.54421448657293681</v>
      </c>
      <c r="F46">
        <f t="shared" si="2"/>
        <v>15.528284839994072</v>
      </c>
      <c r="G46">
        <f t="shared" si="3"/>
        <v>15.087079629098703</v>
      </c>
      <c r="H46">
        <f t="shared" si="4"/>
        <v>15.915820218661151</v>
      </c>
      <c r="I46">
        <f t="shared" si="5"/>
        <v>15.684396824343256</v>
      </c>
      <c r="J46">
        <f t="shared" si="7"/>
        <v>15.360857284284904</v>
      </c>
      <c r="K46">
        <f t="shared" si="8"/>
        <v>0.31480312314689002</v>
      </c>
      <c r="L46">
        <f t="shared" si="9"/>
        <v>15.360857284284904</v>
      </c>
    </row>
    <row r="47" spans="2:12" x14ac:dyDescent="0.25">
      <c r="B47">
        <v>2004</v>
      </c>
      <c r="C47">
        <v>11642669.27</v>
      </c>
      <c r="D47">
        <f t="shared" si="0"/>
        <v>16.270187292706566</v>
      </c>
      <c r="E47">
        <f t="shared" si="1"/>
        <v>1.2861169392854315</v>
      </c>
      <c r="F47">
        <f t="shared" si="2"/>
        <v>14.984070353421135</v>
      </c>
      <c r="G47">
        <f t="shared" si="3"/>
        <v>15.528284839994072</v>
      </c>
      <c r="H47">
        <f t="shared" si="4"/>
        <v>15.087079629098703</v>
      </c>
      <c r="I47">
        <f t="shared" si="5"/>
        <v>15.915820218661151</v>
      </c>
      <c r="J47">
        <f t="shared" si="7"/>
        <v>15.684396824343256</v>
      </c>
      <c r="K47">
        <f t="shared" si="8"/>
        <v>0.39571249278854831</v>
      </c>
      <c r="L47">
        <f t="shared" si="9"/>
        <v>15.684396824343256</v>
      </c>
    </row>
    <row r="48" spans="2:12" x14ac:dyDescent="0.25">
      <c r="B48">
        <v>2005</v>
      </c>
      <c r="C48">
        <v>9402204.3920000009</v>
      </c>
      <c r="D48">
        <f t="shared" si="0"/>
        <v>16.056454729534344</v>
      </c>
      <c r="E48">
        <f t="shared" si="1"/>
        <v>-0.213732563172222</v>
      </c>
      <c r="F48">
        <f t="shared" si="2"/>
        <v>16.270187292706566</v>
      </c>
      <c r="G48">
        <f t="shared" si="3"/>
        <v>14.984070353421135</v>
      </c>
      <c r="H48">
        <f t="shared" si="4"/>
        <v>15.528284839994072</v>
      </c>
      <c r="I48">
        <f t="shared" si="5"/>
        <v>15.087079629098703</v>
      </c>
      <c r="J48">
        <f t="shared" si="7"/>
        <v>15.915820218661151</v>
      </c>
      <c r="K48">
        <f t="shared" si="8"/>
        <v>0.54481329829526626</v>
      </c>
      <c r="L48">
        <f t="shared" si="9"/>
        <v>15.915820218661151</v>
      </c>
    </row>
    <row r="49" spans="2:12" x14ac:dyDescent="0.25">
      <c r="B49">
        <v>2006</v>
      </c>
      <c r="C49">
        <v>8613841.9370000008</v>
      </c>
      <c r="D49">
        <f t="shared" si="0"/>
        <v>15.968880994880589</v>
      </c>
      <c r="E49">
        <f t="shared" si="1"/>
        <v>-8.7573734653755508E-2</v>
      </c>
      <c r="F49">
        <f t="shared" si="2"/>
        <v>16.056454729534344</v>
      </c>
      <c r="G49">
        <f t="shared" si="3"/>
        <v>16.270187292706566</v>
      </c>
      <c r="H49">
        <f t="shared" si="4"/>
        <v>14.984070353421135</v>
      </c>
      <c r="I49">
        <f t="shared" si="5"/>
        <v>15.528284839994072</v>
      </c>
      <c r="J49">
        <f t="shared" si="7"/>
        <v>15.087079629098703</v>
      </c>
      <c r="K49">
        <f t="shared" si="8"/>
        <v>0.57096600192969316</v>
      </c>
      <c r="L49">
        <f t="shared" si="9"/>
        <v>15.087079629098703</v>
      </c>
    </row>
    <row r="50" spans="2:12" x14ac:dyDescent="0.25">
      <c r="B50">
        <v>2007</v>
      </c>
      <c r="C50">
        <v>7395032.415</v>
      </c>
      <c r="D50">
        <f t="shared" si="0"/>
        <v>15.81631903748457</v>
      </c>
      <c r="E50">
        <f t="shared" si="1"/>
        <v>-0.15256195739601885</v>
      </c>
      <c r="F50">
        <f t="shared" si="2"/>
        <v>15.968880994880589</v>
      </c>
      <c r="G50">
        <f t="shared" si="3"/>
        <v>16.056454729534344</v>
      </c>
      <c r="H50">
        <f t="shared" si="4"/>
        <v>16.270187292706566</v>
      </c>
      <c r="I50">
        <f t="shared" si="5"/>
        <v>14.984070353421135</v>
      </c>
      <c r="J50">
        <f t="shared" si="7"/>
        <v>15.528284839994072</v>
      </c>
      <c r="K50">
        <f t="shared" si="8"/>
        <v>0.51175044428441019</v>
      </c>
      <c r="L50">
        <f t="shared" si="9"/>
        <v>15.528284839994072</v>
      </c>
    </row>
    <row r="51" spans="2:12" x14ac:dyDescent="0.25">
      <c r="B51">
        <v>2008</v>
      </c>
      <c r="C51">
        <v>7827635.4589999998</v>
      </c>
      <c r="D51">
        <f t="shared" si="0"/>
        <v>15.87317103755835</v>
      </c>
      <c r="E51">
        <f t="shared" si="1"/>
        <v>5.6852000073780218E-2</v>
      </c>
      <c r="F51">
        <f t="shared" si="2"/>
        <v>15.81631903748457</v>
      </c>
      <c r="G51">
        <f t="shared" si="3"/>
        <v>15.968880994880589</v>
      </c>
      <c r="H51">
        <f t="shared" si="4"/>
        <v>16.056454729534344</v>
      </c>
      <c r="I51">
        <f t="shared" si="5"/>
        <v>16.270187292706566</v>
      </c>
      <c r="J51">
        <f t="shared" si="7"/>
        <v>14.984070353421135</v>
      </c>
      <c r="K51">
        <f t="shared" si="8"/>
        <v>0.49485694147479142</v>
      </c>
      <c r="L51">
        <f t="shared" si="9"/>
        <v>14.984070353421135</v>
      </c>
    </row>
    <row r="52" spans="2:12" x14ac:dyDescent="0.25">
      <c r="B52">
        <v>2009</v>
      </c>
      <c r="C52">
        <v>12269670.949999999</v>
      </c>
      <c r="D52">
        <f t="shared" si="0"/>
        <v>16.322640998886587</v>
      </c>
      <c r="E52">
        <f t="shared" si="1"/>
        <v>0.44946996132823713</v>
      </c>
      <c r="F52">
        <f t="shared" si="2"/>
        <v>15.87317103755835</v>
      </c>
      <c r="G52">
        <f t="shared" si="3"/>
        <v>15.81631903748457</v>
      </c>
      <c r="H52">
        <f t="shared" si="4"/>
        <v>15.968880994880589</v>
      </c>
      <c r="I52">
        <f t="shared" si="5"/>
        <v>16.056454729534344</v>
      </c>
      <c r="J52">
        <f t="shared" si="7"/>
        <v>16.270187292706566</v>
      </c>
      <c r="K52">
        <f t="shared" si="8"/>
        <v>0.17814043780810088</v>
      </c>
      <c r="L52">
        <f t="shared" si="9"/>
        <v>16.270187292706566</v>
      </c>
    </row>
    <row r="53" spans="2:12" x14ac:dyDescent="0.25">
      <c r="B53">
        <v>2010</v>
      </c>
      <c r="C53">
        <v>5145650.2369999997</v>
      </c>
      <c r="D53">
        <f t="shared" si="0"/>
        <v>15.453662301577641</v>
      </c>
      <c r="E53">
        <f t="shared" si="1"/>
        <v>-0.86897869730894683</v>
      </c>
      <c r="F53">
        <f t="shared" si="2"/>
        <v>16.322640998886587</v>
      </c>
      <c r="G53">
        <f t="shared" si="3"/>
        <v>15.87317103755835</v>
      </c>
      <c r="H53">
        <f t="shared" si="4"/>
        <v>15.81631903748457</v>
      </c>
      <c r="I53">
        <f t="shared" si="5"/>
        <v>15.968880994880589</v>
      </c>
      <c r="J53">
        <f t="shared" si="7"/>
        <v>16.056454729534344</v>
      </c>
      <c r="K53">
        <f t="shared" si="8"/>
        <v>0.19861789486218023</v>
      </c>
      <c r="L53">
        <f t="shared" si="9"/>
        <v>16.056454729534344</v>
      </c>
    </row>
    <row r="54" spans="2:12" x14ac:dyDescent="0.25">
      <c r="B54">
        <v>2011</v>
      </c>
      <c r="C54">
        <v>4604185.017</v>
      </c>
      <c r="D54">
        <f t="shared" si="0"/>
        <v>15.342476234158953</v>
      </c>
      <c r="E54">
        <f t="shared" si="1"/>
        <v>-0.11118606741868753</v>
      </c>
      <c r="F54">
        <f t="shared" si="2"/>
        <v>15.453662301577641</v>
      </c>
      <c r="G54">
        <f t="shared" si="3"/>
        <v>16.322640998886587</v>
      </c>
      <c r="H54">
        <f t="shared" si="4"/>
        <v>15.87317103755835</v>
      </c>
      <c r="I54">
        <f t="shared" si="5"/>
        <v>15.81631903748457</v>
      </c>
      <c r="J54">
        <f t="shared" si="7"/>
        <v>15.968880994880589</v>
      </c>
      <c r="K54">
        <f t="shared" si="8"/>
        <v>0.31203211195521113</v>
      </c>
      <c r="L54">
        <f t="shared" si="9"/>
        <v>15.968880994880589</v>
      </c>
    </row>
    <row r="55" spans="2:12" x14ac:dyDescent="0.25">
      <c r="B55">
        <v>2012</v>
      </c>
      <c r="C55">
        <v>5925626.7570000002</v>
      </c>
      <c r="D55">
        <f t="shared" si="0"/>
        <v>15.594797021163124</v>
      </c>
      <c r="E55">
        <f t="shared" si="1"/>
        <v>0.25232078700417127</v>
      </c>
      <c r="F55">
        <f t="shared" si="2"/>
        <v>15.342476234158953</v>
      </c>
      <c r="G55">
        <f t="shared" si="3"/>
        <v>15.453662301577641</v>
      </c>
      <c r="H55">
        <f t="shared" si="4"/>
        <v>16.322640998886587</v>
      </c>
      <c r="I55">
        <f t="shared" si="5"/>
        <v>15.87317103755835</v>
      </c>
      <c r="J55">
        <f t="shared" si="7"/>
        <v>15.81631903748457</v>
      </c>
      <c r="K55">
        <f t="shared" si="8"/>
        <v>0.38752406847230492</v>
      </c>
      <c r="L55">
        <f t="shared" si="9"/>
        <v>15.81631903748457</v>
      </c>
    </row>
    <row r="56" spans="2:12" x14ac:dyDescent="0.25">
      <c r="B56">
        <v>2013</v>
      </c>
      <c r="C56">
        <v>5125755.3720000004</v>
      </c>
      <c r="D56">
        <f t="shared" si="0"/>
        <v>15.449788461786493</v>
      </c>
      <c r="E56">
        <f t="shared" si="1"/>
        <v>-0.14500855937663104</v>
      </c>
      <c r="F56">
        <f t="shared" si="2"/>
        <v>15.594797021163124</v>
      </c>
      <c r="G56">
        <f t="shared" si="3"/>
        <v>15.342476234158953</v>
      </c>
      <c r="H56">
        <f t="shared" si="4"/>
        <v>15.453662301577641</v>
      </c>
      <c r="I56">
        <f t="shared" si="5"/>
        <v>16.322640998886587</v>
      </c>
      <c r="J56">
        <f t="shared" si="7"/>
        <v>15.87317103755835</v>
      </c>
      <c r="K56">
        <f t="shared" si="8"/>
        <v>0.3923449261538392</v>
      </c>
      <c r="L56">
        <f t="shared" si="9"/>
        <v>15.87317103755835</v>
      </c>
    </row>
    <row r="57" spans="2:12" x14ac:dyDescent="0.25">
      <c r="B57">
        <v>2014</v>
      </c>
      <c r="C57">
        <v>5081311.0449999999</v>
      </c>
      <c r="D57">
        <f t="shared" si="0"/>
        <v>15.44107986598223</v>
      </c>
      <c r="E57">
        <f t="shared" si="1"/>
        <v>-8.7085958042631972E-3</v>
      </c>
      <c r="F57">
        <f t="shared" si="2"/>
        <v>15.449788461786493</v>
      </c>
      <c r="G57">
        <f t="shared" si="3"/>
        <v>15.594797021163124</v>
      </c>
      <c r="H57">
        <f t="shared" si="4"/>
        <v>15.342476234158953</v>
      </c>
      <c r="I57">
        <f t="shared" si="5"/>
        <v>15.453662301577641</v>
      </c>
      <c r="J57">
        <f t="shared" si="7"/>
        <v>16.322640998886587</v>
      </c>
      <c r="K57">
        <f t="shared" si="8"/>
        <v>0.39597859052991907</v>
      </c>
      <c r="L57">
        <f t="shared" si="9"/>
        <v>16.322640998886587</v>
      </c>
    </row>
    <row r="58" spans="2:12" x14ac:dyDescent="0.25">
      <c r="B58">
        <v>2015</v>
      </c>
      <c r="C58">
        <v>8507572.7449999992</v>
      </c>
      <c r="D58">
        <f t="shared" si="0"/>
        <v>15.956467236011209</v>
      </c>
      <c r="E58">
        <f t="shared" si="1"/>
        <v>0.51538737002897861</v>
      </c>
      <c r="F58">
        <f t="shared" si="2"/>
        <v>15.44107986598223</v>
      </c>
      <c r="G58">
        <f t="shared" si="3"/>
        <v>15.449788461786493</v>
      </c>
      <c r="H58">
        <f t="shared" si="4"/>
        <v>15.594797021163124</v>
      </c>
      <c r="I58">
        <f t="shared" si="5"/>
        <v>15.342476234158953</v>
      </c>
      <c r="J58">
        <f t="shared" si="7"/>
        <v>15.453662301577641</v>
      </c>
      <c r="K58">
        <f t="shared" si="8"/>
        <v>9.0025366056615125E-2</v>
      </c>
      <c r="L58">
        <f t="shared" si="9"/>
        <v>15.453662301577641</v>
      </c>
    </row>
    <row r="59" spans="2:12" x14ac:dyDescent="0.25">
      <c r="B59">
        <v>2016</v>
      </c>
      <c r="C59">
        <v>9891849.2479999997</v>
      </c>
      <c r="D59">
        <f t="shared" si="0"/>
        <v>16.107221667717589</v>
      </c>
      <c r="E59">
        <f t="shared" si="1"/>
        <v>0.15075443170638003</v>
      </c>
      <c r="F59">
        <f t="shared" si="2"/>
        <v>15.956467236011209</v>
      </c>
      <c r="G59">
        <f t="shared" si="3"/>
        <v>15.44107986598223</v>
      </c>
      <c r="H59">
        <f t="shared" si="4"/>
        <v>15.449788461786493</v>
      </c>
      <c r="I59">
        <f t="shared" si="5"/>
        <v>15.594797021163124</v>
      </c>
      <c r="J59">
        <f t="shared" si="7"/>
        <v>15.342476234158953</v>
      </c>
      <c r="K59">
        <f t="shared" si="8"/>
        <v>0.24080847906488345</v>
      </c>
      <c r="L59">
        <f t="shared" si="9"/>
        <v>15.342476234158953</v>
      </c>
    </row>
    <row r="60" spans="2:12" x14ac:dyDescent="0.25">
      <c r="B60">
        <v>2017</v>
      </c>
      <c r="C60">
        <v>12441095.33</v>
      </c>
      <c r="D60">
        <f t="shared" si="0"/>
        <v>16.336515690434588</v>
      </c>
      <c r="E60">
        <f t="shared" si="1"/>
        <v>0.22929402271699928</v>
      </c>
      <c r="F60">
        <f t="shared" si="2"/>
        <v>16.107221667717589</v>
      </c>
      <c r="G60">
        <f t="shared" si="3"/>
        <v>15.956467236011209</v>
      </c>
      <c r="H60">
        <f t="shared" si="4"/>
        <v>15.44107986598223</v>
      </c>
      <c r="I60">
        <f t="shared" si="5"/>
        <v>15.449788461786493</v>
      </c>
      <c r="J60">
        <f t="shared" si="7"/>
        <v>15.594797021163124</v>
      </c>
      <c r="K60">
        <f t="shared" si="8"/>
        <v>0.30488968405223482</v>
      </c>
      <c r="L60">
        <f t="shared" si="9"/>
        <v>15.594797021163124</v>
      </c>
    </row>
    <row r="61" spans="2:12" x14ac:dyDescent="0.25">
      <c r="B61">
        <v>2018</v>
      </c>
      <c r="C61">
        <v>6104312.1710000001</v>
      </c>
      <c r="D61">
        <f t="shared" si="0"/>
        <v>15.624505992676728</v>
      </c>
      <c r="E61">
        <f t="shared" si="1"/>
        <v>-0.71200969775786049</v>
      </c>
      <c r="F61">
        <f t="shared" si="2"/>
        <v>16.336515690434588</v>
      </c>
      <c r="G61">
        <f t="shared" si="3"/>
        <v>16.107221667717589</v>
      </c>
      <c r="H61">
        <f t="shared" si="4"/>
        <v>15.956467236011209</v>
      </c>
      <c r="I61">
        <f t="shared" si="5"/>
        <v>15.44107986598223</v>
      </c>
      <c r="J61">
        <f t="shared" si="7"/>
        <v>15.449788461786493</v>
      </c>
      <c r="K61">
        <f t="shared" si="8"/>
        <v>0.40038835212436308</v>
      </c>
      <c r="L61">
        <f t="shared" si="9"/>
        <v>15.449788461786493</v>
      </c>
    </row>
    <row r="62" spans="2:12" x14ac:dyDescent="0.25">
      <c r="B62">
        <v>2019</v>
      </c>
      <c r="C62">
        <v>15434052.029999999</v>
      </c>
      <c r="D62">
        <f t="shared" si="0"/>
        <v>16.55208679712268</v>
      </c>
      <c r="E62">
        <f t="shared" si="1"/>
        <v>0.92758080444595237</v>
      </c>
      <c r="F62">
        <f t="shared" si="2"/>
        <v>15.624505992676728</v>
      </c>
      <c r="G62">
        <f t="shared" si="3"/>
        <v>16.336515690434588</v>
      </c>
      <c r="H62">
        <f t="shared" si="4"/>
        <v>16.107221667717589</v>
      </c>
      <c r="I62">
        <f t="shared" si="5"/>
        <v>15.956467236011209</v>
      </c>
      <c r="J62">
        <f t="shared" si="7"/>
        <v>15.44107986598223</v>
      </c>
      <c r="K62">
        <f t="shared" si="8"/>
        <v>0.36157499054977948</v>
      </c>
      <c r="L62">
        <f t="shared" si="9"/>
        <v>15.44107986598223</v>
      </c>
    </row>
    <row r="63" spans="2:12" x14ac:dyDescent="0.25">
      <c r="B63">
        <v>2020</v>
      </c>
      <c r="C63">
        <v>15597218.529999999</v>
      </c>
      <c r="D63">
        <f t="shared" si="0"/>
        <v>16.562603156963572</v>
      </c>
      <c r="E63">
        <f t="shared" si="1"/>
        <v>1.0516359840892164E-2</v>
      </c>
      <c r="F63">
        <f t="shared" si="2"/>
        <v>16.55208679712268</v>
      </c>
      <c r="G63">
        <f t="shared" si="3"/>
        <v>15.624505992676728</v>
      </c>
      <c r="H63">
        <f t="shared" si="4"/>
        <v>16.336515690434588</v>
      </c>
      <c r="I63">
        <f t="shared" si="5"/>
        <v>16.107221667717589</v>
      </c>
      <c r="J63">
        <f t="shared" si="7"/>
        <v>15.956467236011209</v>
      </c>
      <c r="K63">
        <f t="shared" si="8"/>
        <v>0.35563005150750299</v>
      </c>
      <c r="L63">
        <f t="shared" si="9"/>
        <v>15.956467236011209</v>
      </c>
    </row>
    <row r="64" spans="2:12" x14ac:dyDescent="0.25">
      <c r="B64">
        <v>2021</v>
      </c>
      <c r="C64">
        <v>7368239.3660000004</v>
      </c>
      <c r="D64">
        <f t="shared" si="0"/>
        <v>15.812689343631709</v>
      </c>
      <c r="E64">
        <f t="shared" si="1"/>
        <v>-0.74991381333186347</v>
      </c>
      <c r="F64">
        <f t="shared" si="2"/>
        <v>16.562603156963572</v>
      </c>
      <c r="G64">
        <f t="shared" si="3"/>
        <v>16.55208679712268</v>
      </c>
      <c r="H64">
        <f t="shared" si="4"/>
        <v>15.624505992676728</v>
      </c>
      <c r="I64">
        <f t="shared" si="5"/>
        <v>16.336515690434588</v>
      </c>
      <c r="J64">
        <f t="shared" si="7"/>
        <v>16.107221667717589</v>
      </c>
      <c r="K64">
        <f t="shared" si="8"/>
        <v>0.38961229077108062</v>
      </c>
      <c r="L64">
        <f t="shared" si="9"/>
        <v>16.107221667717589</v>
      </c>
    </row>
    <row r="65" spans="2:12" x14ac:dyDescent="0.25">
      <c r="B65">
        <v>2022</v>
      </c>
      <c r="C65">
        <v>18151847.640000001</v>
      </c>
      <c r="D65">
        <f t="shared" si="0"/>
        <v>16.714282911841142</v>
      </c>
      <c r="E65">
        <f t="shared" si="1"/>
        <v>0.90159356820943337</v>
      </c>
      <c r="F65">
        <f t="shared" si="2"/>
        <v>15.812689343631709</v>
      </c>
      <c r="G65">
        <f t="shared" si="3"/>
        <v>16.562603156963572</v>
      </c>
      <c r="H65">
        <f t="shared" si="4"/>
        <v>16.55208679712268</v>
      </c>
      <c r="I65">
        <f t="shared" si="5"/>
        <v>15.624505992676728</v>
      </c>
      <c r="J65">
        <f t="shared" si="7"/>
        <v>16.336515690434588</v>
      </c>
      <c r="K65">
        <f t="shared" si="8"/>
        <v>0.43381871924467202</v>
      </c>
      <c r="L65">
        <f t="shared" si="9"/>
        <v>16.336515690434588</v>
      </c>
    </row>
    <row r="66" spans="2:12" x14ac:dyDescent="0.25">
      <c r="B66">
        <v>2023</v>
      </c>
      <c r="C66">
        <v>14814304.02</v>
      </c>
      <c r="D66">
        <f t="shared" si="0"/>
        <v>16.511103759823524</v>
      </c>
      <c r="E66">
        <f t="shared" si="1"/>
        <v>-0.20317915201761849</v>
      </c>
      <c r="F66">
        <f t="shared" si="2"/>
        <v>16.714282911841142</v>
      </c>
      <c r="G66">
        <f t="shared" si="3"/>
        <v>15.812689343631709</v>
      </c>
      <c r="H66">
        <f t="shared" si="4"/>
        <v>16.562603156963572</v>
      </c>
      <c r="I66">
        <f t="shared" si="5"/>
        <v>16.55208679712268</v>
      </c>
      <c r="J66">
        <f t="shared" si="7"/>
        <v>15.624505992676728</v>
      </c>
      <c r="K66">
        <f t="shared" si="8"/>
        <v>0.49673103139048108</v>
      </c>
      <c r="L66">
        <f t="shared" si="9"/>
        <v>15.624505992676728</v>
      </c>
    </row>
    <row r="67" spans="2:12" x14ac:dyDescent="0.25">
      <c r="B67">
        <v>2024</v>
      </c>
      <c r="C67">
        <v>4629742.7343397001</v>
      </c>
      <c r="D67">
        <f t="shared" si="0"/>
        <v>15.348011859581199</v>
      </c>
      <c r="E67">
        <f t="shared" si="1"/>
        <v>-1.1630919002423248</v>
      </c>
      <c r="F67">
        <f t="shared" si="2"/>
        <v>16.511103759823524</v>
      </c>
      <c r="G67">
        <f t="shared" si="3"/>
        <v>16.714282911841142</v>
      </c>
      <c r="H67">
        <f t="shared" si="4"/>
        <v>15.812689343631709</v>
      </c>
      <c r="I67">
        <f t="shared" si="5"/>
        <v>16.562603156963572</v>
      </c>
      <c r="J67">
        <f t="shared" si="7"/>
        <v>16.55208679712268</v>
      </c>
      <c r="K67">
        <f t="shared" si="8"/>
        <v>0.35389062344151478</v>
      </c>
      <c r="L67">
        <f t="shared" si="9"/>
        <v>16.55208679712268</v>
      </c>
    </row>
    <row r="85" spans="9:19" x14ac:dyDescent="0.25">
      <c r="J85" t="s">
        <v>74</v>
      </c>
      <c r="K85" t="s">
        <v>75</v>
      </c>
    </row>
    <row r="86" spans="9:19" x14ac:dyDescent="0.25">
      <c r="K86" t="s">
        <v>76</v>
      </c>
      <c r="P86">
        <f>0.0356*2024-55.646</f>
        <v>16.4084</v>
      </c>
      <c r="Q86" t="s">
        <v>77</v>
      </c>
      <c r="S86" s="1">
        <f>EXP(P86)</f>
        <v>13368342.903525373</v>
      </c>
    </row>
    <row r="88" spans="9:19" x14ac:dyDescent="0.25">
      <c r="I88" t="s">
        <v>78</v>
      </c>
      <c r="K88" t="s">
        <v>79</v>
      </c>
      <c r="P88">
        <v>15.348011859581199</v>
      </c>
      <c r="S88">
        <v>4629742.7343397001</v>
      </c>
    </row>
    <row r="89" spans="9:19" x14ac:dyDescent="0.25">
      <c r="K89" t="s">
        <v>80</v>
      </c>
      <c r="P89">
        <f>LN(S89)</f>
        <v>15.555976732804778</v>
      </c>
      <c r="S89" s="13">
        <v>5700000</v>
      </c>
    </row>
    <row r="90" spans="9:19" x14ac:dyDescent="0.25">
      <c r="L90" t="s">
        <v>81</v>
      </c>
      <c r="P90" s="14"/>
    </row>
    <row r="91" spans="9:19" x14ac:dyDescent="0.25">
      <c r="P91" s="14"/>
    </row>
    <row r="92" spans="9:19" x14ac:dyDescent="0.25">
      <c r="P92" s="14"/>
    </row>
    <row r="93" spans="9:19" x14ac:dyDescent="0.25">
      <c r="P93" s="14"/>
    </row>
    <row r="94" spans="9:19" x14ac:dyDescent="0.25">
      <c r="P94" s="14"/>
    </row>
    <row r="95" spans="9:19" x14ac:dyDescent="0.25">
      <c r="P95" s="14"/>
    </row>
    <row r="96" spans="9:19" x14ac:dyDescent="0.25">
      <c r="P96" s="14"/>
    </row>
    <row r="97" spans="1:33" x14ac:dyDescent="0.25">
      <c r="G97" s="3">
        <f t="shared" ref="G97:Q97" si="10">CORREL($R$101:$R$161,G101:G161)</f>
        <v>0.37236610322654229</v>
      </c>
      <c r="H97" s="3">
        <f t="shared" si="10"/>
        <v>0.47564995705522228</v>
      </c>
      <c r="I97" s="3">
        <f t="shared" si="10"/>
        <v>0.30128416384946904</v>
      </c>
      <c r="J97" s="3">
        <f t="shared" si="10"/>
        <v>0.30831088364369208</v>
      </c>
      <c r="K97" s="3">
        <f t="shared" si="10"/>
        <v>0.4171582431951622</v>
      </c>
      <c r="L97" s="3">
        <f t="shared" si="10"/>
        <v>0.50207973054240063</v>
      </c>
      <c r="M97" s="3">
        <f t="shared" si="10"/>
        <v>0.29467542995116919</v>
      </c>
      <c r="N97" s="3">
        <f t="shared" si="10"/>
        <v>0.18960747250182625</v>
      </c>
      <c r="O97" s="3">
        <f t="shared" si="10"/>
        <v>0.17215906131079342</v>
      </c>
      <c r="P97" s="3">
        <f t="shared" si="10"/>
        <v>1.5947843714306863E-2</v>
      </c>
      <c r="Q97" s="3">
        <f t="shared" si="10"/>
        <v>0.10790144554731639</v>
      </c>
      <c r="S97" t="s">
        <v>82</v>
      </c>
      <c r="AA97" t="s">
        <v>83</v>
      </c>
    </row>
    <row r="98" spans="1:33" ht="15.75" thickBot="1" x14ac:dyDescent="0.3">
      <c r="S98" s="15">
        <v>2746702.9654234238</v>
      </c>
      <c r="T98" s="15">
        <v>1.1276244719974644</v>
      </c>
      <c r="U98" s="15">
        <v>14.759661401345101</v>
      </c>
      <c r="V98" s="16">
        <v>0.87396139821933949</v>
      </c>
    </row>
    <row r="99" spans="1:33" x14ac:dyDescent="0.25">
      <c r="A99" t="s">
        <v>84</v>
      </c>
      <c r="F99" t="s">
        <v>85</v>
      </c>
      <c r="R99" s="1" t="s">
        <v>86</v>
      </c>
      <c r="AB99" t="s">
        <v>15</v>
      </c>
    </row>
    <row r="100" spans="1:33" ht="15.75" thickBot="1" x14ac:dyDescent="0.3">
      <c r="B100" t="s">
        <v>87</v>
      </c>
      <c r="C100" t="s">
        <v>88</v>
      </c>
      <c r="D100" t="s">
        <v>89</v>
      </c>
      <c r="E100" t="s">
        <v>90</v>
      </c>
      <c r="G100" t="s">
        <v>91</v>
      </c>
      <c r="H100" t="s">
        <v>92</v>
      </c>
      <c r="I100" t="s">
        <v>93</v>
      </c>
      <c r="J100" t="s">
        <v>94</v>
      </c>
      <c r="K100" t="s">
        <v>95</v>
      </c>
      <c r="L100" t="s">
        <v>96</v>
      </c>
      <c r="M100" t="s">
        <v>97</v>
      </c>
      <c r="N100" t="s">
        <v>98</v>
      </c>
      <c r="O100" t="s">
        <v>99</v>
      </c>
      <c r="P100" t="s">
        <v>100</v>
      </c>
      <c r="Q100" t="s">
        <v>101</v>
      </c>
      <c r="R100" t="s">
        <v>102</v>
      </c>
      <c r="T100" t="s">
        <v>92</v>
      </c>
      <c r="U100" t="s">
        <v>95</v>
      </c>
      <c r="V100" t="s">
        <v>96</v>
      </c>
      <c r="W100" t="s">
        <v>0</v>
      </c>
    </row>
    <row r="101" spans="1:33" x14ac:dyDescent="0.25">
      <c r="A101">
        <v>63</v>
      </c>
      <c r="B101" t="s">
        <v>103</v>
      </c>
      <c r="C101" t="s">
        <v>44</v>
      </c>
      <c r="D101">
        <v>1963</v>
      </c>
      <c r="E101">
        <v>1991859.77312533</v>
      </c>
      <c r="F101">
        <f>LN(E101)</f>
        <v>14.50457931963143</v>
      </c>
      <c r="G101" s="17">
        <v>0</v>
      </c>
      <c r="H101" s="17">
        <v>50461.375755148103</v>
      </c>
      <c r="I101" s="17">
        <v>62982.417489418302</v>
      </c>
      <c r="J101" s="17">
        <v>0</v>
      </c>
      <c r="K101" s="17">
        <v>2486.66695484511</v>
      </c>
      <c r="L101" s="14">
        <v>1064195.5665801701</v>
      </c>
      <c r="M101" s="17">
        <v>706515.78261794895</v>
      </c>
      <c r="N101" s="17">
        <v>0</v>
      </c>
      <c r="O101" s="17">
        <v>0</v>
      </c>
      <c r="P101" s="17">
        <v>89605.865655831396</v>
      </c>
      <c r="Q101" s="17">
        <v>15612.098071971001</v>
      </c>
      <c r="R101" s="17">
        <f t="shared" ref="R101:R161" si="11">E102</f>
        <v>2012601.3978424701</v>
      </c>
      <c r="S101" s="17">
        <v>1</v>
      </c>
      <c r="T101" s="17">
        <v>50461.375755148103</v>
      </c>
      <c r="U101" s="17">
        <v>2486.66695484511</v>
      </c>
      <c r="V101" s="17">
        <v>1064195.5665801701</v>
      </c>
      <c r="W101">
        <f t="shared" ref="W101:W162" si="12">SUMPRODUCT($S$98:$V$98,S101:V101)</f>
        <v>3770372.6552342437</v>
      </c>
      <c r="AB101" s="9" t="s">
        <v>16</v>
      </c>
      <c r="AC101" s="9"/>
    </row>
    <row r="102" spans="1:33" x14ac:dyDescent="0.25">
      <c r="A102">
        <v>64</v>
      </c>
      <c r="B102" t="s">
        <v>103</v>
      </c>
      <c r="C102" t="s">
        <v>44</v>
      </c>
      <c r="D102">
        <v>1964</v>
      </c>
      <c r="E102">
        <v>2012601.3978424701</v>
      </c>
      <c r="F102">
        <f t="shared" ref="F102:F162" si="13">LN(E102)</f>
        <v>14.514938671026727</v>
      </c>
      <c r="G102" s="17">
        <v>0</v>
      </c>
      <c r="H102" s="17">
        <v>213842.155925381</v>
      </c>
      <c r="I102" s="17">
        <v>155084.84413499999</v>
      </c>
      <c r="J102" s="17">
        <v>88.304671279560907</v>
      </c>
      <c r="K102" s="17">
        <v>397.25921238080701</v>
      </c>
      <c r="L102" s="17">
        <v>1246563.3641520599</v>
      </c>
      <c r="M102" s="17">
        <v>290239.28411309101</v>
      </c>
      <c r="N102" s="17">
        <v>0</v>
      </c>
      <c r="O102" s="17">
        <v>0</v>
      </c>
      <c r="P102" s="17">
        <v>28636.932091930801</v>
      </c>
      <c r="Q102" s="17">
        <v>77749.253513624994</v>
      </c>
      <c r="R102" s="17">
        <f t="shared" si="11"/>
        <v>5170949.6698973104</v>
      </c>
      <c r="S102" s="17">
        <v>1</v>
      </c>
      <c r="T102" s="17">
        <v>213842.155925381</v>
      </c>
      <c r="U102" s="17">
        <v>397.25921238080701</v>
      </c>
      <c r="V102" s="17">
        <v>1246563.3641520599</v>
      </c>
      <c r="W102">
        <f t="shared" si="12"/>
        <v>4083148.2857562248</v>
      </c>
      <c r="AB102" t="s">
        <v>17</v>
      </c>
      <c r="AC102">
        <v>0.76022716141031532</v>
      </c>
    </row>
    <row r="103" spans="1:33" x14ac:dyDescent="0.25">
      <c r="A103">
        <v>65</v>
      </c>
      <c r="B103" t="s">
        <v>103</v>
      </c>
      <c r="C103" t="s">
        <v>44</v>
      </c>
      <c r="D103">
        <v>1965</v>
      </c>
      <c r="E103">
        <v>5170949.6698973104</v>
      </c>
      <c r="F103">
        <f t="shared" si="13"/>
        <v>15.458566918184077</v>
      </c>
      <c r="G103" s="17">
        <v>6.3796535382305999E-9</v>
      </c>
      <c r="H103" s="17">
        <v>47269.212799365298</v>
      </c>
      <c r="I103" s="17">
        <v>340500.30865922797</v>
      </c>
      <c r="J103" s="17">
        <v>782.40829268625896</v>
      </c>
      <c r="K103" s="17">
        <v>6.3796535382305999E-9</v>
      </c>
      <c r="L103" s="17">
        <v>4134127.5327971</v>
      </c>
      <c r="M103" s="17">
        <v>635809.18773082399</v>
      </c>
      <c r="N103" s="17">
        <v>0</v>
      </c>
      <c r="O103" s="17">
        <v>0</v>
      </c>
      <c r="P103" s="17">
        <v>10515.0249304562</v>
      </c>
      <c r="Q103" s="17">
        <v>1945.99468763143</v>
      </c>
      <c r="R103" s="17">
        <f t="shared" si="11"/>
        <v>2903851.0510047199</v>
      </c>
      <c r="S103" s="17">
        <v>1</v>
      </c>
      <c r="T103" s="17">
        <v>47269.212799365298</v>
      </c>
      <c r="U103" s="17">
        <v>6.3796535382305999E-9</v>
      </c>
      <c r="V103" s="17">
        <v>4134127.5327971</v>
      </c>
      <c r="W103">
        <f t="shared" si="12"/>
        <v>6413072.7655285597</v>
      </c>
      <c r="AB103" t="s">
        <v>18</v>
      </c>
      <c r="AC103">
        <v>0.5779453369459856</v>
      </c>
    </row>
    <row r="104" spans="1:33" x14ac:dyDescent="0.25">
      <c r="A104">
        <v>66</v>
      </c>
      <c r="B104" t="s">
        <v>103</v>
      </c>
      <c r="C104" t="s">
        <v>44</v>
      </c>
      <c r="D104">
        <v>1966</v>
      </c>
      <c r="E104">
        <v>2903851.0510047199</v>
      </c>
      <c r="F104">
        <f t="shared" si="13"/>
        <v>14.88154836263506</v>
      </c>
      <c r="G104" s="17">
        <v>0</v>
      </c>
      <c r="H104" s="17">
        <v>3547.2008485370602</v>
      </c>
      <c r="I104" s="17">
        <v>104163.88926419499</v>
      </c>
      <c r="J104" s="17">
        <v>1.8215993693962699E-9</v>
      </c>
      <c r="K104" s="17">
        <v>404.82039789686701</v>
      </c>
      <c r="L104" s="17">
        <v>383656.34894527699</v>
      </c>
      <c r="M104" s="17">
        <v>2347788.8883123901</v>
      </c>
      <c r="N104" s="17">
        <v>129.52971053912501</v>
      </c>
      <c r="O104" s="17">
        <v>0</v>
      </c>
      <c r="P104" s="17">
        <v>43856.629029162301</v>
      </c>
      <c r="Q104" s="17">
        <v>20303.744496720101</v>
      </c>
      <c r="R104" s="17">
        <f t="shared" si="11"/>
        <v>1725062.79500242</v>
      </c>
      <c r="S104" s="17">
        <v>1</v>
      </c>
      <c r="T104" s="17">
        <v>3547.2008485370602</v>
      </c>
      <c r="U104" s="17">
        <v>404.82039789686701</v>
      </c>
      <c r="V104" s="17">
        <v>383656.34894527699</v>
      </c>
      <c r="W104">
        <f t="shared" si="12"/>
        <v>3091978.7270685807</v>
      </c>
      <c r="AB104" t="s">
        <v>19</v>
      </c>
      <c r="AC104">
        <v>0.52220226824073845</v>
      </c>
    </row>
    <row r="105" spans="1:33" x14ac:dyDescent="0.25">
      <c r="A105">
        <v>67</v>
      </c>
      <c r="B105" t="s">
        <v>103</v>
      </c>
      <c r="C105" t="s">
        <v>44</v>
      </c>
      <c r="D105">
        <v>1967</v>
      </c>
      <c r="E105">
        <v>1725062.79500242</v>
      </c>
      <c r="F105">
        <f t="shared" si="13"/>
        <v>14.360774010684981</v>
      </c>
      <c r="G105" s="17">
        <v>228.79450092290699</v>
      </c>
      <c r="H105" s="17">
        <v>2667.3366575197902</v>
      </c>
      <c r="I105" s="17">
        <v>19755.111775392499</v>
      </c>
      <c r="J105" s="17">
        <v>1.5979560181261001E-9</v>
      </c>
      <c r="K105" s="17">
        <v>2263.7248218375898</v>
      </c>
      <c r="L105" s="17">
        <v>716891.18943843502</v>
      </c>
      <c r="M105" s="17">
        <v>916276.14593026496</v>
      </c>
      <c r="N105" s="17">
        <v>0</v>
      </c>
      <c r="O105" s="17">
        <v>0</v>
      </c>
      <c r="P105" s="17">
        <v>27631.832601466998</v>
      </c>
      <c r="Q105" s="17">
        <v>38323.9503664816</v>
      </c>
      <c r="R105" s="17">
        <f t="shared" si="11"/>
        <v>1011976.91402385</v>
      </c>
      <c r="S105" s="17">
        <v>1</v>
      </c>
      <c r="T105" s="17">
        <v>2667.3366575197902</v>
      </c>
      <c r="U105" s="17">
        <v>2263.7248218375898</v>
      </c>
      <c r="V105" s="17">
        <v>716891.18943843502</v>
      </c>
      <c r="W105">
        <f t="shared" si="12"/>
        <v>3409657.7576823821</v>
      </c>
      <c r="AB105" t="s">
        <v>20</v>
      </c>
      <c r="AC105">
        <v>3466989.8421564493</v>
      </c>
    </row>
    <row r="106" spans="1:33" ht="15.75" thickBot="1" x14ac:dyDescent="0.3">
      <c r="A106">
        <v>68</v>
      </c>
      <c r="B106" t="s">
        <v>103</v>
      </c>
      <c r="C106" t="s">
        <v>44</v>
      </c>
      <c r="D106">
        <v>1968</v>
      </c>
      <c r="E106">
        <v>1011976.91402385</v>
      </c>
      <c r="F106">
        <f t="shared" si="13"/>
        <v>13.827416316339947</v>
      </c>
      <c r="G106" s="17">
        <v>8.0438210602280401E-10</v>
      </c>
      <c r="H106" s="17">
        <v>61057.668524557397</v>
      </c>
      <c r="I106" s="17">
        <v>85596.967201401494</v>
      </c>
      <c r="J106" s="17">
        <v>1.21005654602462E-9</v>
      </c>
      <c r="K106" s="17">
        <v>5946.0909409401602</v>
      </c>
      <c r="L106" s="17">
        <v>513647.20068871701</v>
      </c>
      <c r="M106" s="17">
        <v>309636.98703204701</v>
      </c>
      <c r="N106" s="17">
        <v>8.0670436433152497E-10</v>
      </c>
      <c r="O106" s="17">
        <v>0</v>
      </c>
      <c r="P106" s="17">
        <v>27596.2143070436</v>
      </c>
      <c r="Q106" s="17">
        <v>8495.7853291357605</v>
      </c>
      <c r="R106" s="17">
        <f t="shared" si="11"/>
        <v>2016715.5002629701</v>
      </c>
      <c r="S106" s="17">
        <v>1</v>
      </c>
      <c r="T106" s="17">
        <v>61057.668524557397</v>
      </c>
      <c r="U106" s="17">
        <v>5946.0909409401602</v>
      </c>
      <c r="V106" s="17">
        <v>513647.20068871701</v>
      </c>
      <c r="W106">
        <f t="shared" si="12"/>
        <v>3352223.201310067</v>
      </c>
      <c r="AB106" s="7" t="s">
        <v>21</v>
      </c>
      <c r="AC106" s="7">
        <v>61</v>
      </c>
    </row>
    <row r="107" spans="1:33" x14ac:dyDescent="0.25">
      <c r="A107">
        <v>69</v>
      </c>
      <c r="B107" t="s">
        <v>103</v>
      </c>
      <c r="C107" t="s">
        <v>44</v>
      </c>
      <c r="D107">
        <v>1969</v>
      </c>
      <c r="E107">
        <v>2016715.5002629701</v>
      </c>
      <c r="F107">
        <f t="shared" si="13"/>
        <v>14.516980756052167</v>
      </c>
      <c r="G107" s="17">
        <v>0</v>
      </c>
      <c r="H107" s="17">
        <v>24283.8692846673</v>
      </c>
      <c r="I107" s="17">
        <v>36450.126906756297</v>
      </c>
      <c r="J107" s="17">
        <v>2.0092989015125499E-9</v>
      </c>
      <c r="K107" s="17">
        <v>24472.045651304801</v>
      </c>
      <c r="L107" s="17">
        <v>1534886.7928235999</v>
      </c>
      <c r="M107" s="17">
        <v>298366.85220875801</v>
      </c>
      <c r="N107" s="17">
        <v>0</v>
      </c>
      <c r="O107" s="17">
        <v>0</v>
      </c>
      <c r="P107" s="17">
        <v>82830.896692095106</v>
      </c>
      <c r="Q107" s="17">
        <v>15424.916695789099</v>
      </c>
      <c r="R107" s="17">
        <f t="shared" si="11"/>
        <v>1945368.91283336</v>
      </c>
      <c r="S107" s="17">
        <v>1</v>
      </c>
      <c r="T107" s="17">
        <v>24283.8692846673</v>
      </c>
      <c r="U107" s="17">
        <v>24472.045651304801</v>
      </c>
      <c r="V107" s="17">
        <v>1534886.7928235999</v>
      </c>
      <c r="W107">
        <f t="shared" si="12"/>
        <v>4476716.9658796322</v>
      </c>
    </row>
    <row r="108" spans="1:33" ht="15.75" thickBot="1" x14ac:dyDescent="0.3">
      <c r="A108">
        <v>70</v>
      </c>
      <c r="B108" t="s">
        <v>103</v>
      </c>
      <c r="C108" t="s">
        <v>44</v>
      </c>
      <c r="D108">
        <v>1970</v>
      </c>
      <c r="E108">
        <v>1945368.91283336</v>
      </c>
      <c r="F108">
        <f t="shared" si="13"/>
        <v>14.480962189457044</v>
      </c>
      <c r="G108" s="17">
        <v>0</v>
      </c>
      <c r="H108" s="17">
        <v>145853.76728749799</v>
      </c>
      <c r="I108" s="17">
        <v>10867.3518527134</v>
      </c>
      <c r="J108" s="17">
        <v>0</v>
      </c>
      <c r="K108" s="17">
        <v>105.29646737514599</v>
      </c>
      <c r="L108" s="17">
        <v>1485853.91560223</v>
      </c>
      <c r="M108" s="17">
        <v>222304.18945327</v>
      </c>
      <c r="N108" s="17">
        <v>0</v>
      </c>
      <c r="O108" s="17">
        <v>0</v>
      </c>
      <c r="P108" s="17">
        <v>72732.354775400003</v>
      </c>
      <c r="Q108" s="17">
        <v>7474.64784121719</v>
      </c>
      <c r="R108" s="17">
        <f t="shared" si="11"/>
        <v>1996100.3011288601</v>
      </c>
      <c r="S108" s="17">
        <v>1</v>
      </c>
      <c r="T108" s="17">
        <v>145853.76728749799</v>
      </c>
      <c r="U108" s="17">
        <v>105.29646737514599</v>
      </c>
      <c r="V108" s="17">
        <v>1485853.91560223</v>
      </c>
      <c r="W108">
        <f t="shared" si="12"/>
        <v>4211304.3485844499</v>
      </c>
      <c r="AB108" t="s">
        <v>22</v>
      </c>
    </row>
    <row r="109" spans="1:33" x14ac:dyDescent="0.25">
      <c r="A109">
        <v>71</v>
      </c>
      <c r="B109" t="s">
        <v>103</v>
      </c>
      <c r="C109" t="s">
        <v>44</v>
      </c>
      <c r="D109">
        <v>1971</v>
      </c>
      <c r="E109">
        <v>1996100.3011288601</v>
      </c>
      <c r="F109">
        <f t="shared" si="13"/>
        <v>14.506705985657566</v>
      </c>
      <c r="G109" s="17">
        <v>0</v>
      </c>
      <c r="H109" s="17">
        <v>56673.273382022198</v>
      </c>
      <c r="I109" s="17">
        <v>550527.83780922298</v>
      </c>
      <c r="J109" s="17">
        <v>1593.69179001061</v>
      </c>
      <c r="K109" s="17">
        <v>469.58466219199897</v>
      </c>
      <c r="L109" s="17">
        <v>563055.12460147694</v>
      </c>
      <c r="M109" s="17">
        <v>811265.61002478295</v>
      </c>
      <c r="N109" s="17">
        <v>0</v>
      </c>
      <c r="O109" s="17">
        <v>0</v>
      </c>
      <c r="P109" s="17">
        <v>6338.10835351693</v>
      </c>
      <c r="Q109" s="17">
        <v>4276.1893974130699</v>
      </c>
      <c r="R109" s="17">
        <f t="shared" si="11"/>
        <v>1774534.9473906399</v>
      </c>
      <c r="S109" s="17">
        <v>1</v>
      </c>
      <c r="T109" s="17">
        <v>56673.273382022198</v>
      </c>
      <c r="U109" s="17">
        <v>469.58466219199897</v>
      </c>
      <c r="V109" s="17">
        <v>563055.12460147694</v>
      </c>
      <c r="W109">
        <f t="shared" si="12"/>
        <v>3309628.4899816844</v>
      </c>
      <c r="AB109" s="8"/>
      <c r="AC109" s="8" t="s">
        <v>27</v>
      </c>
      <c r="AD109" s="8" t="s">
        <v>28</v>
      </c>
      <c r="AE109" s="8" t="s">
        <v>29</v>
      </c>
      <c r="AF109" s="8" t="s">
        <v>30</v>
      </c>
      <c r="AG109" s="8" t="s">
        <v>31</v>
      </c>
    </row>
    <row r="110" spans="1:33" x14ac:dyDescent="0.25">
      <c r="A110">
        <v>72</v>
      </c>
      <c r="B110" t="s">
        <v>103</v>
      </c>
      <c r="C110" t="s">
        <v>44</v>
      </c>
      <c r="D110">
        <v>1972</v>
      </c>
      <c r="E110">
        <v>1774534.9473906399</v>
      </c>
      <c r="F110">
        <f t="shared" si="13"/>
        <v>14.38904894509321</v>
      </c>
      <c r="G110" s="17">
        <v>2.1753463131782199E-7</v>
      </c>
      <c r="H110" s="17">
        <v>20399.370710824001</v>
      </c>
      <c r="I110" s="17">
        <v>188696.43188796201</v>
      </c>
      <c r="J110" s="17">
        <v>1040.35872716327</v>
      </c>
      <c r="K110" s="17">
        <v>0</v>
      </c>
      <c r="L110" s="17">
        <v>748745.13806821499</v>
      </c>
      <c r="M110" s="17">
        <v>781194.33066773904</v>
      </c>
      <c r="N110" s="17">
        <v>1013.29435110355</v>
      </c>
      <c r="O110" s="17">
        <v>0</v>
      </c>
      <c r="P110" s="17">
        <v>9642.3916361245792</v>
      </c>
      <c r="Q110" s="17">
        <v>22797.360151992001</v>
      </c>
      <c r="R110" s="17">
        <f t="shared" si="11"/>
        <v>787541.57446953095</v>
      </c>
      <c r="S110" s="17">
        <v>1</v>
      </c>
      <c r="T110" s="17">
        <v>20399.370710824001</v>
      </c>
      <c r="U110" s="17">
        <v>0</v>
      </c>
      <c r="V110" s="17">
        <v>748745.13806821499</v>
      </c>
      <c r="W110">
        <f t="shared" si="12"/>
        <v>3424080.1428263271</v>
      </c>
      <c r="AB110" t="s">
        <v>23</v>
      </c>
      <c r="AC110">
        <v>7</v>
      </c>
      <c r="AD110">
        <v>872366679652068.25</v>
      </c>
      <c r="AE110">
        <v>124623811378866.89</v>
      </c>
      <c r="AF110">
        <v>10.368021538282889</v>
      </c>
      <c r="AG110">
        <v>4.0890798227615164E-8</v>
      </c>
    </row>
    <row r="111" spans="1:33" x14ac:dyDescent="0.25">
      <c r="A111">
        <v>73</v>
      </c>
      <c r="B111" t="s">
        <v>103</v>
      </c>
      <c r="C111" t="s">
        <v>44</v>
      </c>
      <c r="D111">
        <v>1973</v>
      </c>
      <c r="E111">
        <v>787541.57446953095</v>
      </c>
      <c r="F111">
        <f t="shared" si="13"/>
        <v>13.576671441265606</v>
      </c>
      <c r="G111" s="17">
        <v>3.4438438214234298E-9</v>
      </c>
      <c r="H111" s="17">
        <v>8738.0902016423497</v>
      </c>
      <c r="I111" s="17">
        <v>46666.2257564225</v>
      </c>
      <c r="J111" s="17">
        <v>3.4437411069766699E-9</v>
      </c>
      <c r="K111" s="17">
        <v>3357.5662066518198</v>
      </c>
      <c r="L111" s="17">
        <v>90534.223461175206</v>
      </c>
      <c r="M111" s="17">
        <v>630902.24330662296</v>
      </c>
      <c r="N111" s="17">
        <v>0</v>
      </c>
      <c r="O111" s="17">
        <v>0</v>
      </c>
      <c r="P111" s="17">
        <v>668.72527730509205</v>
      </c>
      <c r="Q111" s="17">
        <v>6674.5002597005696</v>
      </c>
      <c r="R111" s="17">
        <f t="shared" si="11"/>
        <v>1504237.2313867901</v>
      </c>
      <c r="S111" s="17">
        <v>1</v>
      </c>
      <c r="T111" s="17">
        <v>8738.0902016423497</v>
      </c>
      <c r="U111" s="17">
        <v>3357.5662066518198</v>
      </c>
      <c r="V111" s="17">
        <v>90534.223461175206</v>
      </c>
      <c r="W111">
        <f t="shared" si="12"/>
        <v>2885236.2066389271</v>
      </c>
      <c r="AB111" t="s">
        <v>24</v>
      </c>
      <c r="AC111">
        <v>53</v>
      </c>
      <c r="AD111">
        <v>637060983977648</v>
      </c>
      <c r="AE111">
        <v>12020018565616</v>
      </c>
    </row>
    <row r="112" spans="1:33" ht="15.75" thickBot="1" x14ac:dyDescent="0.3">
      <c r="A112">
        <v>74</v>
      </c>
      <c r="B112" t="s">
        <v>103</v>
      </c>
      <c r="C112" t="s">
        <v>44</v>
      </c>
      <c r="D112">
        <v>1974</v>
      </c>
      <c r="E112">
        <v>1504237.2313867901</v>
      </c>
      <c r="F112">
        <f t="shared" si="13"/>
        <v>14.223796504688114</v>
      </c>
      <c r="G112" s="17">
        <v>1.3874653410370699E-9</v>
      </c>
      <c r="H112" s="17">
        <v>106126.78944789201</v>
      </c>
      <c r="I112" s="17">
        <v>103338.321305227</v>
      </c>
      <c r="J112" s="17">
        <v>1.3873710300731201E-9</v>
      </c>
      <c r="K112" s="17">
        <v>1.3874653410370699E-9</v>
      </c>
      <c r="L112" s="17">
        <v>1090569.10541037</v>
      </c>
      <c r="M112" s="17">
        <v>200828.18124122801</v>
      </c>
      <c r="N112" s="17">
        <v>1832.6611626460001</v>
      </c>
      <c r="O112" s="17">
        <v>0</v>
      </c>
      <c r="P112" s="17">
        <v>9.2519168852582701E-10</v>
      </c>
      <c r="Q112" s="17">
        <v>1542.1728194185</v>
      </c>
      <c r="R112" s="17">
        <f t="shared" si="11"/>
        <v>2238670.9838634902</v>
      </c>
      <c r="S112" s="17">
        <v>1</v>
      </c>
      <c r="T112" s="17">
        <v>106126.78944789201</v>
      </c>
      <c r="U112" s="17">
        <v>1.3874653410370699E-9</v>
      </c>
      <c r="V112" s="17">
        <v>1090569.10541037</v>
      </c>
      <c r="W112">
        <f t="shared" si="12"/>
        <v>3819489.4305586708</v>
      </c>
      <c r="AB112" s="7" t="s">
        <v>25</v>
      </c>
      <c r="AC112" s="7">
        <v>60</v>
      </c>
      <c r="AD112" s="7">
        <v>1509427663629716.3</v>
      </c>
      <c r="AE112" s="7"/>
      <c r="AF112" s="7"/>
      <c r="AG112" s="7"/>
    </row>
    <row r="113" spans="1:36" ht="15.75" thickBot="1" x14ac:dyDescent="0.3">
      <c r="A113">
        <v>75</v>
      </c>
      <c r="B113" t="s">
        <v>103</v>
      </c>
      <c r="C113" t="s">
        <v>44</v>
      </c>
      <c r="D113">
        <v>1975</v>
      </c>
      <c r="E113">
        <v>2238670.9838634902</v>
      </c>
      <c r="F113">
        <f t="shared" si="13"/>
        <v>14.621392936977507</v>
      </c>
      <c r="G113" s="17">
        <v>2.40288545659659E-9</v>
      </c>
      <c r="H113" s="17">
        <v>21238.081168344499</v>
      </c>
      <c r="I113" s="17">
        <v>81044.950366780104</v>
      </c>
      <c r="J113" s="17">
        <v>0</v>
      </c>
      <c r="K113" s="17">
        <v>3281.6788483118298</v>
      </c>
      <c r="L113" s="17">
        <v>565759.84234448103</v>
      </c>
      <c r="M113" s="17">
        <v>1178714.93914402</v>
      </c>
      <c r="N113" s="17">
        <v>8546.2228125705205</v>
      </c>
      <c r="O113" s="17">
        <v>0</v>
      </c>
      <c r="P113" s="17">
        <v>371009.68561038497</v>
      </c>
      <c r="Q113" s="17">
        <v>9075.58356859796</v>
      </c>
      <c r="R113" s="17">
        <f t="shared" si="11"/>
        <v>1704895.44818508</v>
      </c>
      <c r="S113" s="17">
        <v>1</v>
      </c>
      <c r="T113" s="17">
        <v>21238.081168344499</v>
      </c>
      <c r="U113" s="17">
        <v>3281.6788483118298</v>
      </c>
      <c r="V113" s="17">
        <v>565759.84234448103</v>
      </c>
      <c r="W113">
        <f t="shared" si="12"/>
        <v>3313540.2769878921</v>
      </c>
    </row>
    <row r="114" spans="1:36" x14ac:dyDescent="0.25">
      <c r="A114">
        <v>76</v>
      </c>
      <c r="B114" t="s">
        <v>103</v>
      </c>
      <c r="C114" t="s">
        <v>44</v>
      </c>
      <c r="D114">
        <v>1976</v>
      </c>
      <c r="E114">
        <v>1704895.44818508</v>
      </c>
      <c r="F114">
        <f t="shared" si="13"/>
        <v>14.349014346106999</v>
      </c>
      <c r="G114" s="17">
        <v>0</v>
      </c>
      <c r="H114" s="17">
        <v>8.6022962685317096E-8</v>
      </c>
      <c r="I114" s="17">
        <v>1.67021431998158E-7</v>
      </c>
      <c r="J114" s="17">
        <v>0</v>
      </c>
      <c r="K114" s="17">
        <v>3.9991706197644998E-8</v>
      </c>
      <c r="L114" s="17">
        <v>1289361.4140783299</v>
      </c>
      <c r="M114" s="17">
        <v>1.1215028064301E-6</v>
      </c>
      <c r="N114" s="17">
        <v>3.6901566274692397E-8</v>
      </c>
      <c r="O114" s="17">
        <v>0</v>
      </c>
      <c r="P114" s="17">
        <v>415534.034103902</v>
      </c>
      <c r="Q114" s="17">
        <v>1.2941599300843801E-6</v>
      </c>
      <c r="R114" s="17">
        <f t="shared" si="11"/>
        <v>2998167.0091723502</v>
      </c>
      <c r="S114" s="17">
        <v>1</v>
      </c>
      <c r="T114" s="17">
        <v>8.6022962685317096E-8</v>
      </c>
      <c r="U114" s="17">
        <v>3.9991706197644998E-8</v>
      </c>
      <c r="V114" s="17">
        <v>1289361.4140783299</v>
      </c>
      <c r="W114">
        <f t="shared" si="12"/>
        <v>3873555.0696820728</v>
      </c>
      <c r="AB114" s="8"/>
      <c r="AC114" s="8" t="s">
        <v>32</v>
      </c>
      <c r="AD114" s="8" t="s">
        <v>20</v>
      </c>
      <c r="AE114" s="8" t="s">
        <v>33</v>
      </c>
      <c r="AF114" s="8" t="s">
        <v>34</v>
      </c>
      <c r="AG114" s="8" t="s">
        <v>35</v>
      </c>
      <c r="AH114" s="8" t="s">
        <v>36</v>
      </c>
      <c r="AI114" s="8" t="s">
        <v>37</v>
      </c>
      <c r="AJ114" s="8" t="s">
        <v>38</v>
      </c>
    </row>
    <row r="115" spans="1:36" x14ac:dyDescent="0.25">
      <c r="A115">
        <v>77</v>
      </c>
      <c r="B115" t="s">
        <v>103</v>
      </c>
      <c r="C115" t="s">
        <v>44</v>
      </c>
      <c r="D115">
        <v>1977</v>
      </c>
      <c r="E115">
        <v>2998167.0091723502</v>
      </c>
      <c r="F115">
        <f t="shared" si="13"/>
        <v>14.913511662955136</v>
      </c>
      <c r="G115" s="17">
        <v>0</v>
      </c>
      <c r="H115" s="17">
        <v>35038.051496954802</v>
      </c>
      <c r="I115" s="17">
        <v>72017.782525422503</v>
      </c>
      <c r="J115" s="17">
        <v>0</v>
      </c>
      <c r="K115" s="17">
        <v>438.287445848787</v>
      </c>
      <c r="L115" s="17">
        <v>1532499.67750337</v>
      </c>
      <c r="M115" s="17">
        <v>1266964.9780502601</v>
      </c>
      <c r="N115" s="17">
        <v>0</v>
      </c>
      <c r="O115" s="17">
        <v>0</v>
      </c>
      <c r="P115" s="17">
        <v>55646.376660582202</v>
      </c>
      <c r="Q115" s="17">
        <v>34118.741650881399</v>
      </c>
      <c r="R115" s="17">
        <f t="shared" si="11"/>
        <v>2078292.47405351</v>
      </c>
      <c r="S115" s="17">
        <v>1</v>
      </c>
      <c r="T115" s="17">
        <v>35038.051496954802</v>
      </c>
      <c r="U115" s="17">
        <v>438.287445848787</v>
      </c>
      <c r="V115" s="17">
        <v>1532499.67750337</v>
      </c>
      <c r="W115">
        <f t="shared" si="12"/>
        <v>4132027.264961218</v>
      </c>
      <c r="AB115" t="s">
        <v>26</v>
      </c>
      <c r="AC115">
        <v>2164324.1387030846</v>
      </c>
      <c r="AD115">
        <v>863372.49957238173</v>
      </c>
      <c r="AE115">
        <v>2.5068254314042302</v>
      </c>
      <c r="AF115">
        <v>1.5283937004219145E-2</v>
      </c>
      <c r="AG115">
        <v>432618.2052182008</v>
      </c>
      <c r="AH115">
        <v>3896030.0721879685</v>
      </c>
      <c r="AI115">
        <v>432618.2052182008</v>
      </c>
      <c r="AJ115">
        <v>3896030.0721879685</v>
      </c>
    </row>
    <row r="116" spans="1:36" x14ac:dyDescent="0.25">
      <c r="A116">
        <v>78</v>
      </c>
      <c r="B116" t="s">
        <v>103</v>
      </c>
      <c r="C116" t="s">
        <v>44</v>
      </c>
      <c r="D116">
        <v>1978</v>
      </c>
      <c r="E116">
        <v>2078292.47405351</v>
      </c>
      <c r="F116">
        <f t="shared" si="13"/>
        <v>14.547057188597465</v>
      </c>
      <c r="G116" s="17">
        <v>0</v>
      </c>
      <c r="H116" s="17">
        <v>49637.886174348198</v>
      </c>
      <c r="I116" s="17">
        <v>75610.923600189999</v>
      </c>
      <c r="J116" s="17">
        <v>186.40044419709801</v>
      </c>
      <c r="K116" s="17">
        <v>12430.2677841938</v>
      </c>
      <c r="L116" s="17">
        <v>585164.94569365704</v>
      </c>
      <c r="M116" s="17">
        <v>1234294.4516882</v>
      </c>
      <c r="N116" s="17">
        <v>8.1625014392349995E-9</v>
      </c>
      <c r="O116" s="17">
        <v>0</v>
      </c>
      <c r="P116" s="17">
        <v>56930.399547118803</v>
      </c>
      <c r="Q116" s="17">
        <v>64037.199121593898</v>
      </c>
      <c r="R116" s="17">
        <f t="shared" si="11"/>
        <v>2579853.1698369901</v>
      </c>
      <c r="S116" s="17">
        <v>1</v>
      </c>
      <c r="T116" s="17">
        <v>49637.886174348198</v>
      </c>
      <c r="U116" s="17">
        <v>12430.2677841938</v>
      </c>
      <c r="V116" s="17">
        <v>585164.94569365704</v>
      </c>
      <c r="W116">
        <f t="shared" si="12"/>
        <v>3497553.9783619647</v>
      </c>
      <c r="AA116" t="s">
        <v>91</v>
      </c>
      <c r="AB116" t="s">
        <v>39</v>
      </c>
      <c r="AC116">
        <v>13.174248647579661</v>
      </c>
      <c r="AD116">
        <v>9.6666534896510932</v>
      </c>
      <c r="AE116">
        <v>1.3628551661320769</v>
      </c>
      <c r="AF116">
        <v>0.17869085009042154</v>
      </c>
      <c r="AG116">
        <v>-6.2146028774135278</v>
      </c>
      <c r="AH116">
        <v>32.563100172572852</v>
      </c>
      <c r="AI116">
        <v>-6.2146028774135278</v>
      </c>
      <c r="AJ116">
        <v>32.563100172572852</v>
      </c>
    </row>
    <row r="117" spans="1:36" x14ac:dyDescent="0.25">
      <c r="A117">
        <v>79</v>
      </c>
      <c r="B117" t="s">
        <v>103</v>
      </c>
      <c r="C117" t="s">
        <v>44</v>
      </c>
      <c r="D117">
        <v>1979</v>
      </c>
      <c r="E117">
        <v>2579853.1698369901</v>
      </c>
      <c r="F117">
        <f t="shared" si="13"/>
        <v>14.763243044362417</v>
      </c>
      <c r="G117" s="17">
        <v>3.6847252391333999E-9</v>
      </c>
      <c r="H117" s="17">
        <v>55085.406491305497</v>
      </c>
      <c r="I117" s="17">
        <v>88787.362868428099</v>
      </c>
      <c r="J117" s="17">
        <v>3.7049339790372998E-9</v>
      </c>
      <c r="K117" s="17">
        <v>7278.98794096047</v>
      </c>
      <c r="L117" s="17">
        <v>1666318.81278854</v>
      </c>
      <c r="M117" s="17">
        <v>724245.70011789305</v>
      </c>
      <c r="N117" s="17">
        <v>0</v>
      </c>
      <c r="O117" s="17">
        <v>0</v>
      </c>
      <c r="P117" s="17">
        <v>23869.1986368291</v>
      </c>
      <c r="Q117" s="17">
        <v>13973.3282113637</v>
      </c>
      <c r="R117" s="17">
        <f t="shared" si="11"/>
        <v>3449719.4065029598</v>
      </c>
      <c r="S117" s="17">
        <v>1</v>
      </c>
      <c r="T117" s="17">
        <v>55085.406491305497</v>
      </c>
      <c r="U117" s="17">
        <v>7278.98794096047</v>
      </c>
      <c r="V117" s="17">
        <v>1666318.81278854</v>
      </c>
      <c r="W117">
        <f t="shared" si="12"/>
        <v>4372552.3346898612</v>
      </c>
      <c r="AA117" t="s">
        <v>92</v>
      </c>
      <c r="AB117" t="s">
        <v>40</v>
      </c>
      <c r="AC117">
        <v>1.0297047263707464</v>
      </c>
      <c r="AD117">
        <v>0.28001772564084293</v>
      </c>
      <c r="AE117">
        <v>3.677284086263414</v>
      </c>
      <c r="AF117">
        <v>5.5143465876611323E-4</v>
      </c>
      <c r="AG117">
        <v>0.46806029454860776</v>
      </c>
      <c r="AH117">
        <v>1.5913491581928851</v>
      </c>
      <c r="AI117">
        <v>0.46806029454860776</v>
      </c>
      <c r="AJ117">
        <v>1.5913491581928851</v>
      </c>
    </row>
    <row r="118" spans="1:36" x14ac:dyDescent="0.25">
      <c r="A118">
        <v>80</v>
      </c>
      <c r="B118" t="s">
        <v>103</v>
      </c>
      <c r="C118" t="s">
        <v>44</v>
      </c>
      <c r="D118">
        <v>1980</v>
      </c>
      <c r="E118">
        <v>3449719.4065029598</v>
      </c>
      <c r="F118">
        <f t="shared" si="13"/>
        <v>15.053803454251543</v>
      </c>
      <c r="G118" s="17">
        <v>2322.4794719832398</v>
      </c>
      <c r="H118" s="17">
        <v>381107.07403695298</v>
      </c>
      <c r="I118" s="17">
        <v>151116.00714068199</v>
      </c>
      <c r="J118" s="17">
        <v>2.58723415516163E-5</v>
      </c>
      <c r="K118" s="17">
        <v>53443.001447820301</v>
      </c>
      <c r="L118" s="17">
        <v>2234183.0577951898</v>
      </c>
      <c r="M118" s="17">
        <v>561289.69555438997</v>
      </c>
      <c r="N118" s="17">
        <v>0</v>
      </c>
      <c r="O118" s="17">
        <v>5.7696815836501697E-9</v>
      </c>
      <c r="P118" s="17">
        <v>58938.986333189998</v>
      </c>
      <c r="Q118" s="17">
        <v>7319.1046938340296</v>
      </c>
      <c r="R118" s="17">
        <f t="shared" si="11"/>
        <v>4641785.1632384397</v>
      </c>
      <c r="S118" s="17">
        <v>1</v>
      </c>
      <c r="T118" s="17">
        <v>381107.07403695298</v>
      </c>
      <c r="U118" s="17">
        <v>53443.001447820301</v>
      </c>
      <c r="V118" s="17">
        <v>2234183.0577951898</v>
      </c>
      <c r="W118">
        <f t="shared" si="12"/>
        <v>5917838.9832689092</v>
      </c>
      <c r="AA118" t="s">
        <v>93</v>
      </c>
      <c r="AB118" t="s">
        <v>104</v>
      </c>
      <c r="AC118">
        <v>0.19375030006799573</v>
      </c>
      <c r="AD118">
        <v>0.24989194760490627</v>
      </c>
      <c r="AE118">
        <v>0.77533630805233567</v>
      </c>
      <c r="AF118">
        <v>0.4415867654630764</v>
      </c>
      <c r="AG118">
        <v>-0.30746947310272787</v>
      </c>
      <c r="AH118">
        <v>0.6949700732387194</v>
      </c>
      <c r="AI118">
        <v>-0.30746947310272787</v>
      </c>
      <c r="AJ118">
        <v>0.6949700732387194</v>
      </c>
    </row>
    <row r="119" spans="1:36" x14ac:dyDescent="0.25">
      <c r="A119">
        <v>81</v>
      </c>
      <c r="B119" t="s">
        <v>103</v>
      </c>
      <c r="C119" t="s">
        <v>44</v>
      </c>
      <c r="D119">
        <v>1981</v>
      </c>
      <c r="E119">
        <v>4641785.1632384397</v>
      </c>
      <c r="F119">
        <f t="shared" si="13"/>
        <v>15.35060958366806</v>
      </c>
      <c r="G119" s="17">
        <v>0</v>
      </c>
      <c r="H119" s="17">
        <v>823006.34004229004</v>
      </c>
      <c r="I119" s="17">
        <v>452344.43014603498</v>
      </c>
      <c r="J119" s="17">
        <v>0</v>
      </c>
      <c r="K119" s="17">
        <v>1845.6220134943001</v>
      </c>
      <c r="L119" s="17">
        <v>2772401.05416945</v>
      </c>
      <c r="M119" s="17">
        <v>580804.41661755706</v>
      </c>
      <c r="N119" s="17">
        <v>0</v>
      </c>
      <c r="O119" s="17">
        <v>0</v>
      </c>
      <c r="P119" s="17">
        <v>8920.9761038747092</v>
      </c>
      <c r="Q119" s="17">
        <v>2462.3241457364802</v>
      </c>
      <c r="R119" s="17">
        <f t="shared" si="11"/>
        <v>3785029.6766282599</v>
      </c>
      <c r="S119" s="17">
        <v>1</v>
      </c>
      <c r="T119" s="17">
        <v>823006.34004229004</v>
      </c>
      <c r="U119" s="17">
        <v>1845.6220134943001</v>
      </c>
      <c r="V119" s="17">
        <v>2772401.05416945</v>
      </c>
      <c r="W119">
        <f t="shared" si="12"/>
        <v>6124957.3127849251</v>
      </c>
      <c r="AA119" t="s">
        <v>94</v>
      </c>
      <c r="AB119" t="s">
        <v>105</v>
      </c>
      <c r="AC119">
        <v>8.5398206459604005</v>
      </c>
      <c r="AD119">
        <v>34.490625739801928</v>
      </c>
      <c r="AE119">
        <v>0.24759831005633251</v>
      </c>
      <c r="AF119">
        <v>0.80540193573127605</v>
      </c>
      <c r="AG119">
        <v>-60.63961380765474</v>
      </c>
      <c r="AH119">
        <v>77.719255099575548</v>
      </c>
      <c r="AI119">
        <v>-60.63961380765474</v>
      </c>
      <c r="AJ119">
        <v>77.719255099575548</v>
      </c>
    </row>
    <row r="120" spans="1:36" x14ac:dyDescent="0.25">
      <c r="A120">
        <v>82</v>
      </c>
      <c r="B120" t="s">
        <v>103</v>
      </c>
      <c r="C120" t="s">
        <v>44</v>
      </c>
      <c r="D120">
        <v>1982</v>
      </c>
      <c r="E120">
        <v>3785029.6766282599</v>
      </c>
      <c r="F120">
        <f t="shared" si="13"/>
        <v>15.146564285411657</v>
      </c>
      <c r="G120" s="17">
        <v>2849.18178314747</v>
      </c>
      <c r="H120" s="17">
        <v>387998.12365555199</v>
      </c>
      <c r="I120" s="17">
        <v>1935491.15002476</v>
      </c>
      <c r="J120" s="17">
        <v>586.06805095799098</v>
      </c>
      <c r="K120" s="17">
        <v>6740.8474130386503</v>
      </c>
      <c r="L120" s="17">
        <v>628139.00082401303</v>
      </c>
      <c r="M120" s="17">
        <v>820445.38950899697</v>
      </c>
      <c r="N120" s="17">
        <v>1089.65599169702</v>
      </c>
      <c r="O120" s="17">
        <v>0</v>
      </c>
      <c r="P120" s="17">
        <v>0</v>
      </c>
      <c r="Q120" s="17">
        <v>1690.2593760851</v>
      </c>
      <c r="R120" s="17">
        <f t="shared" si="11"/>
        <v>8446307.4607615508</v>
      </c>
      <c r="S120" s="17">
        <v>1</v>
      </c>
      <c r="T120" s="17">
        <v>387998.12365555199</v>
      </c>
      <c r="U120" s="17">
        <v>6740.8474130386503</v>
      </c>
      <c r="V120" s="17">
        <v>628139.00082401303</v>
      </c>
      <c r="W120">
        <f t="shared" si="12"/>
        <v>3832681.0095573594</v>
      </c>
      <c r="AA120" t="s">
        <v>95</v>
      </c>
      <c r="AB120" t="s">
        <v>106</v>
      </c>
      <c r="AC120">
        <v>10.340175435934118</v>
      </c>
      <c r="AD120">
        <v>5.5646911458151243</v>
      </c>
      <c r="AE120">
        <v>1.8581759822753781</v>
      </c>
      <c r="AF120">
        <v>6.8701956545452719E-2</v>
      </c>
      <c r="AG120">
        <v>-0.82118154496537521</v>
      </c>
      <c r="AH120">
        <v>21.501532416833612</v>
      </c>
      <c r="AI120">
        <v>-0.82118154496537521</v>
      </c>
      <c r="AJ120">
        <v>21.501532416833612</v>
      </c>
    </row>
    <row r="121" spans="1:36" x14ac:dyDescent="0.25">
      <c r="A121">
        <v>83</v>
      </c>
      <c r="B121" t="s">
        <v>103</v>
      </c>
      <c r="C121" t="s">
        <v>44</v>
      </c>
      <c r="D121">
        <v>1983</v>
      </c>
      <c r="E121">
        <v>8446307.4607615508</v>
      </c>
      <c r="F121">
        <f t="shared" si="13"/>
        <v>15.949239916934635</v>
      </c>
      <c r="G121" s="17">
        <v>4869.7112162234098</v>
      </c>
      <c r="H121" s="17">
        <v>657109.96608076501</v>
      </c>
      <c r="I121" s="17">
        <v>422634.67799522501</v>
      </c>
      <c r="J121" s="17">
        <v>11696.341311104199</v>
      </c>
      <c r="K121" s="17">
        <v>2251.3658056982599</v>
      </c>
      <c r="L121" s="17">
        <v>6590350.2315993998</v>
      </c>
      <c r="M121" s="17">
        <v>698974.78393297305</v>
      </c>
      <c r="N121" s="17">
        <v>4.44735560386968E-9</v>
      </c>
      <c r="O121" s="17">
        <v>0</v>
      </c>
      <c r="P121" s="17">
        <v>58420.382820153602</v>
      </c>
      <c r="Q121" s="17">
        <v>4.4474488291098101E-9</v>
      </c>
      <c r="R121" s="17">
        <f t="shared" si="11"/>
        <v>5458425.1592640402</v>
      </c>
      <c r="S121" s="17">
        <v>1</v>
      </c>
      <c r="T121" s="17">
        <v>657109.96608076501</v>
      </c>
      <c r="U121" s="17">
        <v>2251.3658056982599</v>
      </c>
      <c r="V121" s="17">
        <v>6590350.2315993998</v>
      </c>
      <c r="W121">
        <f t="shared" si="12"/>
        <v>9280617.3441159502</v>
      </c>
      <c r="AA121" t="s">
        <v>96</v>
      </c>
      <c r="AB121" t="s">
        <v>107</v>
      </c>
      <c r="AC121">
        <v>0.75425951100915112</v>
      </c>
      <c r="AD121">
        <v>0.23027087226103674</v>
      </c>
      <c r="AE121">
        <v>3.2755315668154377</v>
      </c>
      <c r="AF121">
        <v>1.8626416356914658E-3</v>
      </c>
      <c r="AG121">
        <v>0.292394631133224</v>
      </c>
      <c r="AH121">
        <v>1.2161243908850783</v>
      </c>
      <c r="AI121">
        <v>0.292394631133224</v>
      </c>
      <c r="AJ121">
        <v>1.2161243908850783</v>
      </c>
    </row>
    <row r="122" spans="1:36" ht="15.75" thickBot="1" x14ac:dyDescent="0.3">
      <c r="A122">
        <v>84</v>
      </c>
      <c r="B122" t="s">
        <v>103</v>
      </c>
      <c r="C122" t="s">
        <v>44</v>
      </c>
      <c r="D122">
        <v>1984</v>
      </c>
      <c r="E122">
        <v>5458425.1592640402</v>
      </c>
      <c r="F122">
        <f t="shared" si="13"/>
        <v>15.512670873747249</v>
      </c>
      <c r="G122" s="17">
        <v>0</v>
      </c>
      <c r="H122" s="17">
        <v>706929.19451301696</v>
      </c>
      <c r="I122" s="17">
        <v>219730.835599905</v>
      </c>
      <c r="J122" s="17">
        <v>859.61349368651804</v>
      </c>
      <c r="K122" s="17">
        <v>22071.557429558899</v>
      </c>
      <c r="L122" s="17">
        <v>1973576.0335220499</v>
      </c>
      <c r="M122" s="17">
        <v>2484584.8884686702</v>
      </c>
      <c r="N122" s="17">
        <v>0</v>
      </c>
      <c r="O122" s="17">
        <v>0</v>
      </c>
      <c r="P122" s="17">
        <v>13141.224047064699</v>
      </c>
      <c r="Q122" s="17">
        <v>7713.9396660640496</v>
      </c>
      <c r="R122" s="17">
        <f t="shared" si="11"/>
        <v>8331666.1557818297</v>
      </c>
      <c r="S122" s="17">
        <v>1</v>
      </c>
      <c r="T122" s="17">
        <v>706929.19451301696</v>
      </c>
      <c r="U122" s="17">
        <v>22071.557429558899</v>
      </c>
      <c r="V122" s="17">
        <v>1973576.0335220499</v>
      </c>
      <c r="W122">
        <f t="shared" si="12"/>
        <v>5594451.6091354983</v>
      </c>
      <c r="AA122" t="s">
        <v>97</v>
      </c>
      <c r="AB122" s="7" t="s">
        <v>108</v>
      </c>
      <c r="AC122" s="7">
        <v>0.34876622974878169</v>
      </c>
      <c r="AD122" s="7">
        <v>0.31313719101869836</v>
      </c>
      <c r="AE122" s="7">
        <v>1.1137809233523968</v>
      </c>
      <c r="AF122" s="7">
        <v>0.27039888493919334</v>
      </c>
      <c r="AG122" s="7">
        <v>-0.2793074371220593</v>
      </c>
      <c r="AH122" s="7">
        <v>0.97683989661962267</v>
      </c>
      <c r="AI122" s="7">
        <v>-0.2793074371220593</v>
      </c>
      <c r="AJ122" s="7">
        <v>0.97683989661962267</v>
      </c>
    </row>
    <row r="123" spans="1:36" x14ac:dyDescent="0.25">
      <c r="A123">
        <v>85</v>
      </c>
      <c r="B123" t="s">
        <v>103</v>
      </c>
      <c r="C123" t="s">
        <v>44</v>
      </c>
      <c r="D123">
        <v>1985</v>
      </c>
      <c r="E123">
        <v>8331666.1557818297</v>
      </c>
      <c r="F123">
        <f t="shared" si="13"/>
        <v>15.935574012843253</v>
      </c>
      <c r="G123" s="17">
        <v>1756.1897419946099</v>
      </c>
      <c r="H123" s="17">
        <v>593439.33669878705</v>
      </c>
      <c r="I123" s="17">
        <v>2450118.34732742</v>
      </c>
      <c r="J123" s="17">
        <v>3.9208557217545204E-9</v>
      </c>
      <c r="K123" s="17">
        <v>45078.0150934052</v>
      </c>
      <c r="L123" s="17">
        <v>4056129.2924567801</v>
      </c>
      <c r="M123" s="17">
        <v>1176188.83574639</v>
      </c>
      <c r="N123" s="17">
        <v>3.9208557217545204E-9</v>
      </c>
      <c r="O123" s="17">
        <v>363.34751995743397</v>
      </c>
      <c r="P123" s="17">
        <v>3.9237754537433203E-9</v>
      </c>
      <c r="Q123" s="17">
        <v>8592.7911970763507</v>
      </c>
      <c r="R123" s="17">
        <f t="shared" si="11"/>
        <v>5506500.1313733198</v>
      </c>
      <c r="S123" s="17">
        <v>1</v>
      </c>
      <c r="T123" s="17">
        <v>593439.33669878705</v>
      </c>
      <c r="U123" s="17">
        <v>45078.0150934052</v>
      </c>
      <c r="V123" s="17">
        <v>4056129.2924567801</v>
      </c>
      <c r="W123">
        <f t="shared" si="12"/>
        <v>7626116.3513482511</v>
      </c>
    </row>
    <row r="124" spans="1:36" x14ac:dyDescent="0.25">
      <c r="A124">
        <v>86</v>
      </c>
      <c r="B124" t="s">
        <v>103</v>
      </c>
      <c r="C124" t="s">
        <v>44</v>
      </c>
      <c r="D124">
        <v>1986</v>
      </c>
      <c r="E124">
        <v>5506500.1313733198</v>
      </c>
      <c r="F124">
        <f t="shared" si="13"/>
        <v>15.521439794444998</v>
      </c>
      <c r="G124" s="17">
        <v>2413.3764276401798</v>
      </c>
      <c r="H124" s="17">
        <v>1215619.20920408</v>
      </c>
      <c r="I124" s="17">
        <v>432085.82626826502</v>
      </c>
      <c r="J124" s="17">
        <v>4963.2104604358401</v>
      </c>
      <c r="K124" s="17">
        <v>11565.195699716</v>
      </c>
      <c r="L124" s="17">
        <v>2883765.6916510998</v>
      </c>
      <c r="M124" s="17">
        <v>948854.16234132904</v>
      </c>
      <c r="N124" s="17">
        <v>1570.46002135397</v>
      </c>
      <c r="O124" s="17">
        <v>0</v>
      </c>
      <c r="P124" s="17">
        <v>4766.06566327571</v>
      </c>
      <c r="Q124" s="17">
        <v>0</v>
      </c>
      <c r="R124" s="17">
        <f t="shared" si="11"/>
        <v>6385229.4437274002</v>
      </c>
      <c r="S124" s="17">
        <v>1</v>
      </c>
      <c r="T124" s="17">
        <v>1215619.20920408</v>
      </c>
      <c r="U124" s="17">
        <v>11565.195699716</v>
      </c>
      <c r="V124" s="17">
        <v>2883765.6916510998</v>
      </c>
      <c r="W124">
        <f t="shared" si="12"/>
        <v>6808463.2029326055</v>
      </c>
    </row>
    <row r="125" spans="1:36" x14ac:dyDescent="0.25">
      <c r="A125">
        <v>87</v>
      </c>
      <c r="B125" t="s">
        <v>103</v>
      </c>
      <c r="C125" t="s">
        <v>44</v>
      </c>
      <c r="D125">
        <v>1987</v>
      </c>
      <c r="E125">
        <v>6385229.4437274002</v>
      </c>
      <c r="F125">
        <f t="shared" si="13"/>
        <v>15.669497981607742</v>
      </c>
      <c r="G125" s="17">
        <v>484.08325696836999</v>
      </c>
      <c r="H125" s="17">
        <v>1279753.3338830699</v>
      </c>
      <c r="I125" s="17">
        <v>1929108.5571963701</v>
      </c>
      <c r="J125" s="17">
        <v>3247.1250334616002</v>
      </c>
      <c r="K125" s="17">
        <v>7273.0086996558102</v>
      </c>
      <c r="L125" s="17">
        <v>1689006.95305748</v>
      </c>
      <c r="M125" s="17">
        <v>1470066.3552280201</v>
      </c>
      <c r="N125" s="17">
        <v>2.48806146532473E-9</v>
      </c>
      <c r="O125" s="17">
        <v>0</v>
      </c>
      <c r="P125" s="17">
        <v>6290.0273723658902</v>
      </c>
      <c r="Q125" s="17">
        <v>0</v>
      </c>
      <c r="R125" s="17">
        <f t="shared" si="11"/>
        <v>8117564.3786909496</v>
      </c>
      <c r="S125" s="17">
        <v>1</v>
      </c>
      <c r="T125" s="17">
        <v>1279753.3338830699</v>
      </c>
      <c r="U125" s="17">
        <v>7273.0086996558102</v>
      </c>
      <c r="V125" s="17">
        <v>1689006.95305748</v>
      </c>
      <c r="W125">
        <f t="shared" si="12"/>
        <v>5773258.1669025738</v>
      </c>
      <c r="AA125" t="s">
        <v>109</v>
      </c>
    </row>
    <row r="126" spans="1:36" x14ac:dyDescent="0.25">
      <c r="A126">
        <v>88</v>
      </c>
      <c r="B126" t="s">
        <v>103</v>
      </c>
      <c r="C126" t="s">
        <v>44</v>
      </c>
      <c r="D126">
        <v>1988</v>
      </c>
      <c r="E126">
        <v>8117564.3786909496</v>
      </c>
      <c r="F126">
        <f t="shared" si="13"/>
        <v>15.90954071377967</v>
      </c>
      <c r="G126" s="17">
        <v>434.77700487754601</v>
      </c>
      <c r="H126" s="17">
        <v>398395.69849089801</v>
      </c>
      <c r="I126" s="17">
        <v>2553114.4623331102</v>
      </c>
      <c r="J126" s="17">
        <v>6501.0595430346302</v>
      </c>
      <c r="K126" s="17">
        <v>85549.464020191197</v>
      </c>
      <c r="L126" s="17">
        <v>3484607.88307377</v>
      </c>
      <c r="M126" s="17">
        <v>1557303.2419346999</v>
      </c>
      <c r="N126" s="17">
        <v>3.2790001980292401E-9</v>
      </c>
      <c r="O126" s="17">
        <v>0</v>
      </c>
      <c r="P126" s="17">
        <v>22289.960831112301</v>
      </c>
      <c r="Q126" s="17">
        <v>7613.4974261442103</v>
      </c>
      <c r="R126" s="17">
        <f t="shared" si="11"/>
        <v>9807459.9923260007</v>
      </c>
      <c r="S126" s="17">
        <v>1</v>
      </c>
      <c r="T126" s="17">
        <v>398395.69849089801</v>
      </c>
      <c r="U126" s="17">
        <v>85549.464020191197</v>
      </c>
      <c r="V126" s="17">
        <v>3484607.88307377</v>
      </c>
      <c r="W126">
        <f t="shared" si="12"/>
        <v>7504037.6043221448</v>
      </c>
    </row>
    <row r="127" spans="1:36" x14ac:dyDescent="0.25">
      <c r="A127">
        <v>89</v>
      </c>
      <c r="B127" t="s">
        <v>103</v>
      </c>
      <c r="C127" t="s">
        <v>44</v>
      </c>
      <c r="D127">
        <v>1989</v>
      </c>
      <c r="E127">
        <v>9807459.9923260007</v>
      </c>
      <c r="F127">
        <f t="shared" si="13"/>
        <v>16.09865387776372</v>
      </c>
      <c r="G127" s="17">
        <v>1408.97250800187</v>
      </c>
      <c r="H127" s="17">
        <v>425954.88138905901</v>
      </c>
      <c r="I127" s="17">
        <v>637987.57900135696</v>
      </c>
      <c r="J127" s="17">
        <v>6397.3448609752004</v>
      </c>
      <c r="K127" s="17">
        <v>33924.786681351899</v>
      </c>
      <c r="L127" s="17">
        <v>5245773.7278741803</v>
      </c>
      <c r="M127" s="17">
        <v>3439216.6486598002</v>
      </c>
      <c r="N127" s="17">
        <v>4.4222390905351396E-9</v>
      </c>
      <c r="O127" s="17">
        <v>1895.13948093012</v>
      </c>
      <c r="P127" s="17">
        <v>13729.322279943701</v>
      </c>
      <c r="Q127" s="17">
        <v>1027.90877844224</v>
      </c>
      <c r="R127" s="17">
        <f t="shared" si="11"/>
        <v>12605427.226271</v>
      </c>
      <c r="S127" s="17">
        <v>1</v>
      </c>
      <c r="T127" s="17">
        <v>425954.88138905901</v>
      </c>
      <c r="U127" s="17">
        <v>33924.786681351899</v>
      </c>
      <c r="V127" s="17">
        <v>5245773.7278741803</v>
      </c>
      <c r="W127">
        <f t="shared" si="12"/>
        <v>8312342.2201293157</v>
      </c>
    </row>
    <row r="128" spans="1:36" x14ac:dyDescent="0.25">
      <c r="A128">
        <v>90</v>
      </c>
      <c r="B128" t="s">
        <v>103</v>
      </c>
      <c r="C128" t="s">
        <v>44</v>
      </c>
      <c r="D128">
        <v>1990</v>
      </c>
      <c r="E128">
        <v>12605427.226271</v>
      </c>
      <c r="F128">
        <f t="shared" si="13"/>
        <v>16.349638011426933</v>
      </c>
      <c r="G128" s="17">
        <v>4.6849870648237998E-9</v>
      </c>
      <c r="H128" s="17">
        <v>2415527.1115837302</v>
      </c>
      <c r="I128" s="17">
        <v>781317.55197489203</v>
      </c>
      <c r="J128" s="17">
        <v>5627.4391880592202</v>
      </c>
      <c r="K128" s="17">
        <v>10806.6344763956</v>
      </c>
      <c r="L128" s="17">
        <v>4020182.8605691502</v>
      </c>
      <c r="M128" s="17">
        <v>5130350.33121676</v>
      </c>
      <c r="N128" s="17">
        <v>16751.740061725999</v>
      </c>
      <c r="O128" s="17">
        <v>0</v>
      </c>
      <c r="P128" s="17">
        <v>213206.33287632</v>
      </c>
      <c r="Q128" s="17">
        <v>8372.9010318328001</v>
      </c>
      <c r="R128" s="17">
        <f t="shared" si="11"/>
        <v>9235470.3275266904</v>
      </c>
      <c r="S128" s="17">
        <v>1</v>
      </c>
      <c r="T128" s="17">
        <v>2415527.1115837302</v>
      </c>
      <c r="U128" s="17">
        <v>10806.6344763956</v>
      </c>
      <c r="V128" s="17">
        <v>4020182.8605691502</v>
      </c>
      <c r="W128">
        <f t="shared" si="12"/>
        <v>9143497.3488987274</v>
      </c>
      <c r="AA128" t="s">
        <v>15</v>
      </c>
    </row>
    <row r="129" spans="1:35" ht="15.75" thickBot="1" x14ac:dyDescent="0.3">
      <c r="A129">
        <v>91</v>
      </c>
      <c r="B129" t="s">
        <v>103</v>
      </c>
      <c r="C129" t="s">
        <v>44</v>
      </c>
      <c r="D129">
        <v>1991</v>
      </c>
      <c r="E129">
        <v>9235470.3275266904</v>
      </c>
      <c r="F129">
        <f t="shared" si="13"/>
        <v>16.038562099125006</v>
      </c>
      <c r="G129" s="17">
        <v>1175.8251334573099</v>
      </c>
      <c r="H129" s="17">
        <v>699118.62271300599</v>
      </c>
      <c r="I129" s="17">
        <v>3246243.1863536998</v>
      </c>
      <c r="J129" s="17">
        <v>2769.1896320396199</v>
      </c>
      <c r="K129" s="17">
        <v>69292.086057799199</v>
      </c>
      <c r="L129" s="17">
        <v>4062145.4483015598</v>
      </c>
      <c r="M129" s="17">
        <v>1102467.0081613001</v>
      </c>
      <c r="N129" s="17">
        <v>8675.3045362757402</v>
      </c>
      <c r="O129" s="17">
        <v>0</v>
      </c>
      <c r="P129" s="17">
        <v>4118.7334371669704</v>
      </c>
      <c r="Q129" s="17">
        <v>37096.678496618901</v>
      </c>
      <c r="R129" s="17">
        <f t="shared" si="11"/>
        <v>17890992.667780299</v>
      </c>
      <c r="S129" s="17">
        <v>1</v>
      </c>
      <c r="T129" s="17">
        <v>699118.62271300599</v>
      </c>
      <c r="U129" s="17">
        <v>69292.086057799199</v>
      </c>
      <c r="V129" s="17">
        <v>4062145.4483015598</v>
      </c>
      <c r="W129">
        <f t="shared" si="12"/>
        <v>8107932.2769977106</v>
      </c>
    </row>
    <row r="130" spans="1:35" x14ac:dyDescent="0.25">
      <c r="A130">
        <v>92</v>
      </c>
      <c r="B130" t="s">
        <v>103</v>
      </c>
      <c r="C130" t="s">
        <v>44</v>
      </c>
      <c r="D130">
        <v>1992</v>
      </c>
      <c r="E130">
        <v>17890992.667780299</v>
      </c>
      <c r="F130">
        <f t="shared" si="13"/>
        <v>16.699807941244604</v>
      </c>
      <c r="G130" s="17">
        <v>0</v>
      </c>
      <c r="H130" s="17">
        <v>296195.23165761703</v>
      </c>
      <c r="I130" s="17">
        <v>4224764.3198416997</v>
      </c>
      <c r="J130" s="17">
        <v>68372.943878324397</v>
      </c>
      <c r="K130" s="17">
        <v>106273.639441212</v>
      </c>
      <c r="L130" s="17">
        <v>8870956.7876681108</v>
      </c>
      <c r="M130" s="17">
        <v>4210470.4769184003</v>
      </c>
      <c r="N130" s="17">
        <v>4.58349809849968E-9</v>
      </c>
      <c r="O130" s="17">
        <v>5631.4161179040302</v>
      </c>
      <c r="P130" s="17">
        <v>95077.489471577297</v>
      </c>
      <c r="Q130" s="17">
        <v>10931.969370951199</v>
      </c>
      <c r="R130" s="17">
        <f t="shared" si="11"/>
        <v>24250547.860873301</v>
      </c>
      <c r="S130" s="17">
        <v>1</v>
      </c>
      <c r="T130" s="17">
        <v>296195.23165761703</v>
      </c>
      <c r="U130" s="17">
        <v>106273.639441212</v>
      </c>
      <c r="V130" s="17">
        <v>8870956.7876681108</v>
      </c>
      <c r="W130">
        <f t="shared" si="12"/>
        <v>12402136.688864198</v>
      </c>
      <c r="AA130" s="9" t="s">
        <v>16</v>
      </c>
      <c r="AB130" s="9"/>
    </row>
    <row r="131" spans="1:35" x14ac:dyDescent="0.25">
      <c r="A131">
        <v>93</v>
      </c>
      <c r="B131" t="s">
        <v>103</v>
      </c>
      <c r="C131" t="s">
        <v>44</v>
      </c>
      <c r="D131">
        <v>1993</v>
      </c>
      <c r="E131">
        <v>24250547.860873301</v>
      </c>
      <c r="F131">
        <f t="shared" si="13"/>
        <v>17.003949767293527</v>
      </c>
      <c r="G131" s="17">
        <v>5.1052762792866998E-9</v>
      </c>
      <c r="H131" s="17">
        <v>199211.883823385</v>
      </c>
      <c r="I131" s="17">
        <v>1049593.95412407</v>
      </c>
      <c r="J131" s="17">
        <v>134446.605866714</v>
      </c>
      <c r="K131" s="17">
        <v>37449.165215650297</v>
      </c>
      <c r="L131" s="17">
        <v>11121318.3761393</v>
      </c>
      <c r="M131" s="17">
        <v>11458635.4830289</v>
      </c>
      <c r="N131" s="17">
        <v>56070.439825277899</v>
      </c>
      <c r="O131" s="17">
        <v>0</v>
      </c>
      <c r="P131" s="17">
        <v>154845.92374051799</v>
      </c>
      <c r="Q131" s="17">
        <v>38976.029109511401</v>
      </c>
      <c r="R131" s="17">
        <f t="shared" si="11"/>
        <v>12738312.4809906</v>
      </c>
      <c r="S131" s="17">
        <v>1</v>
      </c>
      <c r="T131" s="17">
        <v>199211.883823385</v>
      </c>
      <c r="U131" s="17">
        <v>37449.165215650297</v>
      </c>
      <c r="V131" s="17">
        <v>11121318.3761393</v>
      </c>
      <c r="W131">
        <f t="shared" si="12"/>
        <v>13243679.117134554</v>
      </c>
      <c r="AA131" t="s">
        <v>17</v>
      </c>
      <c r="AB131">
        <v>0.72477039424619172</v>
      </c>
    </row>
    <row r="132" spans="1:35" x14ac:dyDescent="0.25">
      <c r="A132">
        <v>94</v>
      </c>
      <c r="B132" t="s">
        <v>103</v>
      </c>
      <c r="C132" t="s">
        <v>44</v>
      </c>
      <c r="D132">
        <v>1994</v>
      </c>
      <c r="E132">
        <v>12738312.4809906</v>
      </c>
      <c r="F132">
        <f t="shared" si="13"/>
        <v>16.360124741013923</v>
      </c>
      <c r="G132" s="17">
        <v>1450.2136383428401</v>
      </c>
      <c r="H132" s="17">
        <v>393971.17983723001</v>
      </c>
      <c r="I132" s="17">
        <v>251240.48342386301</v>
      </c>
      <c r="J132" s="17">
        <v>5736.6336033334901</v>
      </c>
      <c r="K132" s="17">
        <v>73045.606764673095</v>
      </c>
      <c r="L132" s="17">
        <v>5179386.2191464202</v>
      </c>
      <c r="M132" s="17">
        <v>6458564.4600074803</v>
      </c>
      <c r="N132" s="17">
        <v>44043.8780110238</v>
      </c>
      <c r="O132" s="17">
        <v>2127.550880237</v>
      </c>
      <c r="P132" s="17">
        <v>257263.589975468</v>
      </c>
      <c r="Q132" s="17">
        <v>66090.210099781005</v>
      </c>
      <c r="R132" s="17">
        <f t="shared" si="11"/>
        <v>15374929.535914</v>
      </c>
      <c r="S132" s="17">
        <v>1</v>
      </c>
      <c r="T132" s="17">
        <v>393971.17983723001</v>
      </c>
      <c r="U132" s="17">
        <v>73045.606764673095</v>
      </c>
      <c r="V132" s="17">
        <v>5179386.2191464202</v>
      </c>
      <c r="W132">
        <f t="shared" si="12"/>
        <v>8795666.5537751615</v>
      </c>
      <c r="AA132" t="s">
        <v>18</v>
      </c>
      <c r="AB132">
        <v>0.5252921243757801</v>
      </c>
    </row>
    <row r="133" spans="1:35" x14ac:dyDescent="0.25">
      <c r="A133">
        <v>95</v>
      </c>
      <c r="B133" t="s">
        <v>103</v>
      </c>
      <c r="C133" t="s">
        <v>44</v>
      </c>
      <c r="D133">
        <v>1995</v>
      </c>
      <c r="E133">
        <v>15374929.535914</v>
      </c>
      <c r="F133">
        <f t="shared" si="13"/>
        <v>16.54824878861637</v>
      </c>
      <c r="G133" s="17">
        <v>63.164749685400402</v>
      </c>
      <c r="H133" s="17">
        <v>1208928.89659698</v>
      </c>
      <c r="I133" s="17">
        <v>729603.39787466405</v>
      </c>
      <c r="J133" s="17">
        <v>4115.2810965047502</v>
      </c>
      <c r="K133" s="17">
        <v>18657.043816998099</v>
      </c>
      <c r="L133" s="17">
        <v>8809854.6504350994</v>
      </c>
      <c r="M133" s="17">
        <v>4242640.5250453902</v>
      </c>
      <c r="N133" s="17">
        <v>3860.79366110212</v>
      </c>
      <c r="O133" s="17">
        <v>2909.7280323514201</v>
      </c>
      <c r="P133" s="17">
        <v>189470.881551753</v>
      </c>
      <c r="Q133" s="17">
        <v>162840.94004505299</v>
      </c>
      <c r="R133" s="17">
        <f t="shared" si="11"/>
        <v>12416197.408317501</v>
      </c>
      <c r="S133" s="17">
        <v>1</v>
      </c>
      <c r="T133" s="17">
        <v>1208928.89659698</v>
      </c>
      <c r="U133" s="17">
        <v>18657.043816998099</v>
      </c>
      <c r="V133" s="17">
        <v>8809854.6504350994</v>
      </c>
      <c r="W133">
        <f t="shared" si="12"/>
        <v>12084765.312023431</v>
      </c>
      <c r="AA133" t="s">
        <v>19</v>
      </c>
      <c r="AB133">
        <v>0.5003074993429264</v>
      </c>
    </row>
    <row r="134" spans="1:35" x14ac:dyDescent="0.25">
      <c r="A134">
        <v>96</v>
      </c>
      <c r="B134" t="s">
        <v>103</v>
      </c>
      <c r="C134" t="s">
        <v>44</v>
      </c>
      <c r="D134">
        <v>1996</v>
      </c>
      <c r="E134">
        <v>12416197.408317501</v>
      </c>
      <c r="F134">
        <f t="shared" si="13"/>
        <v>16.334512420788847</v>
      </c>
      <c r="G134" s="17">
        <v>3.2135999384712899E-9</v>
      </c>
      <c r="H134" s="17">
        <v>239876.58415245899</v>
      </c>
      <c r="I134" s="17">
        <v>2874740.5172901098</v>
      </c>
      <c r="J134" s="17">
        <v>5081.9151571284301</v>
      </c>
      <c r="K134" s="17">
        <v>38890.873827418101</v>
      </c>
      <c r="L134" s="17">
        <v>3223466.0514996098</v>
      </c>
      <c r="M134" s="17">
        <v>5980914.3749554902</v>
      </c>
      <c r="N134" s="17">
        <v>435.983434679026</v>
      </c>
      <c r="O134" s="17">
        <v>0</v>
      </c>
      <c r="P134" s="17">
        <v>13130.075304304501</v>
      </c>
      <c r="Q134" s="17">
        <v>28405.333570470299</v>
      </c>
      <c r="R134" s="17">
        <f t="shared" si="11"/>
        <v>7932122.5097897202</v>
      </c>
      <c r="S134" s="17">
        <v>1</v>
      </c>
      <c r="T134" s="17">
        <v>239876.58415245899</v>
      </c>
      <c r="U134" s="17">
        <v>38890.873827418101</v>
      </c>
      <c r="V134" s="17">
        <v>3223466.0514996098</v>
      </c>
      <c r="W134">
        <f t="shared" si="12"/>
        <v>6408394.698749193</v>
      </c>
      <c r="AA134" t="s">
        <v>20</v>
      </c>
      <c r="AB134">
        <v>3545536.3576382841</v>
      </c>
    </row>
    <row r="135" spans="1:35" ht="15.75" thickBot="1" x14ac:dyDescent="0.3">
      <c r="A135">
        <v>97</v>
      </c>
      <c r="B135" t="s">
        <v>103</v>
      </c>
      <c r="C135" t="s">
        <v>44</v>
      </c>
      <c r="D135">
        <v>1997</v>
      </c>
      <c r="E135">
        <v>7932122.5097897202</v>
      </c>
      <c r="F135">
        <f t="shared" si="13"/>
        <v>15.886431213508819</v>
      </c>
      <c r="G135" s="17">
        <v>7731.61327614933</v>
      </c>
      <c r="H135" s="17">
        <v>117628.642903402</v>
      </c>
      <c r="I135" s="17">
        <v>531796.34070602804</v>
      </c>
      <c r="J135" s="17">
        <v>25215.056376398701</v>
      </c>
      <c r="K135" s="17">
        <v>30535.037363357402</v>
      </c>
      <c r="L135" s="17">
        <v>4580342.5438306201</v>
      </c>
      <c r="M135" s="17">
        <v>2573855.0122089498</v>
      </c>
      <c r="N135" s="17">
        <v>32457.545034770501</v>
      </c>
      <c r="O135" s="17">
        <v>2397.2549131397</v>
      </c>
      <c r="P135" s="17">
        <v>9062.1179446729002</v>
      </c>
      <c r="Q135" s="17">
        <v>19349.886081608001</v>
      </c>
      <c r="R135" s="17">
        <f t="shared" si="11"/>
        <v>4689597.3514016401</v>
      </c>
      <c r="S135" s="17">
        <v>1</v>
      </c>
      <c r="T135" s="17">
        <v>117628.642903402</v>
      </c>
      <c r="U135" s="17">
        <v>30535.037363357402</v>
      </c>
      <c r="V135" s="17">
        <v>4580342.5438306201</v>
      </c>
      <c r="W135">
        <f t="shared" si="12"/>
        <v>7333073.2880594628</v>
      </c>
      <c r="AA135" s="7" t="s">
        <v>21</v>
      </c>
      <c r="AB135" s="7">
        <v>61</v>
      </c>
    </row>
    <row r="136" spans="1:35" x14ac:dyDescent="0.25">
      <c r="A136">
        <v>98</v>
      </c>
      <c r="B136" t="s">
        <v>103</v>
      </c>
      <c r="C136" t="s">
        <v>44</v>
      </c>
      <c r="D136">
        <v>1998</v>
      </c>
      <c r="E136">
        <v>4689597.3514016401</v>
      </c>
      <c r="F136">
        <f t="shared" si="13"/>
        <v>15.36085728415731</v>
      </c>
      <c r="G136" s="17">
        <v>3546.4462819076698</v>
      </c>
      <c r="H136" s="17">
        <v>249363.128415902</v>
      </c>
      <c r="I136" s="17">
        <v>329344.10391587002</v>
      </c>
      <c r="J136" s="17">
        <v>2780.6605942448</v>
      </c>
      <c r="K136" s="17">
        <v>67291.024855318203</v>
      </c>
      <c r="L136" s="17">
        <v>800145.24318257906</v>
      </c>
      <c r="M136" s="17">
        <v>3190111.5328399502</v>
      </c>
      <c r="N136" s="17">
        <v>135.817716266584</v>
      </c>
      <c r="O136" s="17">
        <v>0</v>
      </c>
      <c r="P136" s="17">
        <v>38919.261700351599</v>
      </c>
      <c r="Q136" s="17">
        <v>7960.1318992440501</v>
      </c>
      <c r="R136" s="17">
        <f t="shared" si="11"/>
        <v>6481074.1881397702</v>
      </c>
      <c r="S136" s="17">
        <v>1</v>
      </c>
      <c r="T136" s="17">
        <v>249363.128415902</v>
      </c>
      <c r="U136" s="17">
        <v>67291.024855318203</v>
      </c>
      <c r="V136" s="17">
        <v>800145.24318257906</v>
      </c>
      <c r="W136">
        <f t="shared" si="12"/>
        <v>4720379.7291634353</v>
      </c>
    </row>
    <row r="137" spans="1:35" ht="15.75" thickBot="1" x14ac:dyDescent="0.3">
      <c r="A137">
        <v>99</v>
      </c>
      <c r="B137" t="s">
        <v>103</v>
      </c>
      <c r="C137" t="s">
        <v>44</v>
      </c>
      <c r="D137">
        <v>1999</v>
      </c>
      <c r="E137">
        <v>6481074.1881397702</v>
      </c>
      <c r="F137">
        <f t="shared" si="13"/>
        <v>15.684396824364823</v>
      </c>
      <c r="G137" s="17">
        <v>363.424524889434</v>
      </c>
      <c r="H137" s="17">
        <v>1495268.13582122</v>
      </c>
      <c r="I137" s="17">
        <v>493716.32671575499</v>
      </c>
      <c r="J137" s="17">
        <v>1.3886272430089901</v>
      </c>
      <c r="K137" s="17">
        <v>3043.0599923906502</v>
      </c>
      <c r="L137" s="17">
        <v>3805468.7472715802</v>
      </c>
      <c r="M137" s="17">
        <v>653288.021947111</v>
      </c>
      <c r="N137" s="17">
        <v>9411.4410694831804</v>
      </c>
      <c r="O137" s="17">
        <v>0</v>
      </c>
      <c r="P137" s="17">
        <v>1217.8343665971499</v>
      </c>
      <c r="Q137" s="17">
        <v>19295.8078035045</v>
      </c>
      <c r="R137" s="17">
        <f t="shared" si="11"/>
        <v>8168699.0460164901</v>
      </c>
      <c r="S137" s="17">
        <v>1</v>
      </c>
      <c r="T137" s="17">
        <v>1495268.13582122</v>
      </c>
      <c r="U137" s="17">
        <v>3043.0599923906502</v>
      </c>
      <c r="V137" s="17">
        <v>3805468.7472715802</v>
      </c>
      <c r="W137">
        <f t="shared" si="12"/>
        <v>7803551.2299305936</v>
      </c>
      <c r="AA137" t="s">
        <v>22</v>
      </c>
    </row>
    <row r="138" spans="1:35" x14ac:dyDescent="0.25">
      <c r="A138">
        <v>100</v>
      </c>
      <c r="B138" t="s">
        <v>103</v>
      </c>
      <c r="C138" t="s">
        <v>44</v>
      </c>
      <c r="D138">
        <v>2000</v>
      </c>
      <c r="E138">
        <v>8168699.0460164901</v>
      </c>
      <c r="F138">
        <f t="shared" si="13"/>
        <v>15.915820218663171</v>
      </c>
      <c r="G138" s="17">
        <v>0</v>
      </c>
      <c r="H138" s="17">
        <v>412382.55795404402</v>
      </c>
      <c r="I138" s="17">
        <v>2696123.58303612</v>
      </c>
      <c r="J138" s="17">
        <v>2.5389128821557398</v>
      </c>
      <c r="K138" s="17">
        <v>3483.7714829003999</v>
      </c>
      <c r="L138" s="17">
        <v>1726750.27502771</v>
      </c>
      <c r="M138" s="17">
        <v>3299275.7499865801</v>
      </c>
      <c r="N138" s="17">
        <v>0</v>
      </c>
      <c r="O138" s="17">
        <v>0</v>
      </c>
      <c r="P138" s="17">
        <v>26806.4279155927</v>
      </c>
      <c r="Q138" s="17">
        <v>3873.7185485148898</v>
      </c>
      <c r="R138" s="17">
        <f t="shared" si="11"/>
        <v>3566444.1789674698</v>
      </c>
      <c r="S138" s="17">
        <v>1</v>
      </c>
      <c r="T138" s="17">
        <v>412382.55795404402</v>
      </c>
      <c r="U138" s="17">
        <v>3483.7714829003999</v>
      </c>
      <c r="V138" s="17">
        <v>1726750.27502771</v>
      </c>
      <c r="W138">
        <f t="shared" si="12"/>
        <v>4772248.0018234346</v>
      </c>
      <c r="AA138" s="8"/>
      <c r="AB138" s="8" t="s">
        <v>27</v>
      </c>
      <c r="AC138" s="8" t="s">
        <v>28</v>
      </c>
      <c r="AD138" s="8" t="s">
        <v>29</v>
      </c>
      <c r="AE138" s="8" t="s">
        <v>30</v>
      </c>
      <c r="AF138" s="8" t="s">
        <v>31</v>
      </c>
    </row>
    <row r="139" spans="1:35" x14ac:dyDescent="0.25">
      <c r="A139">
        <v>101</v>
      </c>
      <c r="B139" t="s">
        <v>103</v>
      </c>
      <c r="C139" t="s">
        <v>44</v>
      </c>
      <c r="D139">
        <v>2001</v>
      </c>
      <c r="E139">
        <v>3566444.1789674698</v>
      </c>
      <c r="F139">
        <f t="shared" si="13"/>
        <v>15.087079629089581</v>
      </c>
      <c r="G139" s="17">
        <v>1.5807694883858601</v>
      </c>
      <c r="H139" s="17">
        <v>17162.126178029401</v>
      </c>
      <c r="I139" s="17">
        <v>1386366.08215562</v>
      </c>
      <c r="J139" s="17">
        <v>18707.384990636499</v>
      </c>
      <c r="K139" s="17">
        <v>18742.285874621099</v>
      </c>
      <c r="L139" s="17">
        <v>542540.18166963896</v>
      </c>
      <c r="M139" s="17">
        <v>1539472.47498478</v>
      </c>
      <c r="N139" s="17">
        <v>21866.705807866099</v>
      </c>
      <c r="O139" s="17">
        <v>2445.9001122904301</v>
      </c>
      <c r="P139" s="17">
        <v>11312.0012296354</v>
      </c>
      <c r="Q139" s="17">
        <v>7825.4792329976499</v>
      </c>
      <c r="R139" s="17">
        <f t="shared" si="11"/>
        <v>5544321.6731135603</v>
      </c>
      <c r="S139" s="17">
        <v>1</v>
      </c>
      <c r="T139" s="17">
        <v>17162.126178029401</v>
      </c>
      <c r="U139" s="17">
        <v>18742.285874621099</v>
      </c>
      <c r="V139" s="17">
        <v>542540.18166963896</v>
      </c>
      <c r="W139">
        <f t="shared" si="12"/>
        <v>3516844.368052071</v>
      </c>
      <c r="AA139" t="s">
        <v>23</v>
      </c>
      <c r="AB139">
        <v>3</v>
      </c>
      <c r="AC139">
        <v>792890464019624.13</v>
      </c>
      <c r="AD139">
        <v>264296821339874.72</v>
      </c>
      <c r="AE139">
        <v>21.024615085679464</v>
      </c>
      <c r="AF139">
        <v>2.6939424604088995E-9</v>
      </c>
    </row>
    <row r="140" spans="1:35" x14ac:dyDescent="0.25">
      <c r="A140">
        <v>102</v>
      </c>
      <c r="B140" t="s">
        <v>103</v>
      </c>
      <c r="C140" t="s">
        <v>44</v>
      </c>
      <c r="D140">
        <v>2002</v>
      </c>
      <c r="E140">
        <v>5544321.6731135603</v>
      </c>
      <c r="F140">
        <f t="shared" si="13"/>
        <v>15.528284840014555</v>
      </c>
      <c r="G140" s="17">
        <v>0</v>
      </c>
      <c r="H140" s="17">
        <v>20334.586672833098</v>
      </c>
      <c r="I140" s="17">
        <v>177854.741528293</v>
      </c>
      <c r="J140" s="17">
        <v>21943.935823599099</v>
      </c>
      <c r="K140" s="17">
        <v>12649.3265510701</v>
      </c>
      <c r="L140" s="17">
        <v>3493430.96881301</v>
      </c>
      <c r="M140" s="17">
        <v>1749165.38584548</v>
      </c>
      <c r="N140" s="17">
        <v>13866.2393015284</v>
      </c>
      <c r="O140" s="17">
        <v>9875.8586299154103</v>
      </c>
      <c r="P140" s="17">
        <v>30409.311589648001</v>
      </c>
      <c r="Q140" s="17">
        <v>14790.932208067101</v>
      </c>
      <c r="R140" s="17">
        <f t="shared" si="11"/>
        <v>3217355.6503187399</v>
      </c>
      <c r="S140" s="17">
        <v>1</v>
      </c>
      <c r="T140" s="17">
        <v>20334.586672833098</v>
      </c>
      <c r="U140" s="17">
        <v>12649.3265510701</v>
      </c>
      <c r="V140" s="17">
        <v>3493430.96881301</v>
      </c>
      <c r="W140">
        <f t="shared" si="12"/>
        <v>6009456.3339190632</v>
      </c>
      <c r="AA140" t="s">
        <v>24</v>
      </c>
      <c r="AB140">
        <v>57</v>
      </c>
      <c r="AC140">
        <v>716537199610092.13</v>
      </c>
      <c r="AD140">
        <v>12570828063334.949</v>
      </c>
    </row>
    <row r="141" spans="1:35" ht="15.75" thickBot="1" x14ac:dyDescent="0.3">
      <c r="A141">
        <v>103</v>
      </c>
      <c r="B141" t="s">
        <v>103</v>
      </c>
      <c r="C141" t="s">
        <v>44</v>
      </c>
      <c r="D141">
        <v>2003</v>
      </c>
      <c r="E141">
        <v>3217355.6503187399</v>
      </c>
      <c r="F141">
        <f t="shared" si="13"/>
        <v>14.984070353520202</v>
      </c>
      <c r="G141" s="17">
        <v>542.22225599659305</v>
      </c>
      <c r="H141" s="17">
        <v>162299.80821550699</v>
      </c>
      <c r="I141" s="17">
        <v>76433.635755037001</v>
      </c>
      <c r="J141" s="17">
        <v>15.5161917377248</v>
      </c>
      <c r="K141" s="17">
        <v>171813.95652393799</v>
      </c>
      <c r="L141" s="17">
        <v>490761.377167058</v>
      </c>
      <c r="M141" s="17">
        <v>2069386.18113183</v>
      </c>
      <c r="N141" s="17">
        <v>3087.5058586651298</v>
      </c>
      <c r="O141" s="17">
        <v>89.157739962129597</v>
      </c>
      <c r="P141" s="17">
        <v>233786.73057465299</v>
      </c>
      <c r="Q141" s="17">
        <v>9139.5589043560503</v>
      </c>
      <c r="R141" s="17">
        <f t="shared" si="11"/>
        <v>11642669.2721425</v>
      </c>
      <c r="S141" s="17">
        <v>1</v>
      </c>
      <c r="T141" s="17">
        <v>162299.80821550699</v>
      </c>
      <c r="U141" s="17">
        <v>171813.95652393799</v>
      </c>
      <c r="V141" s="17">
        <v>490761.377167058</v>
      </c>
      <c r="W141">
        <f t="shared" si="12"/>
        <v>5894538.5226674471</v>
      </c>
      <c r="AA141" s="7" t="s">
        <v>25</v>
      </c>
      <c r="AB141" s="7">
        <v>60</v>
      </c>
      <c r="AC141" s="7">
        <v>1509427663629716.3</v>
      </c>
      <c r="AD141" s="7"/>
      <c r="AE141" s="7"/>
      <c r="AF141" s="7"/>
    </row>
    <row r="142" spans="1:35" ht="15.75" thickBot="1" x14ac:dyDescent="0.3">
      <c r="A142">
        <v>104</v>
      </c>
      <c r="B142" t="s">
        <v>103</v>
      </c>
      <c r="C142" t="s">
        <v>44</v>
      </c>
      <c r="D142">
        <v>2004</v>
      </c>
      <c r="E142">
        <v>11642669.2721425</v>
      </c>
      <c r="F142">
        <f t="shared" si="13"/>
        <v>16.27018729289059</v>
      </c>
      <c r="G142" s="17">
        <v>0</v>
      </c>
      <c r="H142" s="17">
        <v>1302473.62393083</v>
      </c>
      <c r="I142" s="17">
        <v>395983.31639764499</v>
      </c>
      <c r="J142" s="17">
        <v>3.03085665828841</v>
      </c>
      <c r="K142" s="17">
        <v>25104.915736154901</v>
      </c>
      <c r="L142" s="17">
        <v>9207076.0186829902</v>
      </c>
      <c r="M142" s="17">
        <v>654091.75230393303</v>
      </c>
      <c r="N142" s="17">
        <v>2145.1718005123398</v>
      </c>
      <c r="O142" s="17">
        <v>0</v>
      </c>
      <c r="P142" s="17">
        <v>15139.157023654099</v>
      </c>
      <c r="Q142" s="17">
        <v>40651.599354884696</v>
      </c>
      <c r="R142" s="17">
        <f t="shared" si="11"/>
        <v>9402204.3922494706</v>
      </c>
      <c r="S142" s="17">
        <v>1</v>
      </c>
      <c r="T142" s="17">
        <v>1302473.62393083</v>
      </c>
      <c r="U142" s="17">
        <v>25104.915736154901</v>
      </c>
      <c r="V142" s="17">
        <v>9207076.0186829902</v>
      </c>
      <c r="W142">
        <f t="shared" si="12"/>
        <v>12632573.184473932</v>
      </c>
    </row>
    <row r="143" spans="1:35" x14ac:dyDescent="0.25">
      <c r="A143">
        <v>105</v>
      </c>
      <c r="B143" t="s">
        <v>103</v>
      </c>
      <c r="C143" t="s">
        <v>44</v>
      </c>
      <c r="D143">
        <v>2005</v>
      </c>
      <c r="E143">
        <v>9402204.3922494706</v>
      </c>
      <c r="F143">
        <f t="shared" si="13"/>
        <v>16.056454729560876</v>
      </c>
      <c r="G143" s="17">
        <v>27641.409793020299</v>
      </c>
      <c r="H143" s="17">
        <v>292655.80557413102</v>
      </c>
      <c r="I143" s="17">
        <v>2432554.4342897702</v>
      </c>
      <c r="J143" s="17">
        <v>207.31635451456901</v>
      </c>
      <c r="K143" s="17">
        <v>47658.7306920056</v>
      </c>
      <c r="L143" s="17">
        <v>3546271.31298221</v>
      </c>
      <c r="M143" s="17">
        <v>3035602.31866861</v>
      </c>
      <c r="N143" s="17">
        <v>954.206716835473</v>
      </c>
      <c r="O143" s="17">
        <v>0</v>
      </c>
      <c r="P143" s="17">
        <v>18602.316522042602</v>
      </c>
      <c r="Q143" s="17">
        <v>56.016015470709903</v>
      </c>
      <c r="R143" s="17">
        <f t="shared" si="11"/>
        <v>8613841.9371849298</v>
      </c>
      <c r="S143" s="17">
        <v>1</v>
      </c>
      <c r="T143" s="17">
        <v>292655.80557413102</v>
      </c>
      <c r="U143" s="17">
        <v>47658.7306920056</v>
      </c>
      <c r="V143" s="17">
        <v>3546271.31298221</v>
      </c>
      <c r="W143">
        <f t="shared" si="12"/>
        <v>6879439.7766519077</v>
      </c>
      <c r="AA143" s="8"/>
      <c r="AB143" s="8" t="s">
        <v>32</v>
      </c>
      <c r="AC143" s="8" t="s">
        <v>20</v>
      </c>
      <c r="AD143" s="8" t="s">
        <v>33</v>
      </c>
      <c r="AE143" s="8" t="s">
        <v>34</v>
      </c>
      <c r="AF143" s="8" t="s">
        <v>35</v>
      </c>
      <c r="AG143" s="8" t="s">
        <v>36</v>
      </c>
      <c r="AH143" s="8" t="s">
        <v>37</v>
      </c>
      <c r="AI143" s="8" t="s">
        <v>38</v>
      </c>
    </row>
    <row r="144" spans="1:35" x14ac:dyDescent="0.25">
      <c r="A144">
        <v>106</v>
      </c>
      <c r="B144" t="s">
        <v>103</v>
      </c>
      <c r="C144" t="s">
        <v>44</v>
      </c>
      <c r="D144">
        <v>2006</v>
      </c>
      <c r="E144">
        <v>8613841.9371849298</v>
      </c>
      <c r="F144">
        <f t="shared" si="13"/>
        <v>15.968880994902058</v>
      </c>
      <c r="G144" s="17">
        <v>19080.614421336501</v>
      </c>
      <c r="H144" s="17">
        <v>1450971.2816660099</v>
      </c>
      <c r="I144" s="17">
        <v>797157.91688573605</v>
      </c>
      <c r="J144" s="17">
        <v>33426.020341476797</v>
      </c>
      <c r="K144" s="17">
        <v>45866.3992286875</v>
      </c>
      <c r="L144" s="17">
        <v>1585956.61028939</v>
      </c>
      <c r="M144" s="17">
        <v>4647480.7558379602</v>
      </c>
      <c r="N144" s="17">
        <v>2034.5030310791999</v>
      </c>
      <c r="O144" s="17">
        <v>0</v>
      </c>
      <c r="P144" s="17">
        <v>18902.439694639401</v>
      </c>
      <c r="Q144" s="17">
        <v>10953.712191943099</v>
      </c>
      <c r="R144" s="17">
        <f t="shared" si="11"/>
        <v>7395032.4161607698</v>
      </c>
      <c r="S144" s="17">
        <v>1</v>
      </c>
      <c r="T144" s="17">
        <v>1450971.2816660099</v>
      </c>
      <c r="U144" s="17">
        <v>45866.3992286875</v>
      </c>
      <c r="V144" s="17">
        <v>1585956.61028939</v>
      </c>
      <c r="W144">
        <f t="shared" si="12"/>
        <v>6445891.0697536059</v>
      </c>
      <c r="AA144" t="s">
        <v>26</v>
      </c>
      <c r="AB144">
        <v>2746702.9654234238</v>
      </c>
      <c r="AC144">
        <v>747119.92617134657</v>
      </c>
      <c r="AD144">
        <v>3.6763883135857993</v>
      </c>
      <c r="AE144">
        <v>5.2498367761801587E-4</v>
      </c>
      <c r="AF144">
        <v>1250621.1193172554</v>
      </c>
      <c r="AG144">
        <v>4242784.8115295917</v>
      </c>
      <c r="AH144">
        <v>1250621.1193172554</v>
      </c>
      <c r="AI144">
        <v>4242784.8115295917</v>
      </c>
    </row>
    <row r="145" spans="1:35" x14ac:dyDescent="0.25">
      <c r="A145">
        <v>107</v>
      </c>
      <c r="B145" t="s">
        <v>103</v>
      </c>
      <c r="C145" t="s">
        <v>44</v>
      </c>
      <c r="D145">
        <v>2007</v>
      </c>
      <c r="E145">
        <v>7395032.4161607698</v>
      </c>
      <c r="F145">
        <f t="shared" si="13"/>
        <v>15.816319037641536</v>
      </c>
      <c r="G145" s="17">
        <v>23434.3713561369</v>
      </c>
      <c r="H145" s="17">
        <v>1984955.74038946</v>
      </c>
      <c r="I145" s="17">
        <v>2203107.6673163199</v>
      </c>
      <c r="J145" s="17">
        <v>458.718141125057</v>
      </c>
      <c r="K145" s="17">
        <v>41158.691634941097</v>
      </c>
      <c r="L145" s="17">
        <v>1050682.2867606699</v>
      </c>
      <c r="M145" s="17">
        <v>2059102.14848678</v>
      </c>
      <c r="N145" s="17">
        <v>23089.718771450898</v>
      </c>
      <c r="O145" s="17">
        <v>0</v>
      </c>
      <c r="P145" s="17">
        <v>919.50327278127702</v>
      </c>
      <c r="Q145" s="17">
        <v>8123.57003110408</v>
      </c>
      <c r="R145" s="17">
        <f t="shared" si="11"/>
        <v>7827635.4595456999</v>
      </c>
      <c r="S145" s="17">
        <v>1</v>
      </c>
      <c r="T145" s="17">
        <v>1984955.74038946</v>
      </c>
      <c r="U145" s="17">
        <v>41158.691634941097</v>
      </c>
      <c r="V145" s="17">
        <v>1050682.2867606699</v>
      </c>
      <c r="W145">
        <f t="shared" si="12"/>
        <v>6510731.7467941782</v>
      </c>
      <c r="AA145" t="s">
        <v>39</v>
      </c>
      <c r="AB145">
        <v>1.1276244719974644</v>
      </c>
      <c r="AC145">
        <v>0.26506006531145271</v>
      </c>
      <c r="AD145">
        <v>4.2542224181242663</v>
      </c>
      <c r="AE145">
        <v>7.893869257349093E-5</v>
      </c>
      <c r="AF145">
        <v>0.59685084657386211</v>
      </c>
      <c r="AG145">
        <v>1.6583980974210668</v>
      </c>
      <c r="AH145">
        <v>0.59685084657386211</v>
      </c>
      <c r="AI145">
        <v>1.6583980974210668</v>
      </c>
    </row>
    <row r="146" spans="1:35" x14ac:dyDescent="0.25">
      <c r="A146">
        <v>108</v>
      </c>
      <c r="B146" t="s">
        <v>103</v>
      </c>
      <c r="C146" t="s">
        <v>44</v>
      </c>
      <c r="D146">
        <v>2008</v>
      </c>
      <c r="E146">
        <v>7827635.4595456999</v>
      </c>
      <c r="F146">
        <f t="shared" si="13"/>
        <v>15.873171037628065</v>
      </c>
      <c r="G146" s="17">
        <v>4350.02820269318</v>
      </c>
      <c r="H146" s="17">
        <v>2789827.2731231898</v>
      </c>
      <c r="I146" s="17">
        <v>2552431.0430830298</v>
      </c>
      <c r="J146" s="17">
        <v>1520.4435369385201</v>
      </c>
      <c r="K146" s="17">
        <v>39826.978705139802</v>
      </c>
      <c r="L146" s="17">
        <v>1926995.4584210599</v>
      </c>
      <c r="M146" s="17">
        <v>511617.56621183897</v>
      </c>
      <c r="N146" s="17">
        <v>3.3217002073012299E-9</v>
      </c>
      <c r="O146" s="17">
        <v>0</v>
      </c>
      <c r="P146" s="17">
        <v>561.92896776331702</v>
      </c>
      <c r="Q146" s="17">
        <v>504.73929403022998</v>
      </c>
      <c r="R146" s="17">
        <f t="shared" si="11"/>
        <v>12269670.950218599</v>
      </c>
      <c r="S146" s="17">
        <v>1</v>
      </c>
      <c r="T146" s="17">
        <v>2789827.2731231898</v>
      </c>
      <c r="U146" s="17">
        <v>39826.978705139802</v>
      </c>
      <c r="V146" s="17">
        <v>1926995.4584210599</v>
      </c>
      <c r="W146">
        <f t="shared" si="12"/>
        <v>8164532.8367735185</v>
      </c>
      <c r="AA146" t="s">
        <v>40</v>
      </c>
      <c r="AB146">
        <v>14.759661401345101</v>
      </c>
      <c r="AC146">
        <v>4.7527477963201452</v>
      </c>
      <c r="AD146">
        <v>3.1055006564356082</v>
      </c>
      <c r="AE146">
        <v>2.9579855937548571E-3</v>
      </c>
      <c r="AF146">
        <v>5.2424481024925615</v>
      </c>
      <c r="AG146">
        <v>24.276874700197638</v>
      </c>
      <c r="AH146">
        <v>5.2424481024925615</v>
      </c>
      <c r="AI146">
        <v>24.276874700197638</v>
      </c>
    </row>
    <row r="147" spans="1:35" ht="15.75" thickBot="1" x14ac:dyDescent="0.3">
      <c r="A147">
        <v>109</v>
      </c>
      <c r="B147" t="s">
        <v>103</v>
      </c>
      <c r="C147" t="s">
        <v>44</v>
      </c>
      <c r="D147">
        <v>2009</v>
      </c>
      <c r="E147">
        <v>12269670.950218599</v>
      </c>
      <c r="F147">
        <f t="shared" si="13"/>
        <v>16.322640998904404</v>
      </c>
      <c r="G147" s="17">
        <v>7819.5003549310704</v>
      </c>
      <c r="H147" s="17">
        <v>470725.91292033799</v>
      </c>
      <c r="I147" s="17">
        <v>3459265.9273520699</v>
      </c>
      <c r="J147" s="17">
        <v>18806.458554211898</v>
      </c>
      <c r="K147" s="17">
        <v>36928.623091109701</v>
      </c>
      <c r="L147" s="17">
        <v>6022979.2388191698</v>
      </c>
      <c r="M147" s="17">
        <v>2245895.7816871898</v>
      </c>
      <c r="N147" s="17">
        <v>4.4386043910662699E-8</v>
      </c>
      <c r="O147" s="17">
        <v>2270.4257991068198</v>
      </c>
      <c r="P147" s="17">
        <v>4979.0816404001798</v>
      </c>
      <c r="Q147" s="17">
        <v>0</v>
      </c>
      <c r="R147" s="17">
        <f t="shared" si="11"/>
        <v>5145650.2362554399</v>
      </c>
      <c r="S147" s="17">
        <v>1</v>
      </c>
      <c r="T147" s="17">
        <v>470725.91292033799</v>
      </c>
      <c r="U147" s="17">
        <v>36928.623091109701</v>
      </c>
      <c r="V147" s="17">
        <v>6022979.2388191698</v>
      </c>
      <c r="W147">
        <f t="shared" si="12"/>
        <v>9086410.3542828709</v>
      </c>
      <c r="AA147" s="7" t="s">
        <v>104</v>
      </c>
      <c r="AB147" s="7">
        <v>0.87396139821933949</v>
      </c>
      <c r="AC147" s="7">
        <v>0.18688926370348621</v>
      </c>
      <c r="AD147" s="7">
        <v>4.6763595773267346</v>
      </c>
      <c r="AE147" s="7">
        <v>1.8359992530191856E-5</v>
      </c>
      <c r="AF147" s="7">
        <v>0.49972210294077996</v>
      </c>
      <c r="AG147" s="7">
        <v>1.2482006934978991</v>
      </c>
      <c r="AH147" s="7">
        <v>0.49972210294077996</v>
      </c>
      <c r="AI147" s="7">
        <v>1.2482006934978991</v>
      </c>
    </row>
    <row r="148" spans="1:35" x14ac:dyDescent="0.25">
      <c r="A148">
        <v>110</v>
      </c>
      <c r="B148" t="s">
        <v>103</v>
      </c>
      <c r="C148" t="s">
        <v>44</v>
      </c>
      <c r="D148">
        <v>2010</v>
      </c>
      <c r="E148">
        <v>5145650.2362554399</v>
      </c>
      <c r="F148">
        <f t="shared" si="13"/>
        <v>15.453662301432944</v>
      </c>
      <c r="G148" s="17">
        <v>8768.6021261361293</v>
      </c>
      <c r="H148" s="17">
        <v>144943.02378843399</v>
      </c>
      <c r="I148" s="17">
        <v>202329.24234062701</v>
      </c>
      <c r="J148" s="17">
        <v>4.6910383855609804E-9</v>
      </c>
      <c r="K148" s="17">
        <v>121161.372517706</v>
      </c>
      <c r="L148" s="17">
        <v>2866201.43686753</v>
      </c>
      <c r="M148" s="17">
        <v>1767627.19960324</v>
      </c>
      <c r="N148" s="17">
        <v>5191.3414954603604</v>
      </c>
      <c r="O148" s="17">
        <v>739.50115350597605</v>
      </c>
      <c r="P148" s="17">
        <v>26666.7493505278</v>
      </c>
      <c r="Q148" s="17">
        <v>2021.76701225957</v>
      </c>
      <c r="R148" s="17">
        <f t="shared" si="11"/>
        <v>4604185.0167821702</v>
      </c>
      <c r="S148" s="17">
        <v>1</v>
      </c>
      <c r="T148" s="17">
        <v>144943.02378843399</v>
      </c>
      <c r="U148" s="17">
        <v>121161.372517706</v>
      </c>
      <c r="V148" s="17">
        <v>2866201.43686753</v>
      </c>
      <c r="W148">
        <f t="shared" si="12"/>
        <v>7203394.5147191789</v>
      </c>
    </row>
    <row r="149" spans="1:35" x14ac:dyDescent="0.25">
      <c r="A149">
        <v>111</v>
      </c>
      <c r="B149" t="s">
        <v>103</v>
      </c>
      <c r="C149" t="s">
        <v>44</v>
      </c>
      <c r="D149">
        <v>2011</v>
      </c>
      <c r="E149">
        <v>4604185.0167821702</v>
      </c>
      <c r="F149">
        <f t="shared" si="13"/>
        <v>15.342476234111642</v>
      </c>
      <c r="G149" s="17">
        <v>317.09017605064997</v>
      </c>
      <c r="H149" s="17">
        <v>53088.117860343402</v>
      </c>
      <c r="I149" s="17">
        <v>253935.80865245001</v>
      </c>
      <c r="J149" s="17">
        <v>19.358678171731601</v>
      </c>
      <c r="K149" s="17">
        <v>71868.147256234894</v>
      </c>
      <c r="L149" s="17">
        <v>1632027.2442753401</v>
      </c>
      <c r="M149" s="17">
        <v>2550952.9848732399</v>
      </c>
      <c r="N149" s="17">
        <v>375.09789083533701</v>
      </c>
      <c r="O149" s="17">
        <v>317.09017803125602</v>
      </c>
      <c r="P149" s="17">
        <v>33876.219346664599</v>
      </c>
      <c r="Q149" s="17">
        <v>7407.8575948006401</v>
      </c>
      <c r="R149" s="17">
        <f t="shared" si="11"/>
        <v>5925626.757034</v>
      </c>
      <c r="S149" s="17">
        <v>1</v>
      </c>
      <c r="T149" s="17">
        <v>53088.117860343402</v>
      </c>
      <c r="U149" s="17">
        <v>71868.147256234894</v>
      </c>
      <c r="V149" s="17">
        <v>1632027.2442753401</v>
      </c>
      <c r="W149">
        <f t="shared" si="12"/>
        <v>5293644.7576780003</v>
      </c>
    </row>
    <row r="150" spans="1:35" x14ac:dyDescent="0.25">
      <c r="A150">
        <v>112</v>
      </c>
      <c r="B150" t="s">
        <v>103</v>
      </c>
      <c r="C150" t="s">
        <v>44</v>
      </c>
      <c r="D150">
        <v>2012</v>
      </c>
      <c r="E150">
        <v>5925626.757034</v>
      </c>
      <c r="F150">
        <f t="shared" si="13"/>
        <v>15.594797021168862</v>
      </c>
      <c r="G150" s="17">
        <v>5486.4336098243102</v>
      </c>
      <c r="H150" s="17">
        <v>630407.67288635799</v>
      </c>
      <c r="I150" s="17">
        <v>429490.26636867999</v>
      </c>
      <c r="J150" s="17">
        <v>1720.0485673809701</v>
      </c>
      <c r="K150" s="17">
        <v>58269.880165393297</v>
      </c>
      <c r="L150" s="17">
        <v>3377632.4612042299</v>
      </c>
      <c r="M150" s="17">
        <v>1370541.08966448</v>
      </c>
      <c r="N150" s="17">
        <v>6192.5163523814499</v>
      </c>
      <c r="O150" s="17">
        <v>2175.13560871452</v>
      </c>
      <c r="P150" s="17">
        <v>29958.395755262201</v>
      </c>
      <c r="Q150" s="17">
        <v>12711.297963175601</v>
      </c>
      <c r="R150" s="17">
        <f t="shared" si="11"/>
        <v>5125755.3723449502</v>
      </c>
      <c r="S150" s="17">
        <v>1</v>
      </c>
      <c r="T150" s="17">
        <v>630407.67288635799</v>
      </c>
      <c r="U150" s="17">
        <v>58269.880165393297</v>
      </c>
      <c r="V150" s="17">
        <v>3377632.4612042299</v>
      </c>
      <c r="W150">
        <f t="shared" si="12"/>
        <v>7269530.1743082907</v>
      </c>
    </row>
    <row r="151" spans="1:35" x14ac:dyDescent="0.25">
      <c r="A151">
        <v>113</v>
      </c>
      <c r="B151" t="s">
        <v>103</v>
      </c>
      <c r="C151" t="s">
        <v>44</v>
      </c>
      <c r="D151">
        <v>2013</v>
      </c>
      <c r="E151">
        <v>5125755.3723449502</v>
      </c>
      <c r="F151">
        <f t="shared" si="13"/>
        <v>15.449788461853791</v>
      </c>
      <c r="G151" s="17">
        <v>10191.8428035865</v>
      </c>
      <c r="H151" s="17">
        <v>305233.880903563</v>
      </c>
      <c r="I151" s="17">
        <v>1090910.8896669</v>
      </c>
      <c r="J151" s="17">
        <v>13.781315954156501</v>
      </c>
      <c r="K151" s="17">
        <v>122199.46925165001</v>
      </c>
      <c r="L151" s="17">
        <v>1104841.6710454</v>
      </c>
      <c r="M151" s="17">
        <v>2457309.1204477102</v>
      </c>
      <c r="N151" s="17">
        <v>1.4528836014769601E-8</v>
      </c>
      <c r="O151" s="17">
        <v>1581.7737002089</v>
      </c>
      <c r="P151" s="17">
        <v>21920.2000567129</v>
      </c>
      <c r="Q151" s="17">
        <v>11552.743152858</v>
      </c>
      <c r="R151" s="17">
        <f t="shared" si="11"/>
        <v>5081311.04511429</v>
      </c>
      <c r="S151" s="17">
        <v>1</v>
      </c>
      <c r="T151" s="17">
        <v>305233.880903563</v>
      </c>
      <c r="U151" s="17">
        <v>122199.46925165001</v>
      </c>
      <c r="V151" s="17">
        <v>1104841.6710454</v>
      </c>
      <c r="W151">
        <f t="shared" si="12"/>
        <v>5860103.9204293061</v>
      </c>
    </row>
    <row r="152" spans="1:35" x14ac:dyDescent="0.25">
      <c r="A152">
        <v>114</v>
      </c>
      <c r="B152" t="s">
        <v>103</v>
      </c>
      <c r="C152" t="s">
        <v>44</v>
      </c>
      <c r="D152">
        <v>2014</v>
      </c>
      <c r="E152">
        <v>5081311.04511429</v>
      </c>
      <c r="F152">
        <f t="shared" si="13"/>
        <v>15.441079866004722</v>
      </c>
      <c r="G152" s="17">
        <v>36548.021326485199</v>
      </c>
      <c r="H152" s="17">
        <v>537683.00048149005</v>
      </c>
      <c r="I152" s="17">
        <v>488974.666187378</v>
      </c>
      <c r="J152" s="17">
        <v>16.059625371031402</v>
      </c>
      <c r="K152" s="17">
        <v>274215.92848077498</v>
      </c>
      <c r="L152" s="17">
        <v>2763497.8149396302</v>
      </c>
      <c r="M152" s="17">
        <v>943565.494165982</v>
      </c>
      <c r="N152" s="17">
        <v>4010.9767609228302</v>
      </c>
      <c r="O152" s="17">
        <v>7959.8349082957302</v>
      </c>
      <c r="P152" s="17">
        <v>483.56350996681999</v>
      </c>
      <c r="Q152" s="17">
        <v>16152.4347993101</v>
      </c>
      <c r="R152" s="17">
        <f t="shared" si="11"/>
        <v>8507572.7456944995</v>
      </c>
      <c r="S152" s="17">
        <v>1</v>
      </c>
      <c r="T152" s="17">
        <v>537683.00048149005</v>
      </c>
      <c r="U152" s="17">
        <v>274215.92848077498</v>
      </c>
      <c r="V152" s="17">
        <v>2763497.8149396302</v>
      </c>
      <c r="W152">
        <f t="shared" si="12"/>
        <v>9815532.1444958076</v>
      </c>
    </row>
    <row r="153" spans="1:35" x14ac:dyDescent="0.25">
      <c r="A153">
        <v>115</v>
      </c>
      <c r="B153" t="s">
        <v>103</v>
      </c>
      <c r="C153" t="s">
        <v>44</v>
      </c>
      <c r="D153">
        <v>2015</v>
      </c>
      <c r="E153">
        <v>8507572.7456944995</v>
      </c>
      <c r="F153">
        <f t="shared" si="13"/>
        <v>15.956467236092841</v>
      </c>
      <c r="G153" s="17">
        <v>38196.985148717598</v>
      </c>
      <c r="H153" s="17">
        <v>444733.70867548499</v>
      </c>
      <c r="I153" s="17">
        <v>671671.932151924</v>
      </c>
      <c r="J153" s="17">
        <v>8427.6442051463691</v>
      </c>
      <c r="K153" s="17">
        <v>532951.35977030895</v>
      </c>
      <c r="L153" s="17">
        <v>5984739.94547245</v>
      </c>
      <c r="M153" s="17">
        <v>785871.79847386701</v>
      </c>
      <c r="N153" s="17">
        <v>0</v>
      </c>
      <c r="O153" s="17">
        <v>18840.545925236001</v>
      </c>
      <c r="P153" s="17">
        <v>20169.065199725901</v>
      </c>
      <c r="Q153" s="17">
        <v>0</v>
      </c>
      <c r="R153" s="17">
        <f t="shared" si="11"/>
        <v>9891849.2478553206</v>
      </c>
      <c r="S153" s="17">
        <v>1</v>
      </c>
      <c r="T153" s="17">
        <v>444733.70867548499</v>
      </c>
      <c r="U153" s="17">
        <v>532951.35977030895</v>
      </c>
      <c r="V153" s="17">
        <v>5984739.94547245</v>
      </c>
      <c r="W153">
        <f t="shared" si="12"/>
        <v>16344808.883168541</v>
      </c>
    </row>
    <row r="154" spans="1:35" x14ac:dyDescent="0.25">
      <c r="A154">
        <v>116</v>
      </c>
      <c r="B154" t="s">
        <v>103</v>
      </c>
      <c r="C154" t="s">
        <v>44</v>
      </c>
      <c r="D154">
        <v>2016</v>
      </c>
      <c r="E154">
        <v>9891849.2478553206</v>
      </c>
      <c r="F154">
        <f t="shared" si="13"/>
        <v>16.107221667702962</v>
      </c>
      <c r="G154" s="17">
        <v>162141.35819137501</v>
      </c>
      <c r="H154" s="17">
        <v>1977511.2976895899</v>
      </c>
      <c r="I154" s="17">
        <v>1095740.23201025</v>
      </c>
      <c r="J154" s="17">
        <v>4.4198600097082401E-9</v>
      </c>
      <c r="K154" s="17">
        <v>353152.03612901899</v>
      </c>
      <c r="L154" s="17">
        <v>3901937.6373978001</v>
      </c>
      <c r="M154" s="17">
        <v>2345583.7658858001</v>
      </c>
      <c r="N154" s="17">
        <v>4.4198600097082401E-9</v>
      </c>
      <c r="O154" s="17">
        <v>1227.0280257127199</v>
      </c>
      <c r="P154" s="17">
        <v>54555.892525766598</v>
      </c>
      <c r="Q154" s="17">
        <v>4.4575241748710304E-9</v>
      </c>
      <c r="R154" s="17">
        <f t="shared" si="11"/>
        <v>12441095.3321192</v>
      </c>
      <c r="S154" s="17">
        <v>1</v>
      </c>
      <c r="T154" s="17">
        <v>1977511.2976895899</v>
      </c>
      <c r="U154" s="17">
        <v>353152.03612901899</v>
      </c>
      <c r="V154" s="17">
        <v>3901937.6373978001</v>
      </c>
      <c r="W154">
        <f t="shared" si="12"/>
        <v>13599140.448154429</v>
      </c>
    </row>
    <row r="155" spans="1:35" x14ac:dyDescent="0.25">
      <c r="A155">
        <v>117</v>
      </c>
      <c r="B155" t="s">
        <v>103</v>
      </c>
      <c r="C155" t="s">
        <v>44</v>
      </c>
      <c r="D155">
        <v>2017</v>
      </c>
      <c r="E155">
        <v>12441095.3321192</v>
      </c>
      <c r="F155">
        <f t="shared" si="13"/>
        <v>16.336515690604926</v>
      </c>
      <c r="G155" s="17">
        <v>102285.98258054801</v>
      </c>
      <c r="H155" s="17">
        <v>2859582.0914596301</v>
      </c>
      <c r="I155" s="17">
        <v>1278331.3116123499</v>
      </c>
      <c r="J155" s="17">
        <v>4106.9496192955103</v>
      </c>
      <c r="K155" s="17">
        <v>88058.609874913993</v>
      </c>
      <c r="L155" s="17">
        <v>4775925.4072280303</v>
      </c>
      <c r="M155" s="17">
        <v>3275009.2278626799</v>
      </c>
      <c r="N155" s="17">
        <v>0</v>
      </c>
      <c r="O155" s="17">
        <v>2469.8527067938799</v>
      </c>
      <c r="P155" s="17">
        <v>42412.793460515801</v>
      </c>
      <c r="Q155" s="17">
        <v>12913.1057144599</v>
      </c>
      <c r="R155" s="17">
        <f t="shared" si="11"/>
        <v>6104312.1713707102</v>
      </c>
      <c r="S155" s="17">
        <v>1</v>
      </c>
      <c r="T155" s="17">
        <v>2859582.0914596301</v>
      </c>
      <c r="U155" s="17">
        <v>88058.609874913993</v>
      </c>
      <c r="V155" s="17">
        <v>4775925.4072280303</v>
      </c>
      <c r="W155">
        <f t="shared" si="12"/>
        <v>11444927.423358146</v>
      </c>
    </row>
    <row r="156" spans="1:35" x14ac:dyDescent="0.25">
      <c r="A156">
        <v>118</v>
      </c>
      <c r="B156" t="s">
        <v>103</v>
      </c>
      <c r="C156" t="s">
        <v>44</v>
      </c>
      <c r="D156">
        <v>2018</v>
      </c>
      <c r="E156">
        <v>6104312.1713707102</v>
      </c>
      <c r="F156">
        <f t="shared" si="13"/>
        <v>15.624505992737458</v>
      </c>
      <c r="G156" s="17">
        <v>295277.61843947502</v>
      </c>
      <c r="H156" s="17">
        <v>2156590.6732663298</v>
      </c>
      <c r="I156" s="17">
        <v>1945680.9586831599</v>
      </c>
      <c r="J156" s="17">
        <v>2657.49168508189</v>
      </c>
      <c r="K156" s="17">
        <v>73755.475777228305</v>
      </c>
      <c r="L156" s="17">
        <v>467779.94524718</v>
      </c>
      <c r="M156" s="17">
        <v>1137566.6002938</v>
      </c>
      <c r="N156" s="17">
        <v>17.388532394370799</v>
      </c>
      <c r="O156" s="17">
        <v>1622.34070230886</v>
      </c>
      <c r="P156" s="17">
        <v>3721.5717384370701</v>
      </c>
      <c r="Q156" s="17">
        <v>19641.9661132937</v>
      </c>
      <c r="R156" s="17">
        <f t="shared" si="11"/>
        <v>15434052.0365666</v>
      </c>
      <c r="S156" s="17">
        <v>1</v>
      </c>
      <c r="T156" s="17">
        <v>2156590.6732663298</v>
      </c>
      <c r="U156" s="17">
        <v>73755.475777228305</v>
      </c>
      <c r="V156" s="17">
        <v>467779.94524718</v>
      </c>
      <c r="W156">
        <f t="shared" si="12"/>
        <v>6675954.8486542171</v>
      </c>
    </row>
    <row r="157" spans="1:35" x14ac:dyDescent="0.25">
      <c r="A157">
        <v>119</v>
      </c>
      <c r="B157" t="s">
        <v>103</v>
      </c>
      <c r="C157" t="s">
        <v>44</v>
      </c>
      <c r="D157">
        <v>2019</v>
      </c>
      <c r="E157">
        <v>15434052.0365666</v>
      </c>
      <c r="F157">
        <f t="shared" si="13"/>
        <v>16.552086797548142</v>
      </c>
      <c r="G157" s="17">
        <v>29390.8851980707</v>
      </c>
      <c r="H157" s="17">
        <v>11553433.834185701</v>
      </c>
      <c r="I157" s="17">
        <v>2005941.4733935599</v>
      </c>
      <c r="J157" s="17">
        <v>17.9553134267796</v>
      </c>
      <c r="K157" s="17">
        <v>66998.659704583406</v>
      </c>
      <c r="L157" s="17">
        <v>1280264.2152466299</v>
      </c>
      <c r="M157" s="17">
        <v>495688.85069457098</v>
      </c>
      <c r="N157" s="17">
        <v>0</v>
      </c>
      <c r="O157" s="17">
        <v>0</v>
      </c>
      <c r="P157" s="17">
        <v>0</v>
      </c>
      <c r="Q157" s="17">
        <v>2316.1628300930702</v>
      </c>
      <c r="R157" s="17">
        <f t="shared" si="11"/>
        <v>15597218.528552299</v>
      </c>
      <c r="S157" s="17">
        <v>1</v>
      </c>
      <c r="T157" s="17">
        <v>11553433.834185701</v>
      </c>
      <c r="U157" s="17">
        <v>66998.659704583406</v>
      </c>
      <c r="V157" s="17">
        <v>1280264.2152466299</v>
      </c>
      <c r="W157">
        <f t="shared" si="12"/>
        <v>17882416.72768544</v>
      </c>
    </row>
    <row r="158" spans="1:35" x14ac:dyDescent="0.25">
      <c r="A158">
        <v>120</v>
      </c>
      <c r="B158" t="s">
        <v>103</v>
      </c>
      <c r="C158" t="s">
        <v>44</v>
      </c>
      <c r="D158">
        <v>2020</v>
      </c>
      <c r="E158">
        <v>15597218.528552299</v>
      </c>
      <c r="F158">
        <f t="shared" si="13"/>
        <v>16.562603156870754</v>
      </c>
      <c r="G158" s="17">
        <v>181713.58260121601</v>
      </c>
      <c r="H158" s="17">
        <v>1774510.2812085999</v>
      </c>
      <c r="I158" s="17">
        <v>12280095.537248701</v>
      </c>
      <c r="J158" s="17">
        <v>4.7212762551793799E-9</v>
      </c>
      <c r="K158" s="17">
        <v>168096.976623439</v>
      </c>
      <c r="L158" s="17">
        <v>993180.67633051297</v>
      </c>
      <c r="M158" s="17">
        <v>198213.828141818</v>
      </c>
      <c r="N158" s="17">
        <v>0</v>
      </c>
      <c r="O158" s="17">
        <v>0</v>
      </c>
      <c r="P158" s="17">
        <v>1407.64639798087</v>
      </c>
      <c r="Q158" s="17">
        <v>0</v>
      </c>
      <c r="R158" s="17">
        <f t="shared" si="11"/>
        <v>7368239.3663219698</v>
      </c>
      <c r="S158" s="17">
        <v>1</v>
      </c>
      <c r="T158" s="17">
        <v>1774510.2812085999</v>
      </c>
      <c r="U158" s="17">
        <v>168096.976623439</v>
      </c>
      <c r="V158" s="17">
        <v>993180.67633051297</v>
      </c>
      <c r="W158">
        <f t="shared" si="12"/>
        <v>8096740.2144473698</v>
      </c>
    </row>
    <row r="159" spans="1:35" x14ac:dyDescent="0.25">
      <c r="A159">
        <v>121</v>
      </c>
      <c r="B159" t="s">
        <v>103</v>
      </c>
      <c r="C159" t="s">
        <v>44</v>
      </c>
      <c r="D159">
        <v>2021</v>
      </c>
      <c r="E159">
        <v>7368239.3663219698</v>
      </c>
      <c r="F159">
        <f t="shared" si="13"/>
        <v>15.812689343675405</v>
      </c>
      <c r="G159" s="17">
        <v>294139.354668546</v>
      </c>
      <c r="H159" s="17">
        <v>3928522.7479466</v>
      </c>
      <c r="I159" s="17">
        <v>222244.90806571799</v>
      </c>
      <c r="J159" s="17">
        <v>3.6975913205539401E-4</v>
      </c>
      <c r="K159" s="17">
        <v>366575.23791298101</v>
      </c>
      <c r="L159" s="17">
        <v>2276904.2229627902</v>
      </c>
      <c r="M159" s="17">
        <v>279852.891675747</v>
      </c>
      <c r="N159" s="17">
        <v>2.70927758569238E-3</v>
      </c>
      <c r="O159" s="17">
        <v>1.04953336824416E-6</v>
      </c>
      <c r="P159" s="17">
        <v>1.05386757393904E-6</v>
      </c>
      <c r="Q159" s="17">
        <v>1.05477949097798E-6</v>
      </c>
      <c r="R159" s="17">
        <f t="shared" si="11"/>
        <v>18151847.6369626</v>
      </c>
      <c r="S159" s="17">
        <v>1</v>
      </c>
      <c r="T159" s="17">
        <v>3928522.7479466</v>
      </c>
      <c r="U159" s="17">
        <v>366575.23791298101</v>
      </c>
      <c r="V159" s="17">
        <v>2276904.2229627902</v>
      </c>
      <c r="W159">
        <f t="shared" si="12"/>
        <v>14577054.142831938</v>
      </c>
    </row>
    <row r="160" spans="1:35" x14ac:dyDescent="0.25">
      <c r="A160">
        <v>122</v>
      </c>
      <c r="B160" t="s">
        <v>103</v>
      </c>
      <c r="C160" t="s">
        <v>44</v>
      </c>
      <c r="D160">
        <v>2022</v>
      </c>
      <c r="E160">
        <v>18151847.6369626</v>
      </c>
      <c r="F160">
        <f t="shared" si="13"/>
        <v>16.714282911673809</v>
      </c>
      <c r="G160" s="17">
        <v>36671.8840398416</v>
      </c>
      <c r="H160" s="17">
        <v>5907225.2461233102</v>
      </c>
      <c r="I160" s="17">
        <v>4660092.6305008503</v>
      </c>
      <c r="J160" s="17">
        <v>4512.0241632078896</v>
      </c>
      <c r="K160" s="17">
        <v>62869.580133966701</v>
      </c>
      <c r="L160" s="17">
        <v>6744189.7627968797</v>
      </c>
      <c r="M160" s="17">
        <v>736199.30538020795</v>
      </c>
      <c r="N160" s="17">
        <v>1.0477141490113E-6</v>
      </c>
      <c r="O160" s="17">
        <v>1.04152252413495E-6</v>
      </c>
      <c r="P160" s="17">
        <v>87.203813901882</v>
      </c>
      <c r="Q160" s="17">
        <v>1.0476991051479499E-6</v>
      </c>
      <c r="R160" s="17">
        <f t="shared" si="11"/>
        <v>14814304.0242042</v>
      </c>
      <c r="S160" s="17">
        <v>1</v>
      </c>
      <c r="T160" s="17">
        <v>5907225.2461233102</v>
      </c>
      <c r="U160" s="17">
        <v>62869.580133966701</v>
      </c>
      <c r="V160" s="17">
        <v>6744189.7627968797</v>
      </c>
      <c r="W160">
        <f t="shared" si="12"/>
        <v>16229929.944725912</v>
      </c>
    </row>
    <row r="161" spans="1:36" x14ac:dyDescent="0.25">
      <c r="A161">
        <v>123</v>
      </c>
      <c r="B161" t="s">
        <v>103</v>
      </c>
      <c r="C161" t="s">
        <v>44</v>
      </c>
      <c r="D161">
        <v>2023</v>
      </c>
      <c r="E161">
        <v>14814304.0242042</v>
      </c>
      <c r="F161">
        <f t="shared" si="13"/>
        <v>16.511103760107318</v>
      </c>
      <c r="G161" s="17">
        <v>91287.913764003999</v>
      </c>
      <c r="H161" s="17">
        <v>265771.61952139001</v>
      </c>
      <c r="I161" s="17">
        <v>6441568.5134148803</v>
      </c>
      <c r="J161" s="17">
        <v>23654.8446071369</v>
      </c>
      <c r="K161" s="17">
        <v>140140.580718749</v>
      </c>
      <c r="L161" s="17">
        <v>1017403.94675479</v>
      </c>
      <c r="M161" s="17">
        <v>6832852.7631494198</v>
      </c>
      <c r="N161" s="17">
        <v>2.4992979184287802E-4</v>
      </c>
      <c r="O161" s="17">
        <v>1.0154845022004101E-6</v>
      </c>
      <c r="P161" s="17">
        <v>1623.84201478672</v>
      </c>
      <c r="Q161" s="17">
        <v>1.0169842133684599E-6</v>
      </c>
      <c r="R161" s="17">
        <f t="shared" si="11"/>
        <v>4629742.7343397001</v>
      </c>
      <c r="S161" s="17">
        <v>1</v>
      </c>
      <c r="T161" s="17">
        <v>265771.61952139001</v>
      </c>
      <c r="U161" s="17">
        <v>140140.580718749</v>
      </c>
      <c r="V161" s="17">
        <v>1017403.94675479</v>
      </c>
      <c r="W161">
        <f t="shared" si="12"/>
        <v>6003992.8434144408</v>
      </c>
    </row>
    <row r="162" spans="1:36" x14ac:dyDescent="0.25">
      <c r="A162">
        <v>124</v>
      </c>
      <c r="B162" t="s">
        <v>103</v>
      </c>
      <c r="C162" t="s">
        <v>44</v>
      </c>
      <c r="D162">
        <v>2024</v>
      </c>
      <c r="E162">
        <v>4629742.7343397001</v>
      </c>
      <c r="F162">
        <f t="shared" si="13"/>
        <v>15.348011859581199</v>
      </c>
      <c r="G162" s="17">
        <v>20734.538947938901</v>
      </c>
      <c r="H162" s="17">
        <v>2645110.3892728901</v>
      </c>
      <c r="I162" s="17">
        <v>186066.40705108299</v>
      </c>
      <c r="J162" s="17">
        <v>24055.237967959401</v>
      </c>
      <c r="K162" s="17">
        <v>97804.842784178807</v>
      </c>
      <c r="L162" s="17">
        <v>1063838.9972753599</v>
      </c>
      <c r="M162" s="17">
        <v>582894.73956331902</v>
      </c>
      <c r="N162" s="17">
        <v>8508.7414584672697</v>
      </c>
      <c r="O162" s="17">
        <v>1.0245654360985699E-6</v>
      </c>
      <c r="P162" s="17">
        <v>728.84000929363901</v>
      </c>
      <c r="Q162" s="17">
        <v>1.02279635898962E-6</v>
      </c>
      <c r="R162" s="17"/>
      <c r="S162" s="17">
        <v>1</v>
      </c>
      <c r="T162" s="17">
        <v>2645110.3892728901</v>
      </c>
      <c r="U162" s="17">
        <v>97804.842784178807</v>
      </c>
      <c r="V162" s="17">
        <v>1063838.9972753599</v>
      </c>
      <c r="W162" s="1">
        <f t="shared" si="12"/>
        <v>8102714.7519475771</v>
      </c>
    </row>
    <row r="163" spans="1:36" x14ac:dyDescent="0.25"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 t="s">
        <v>110</v>
      </c>
    </row>
    <row r="164" spans="1:36" x14ac:dyDescent="0.25">
      <c r="B164" t="s">
        <v>111</v>
      </c>
      <c r="E164" s="17">
        <f>SUM(G128:G162)</f>
        <v>1410352.5083798633</v>
      </c>
      <c r="G164" s="17">
        <f t="shared" ref="G164:P164" si="14">SUM(H128:H162)</f>
        <v>51403225.71939902</v>
      </c>
      <c r="H164" s="17">
        <f t="shared" si="14"/>
        <v>63942713.307368822</v>
      </c>
      <c r="I164" s="17">
        <f t="shared" si="14"/>
        <v>418439.87384167674</v>
      </c>
      <c r="J164" s="17">
        <f t="shared" si="14"/>
        <v>3496636.008432908</v>
      </c>
      <c r="K164" s="17">
        <f t="shared" si="14"/>
        <v>124317076.04172149</v>
      </c>
      <c r="L164" s="17">
        <f t="shared" si="14"/>
        <v>92572117.001350611</v>
      </c>
      <c r="M164" s="17">
        <f t="shared" si="14"/>
        <v>263183.06008933031</v>
      </c>
      <c r="N164" s="17">
        <f t="shared" si="14"/>
        <v>64680.395137845895</v>
      </c>
      <c r="O164" s="17">
        <f t="shared" si="14"/>
        <v>1575343.1219801356</v>
      </c>
      <c r="P164" s="17">
        <f t="shared" si="14"/>
        <v>579956.54847434082</v>
      </c>
      <c r="Q164" s="17">
        <f>SUM(E164:P164)</f>
        <v>340043723.58617604</v>
      </c>
    </row>
    <row r="165" spans="1:36" x14ac:dyDescent="0.25">
      <c r="E165" s="18">
        <f>E164/$Q$164</f>
        <v>4.1475622414258234E-3</v>
      </c>
      <c r="G165" s="19">
        <f t="shared" ref="G165:P165" si="15">G164/$Q$164</f>
        <v>0.15116651816798521</v>
      </c>
      <c r="H165" s="19">
        <f t="shared" si="15"/>
        <v>0.18804262179291203</v>
      </c>
      <c r="I165" s="18">
        <f t="shared" si="15"/>
        <v>1.2305472644185802E-3</v>
      </c>
      <c r="J165" s="18">
        <f t="shared" si="15"/>
        <v>1.0282901185637582E-2</v>
      </c>
      <c r="K165" s="19">
        <f t="shared" si="15"/>
        <v>0.36559144433147073</v>
      </c>
      <c r="L165" s="19">
        <f t="shared" si="15"/>
        <v>0.272235923148543</v>
      </c>
      <c r="M165" s="18">
        <f t="shared" si="15"/>
        <v>7.739682924117633E-4</v>
      </c>
      <c r="N165" s="18">
        <f t="shared" si="15"/>
        <v>1.9021199525670463E-4</v>
      </c>
      <c r="O165" s="18">
        <f t="shared" si="15"/>
        <v>4.6327663553563641E-3</v>
      </c>
      <c r="P165" s="18">
        <f t="shared" si="15"/>
        <v>1.705535224582272E-3</v>
      </c>
      <c r="Q165" s="17"/>
      <c r="Z165" t="s">
        <v>112</v>
      </c>
      <c r="AC165" s="1">
        <v>8102714.7519475771</v>
      </c>
      <c r="AD165">
        <f>LN(AC165)</f>
        <v>15.907709718052352</v>
      </c>
      <c r="AE165" t="s">
        <v>113</v>
      </c>
      <c r="AI165">
        <v>6460000</v>
      </c>
      <c r="AJ165" t="s">
        <v>114</v>
      </c>
    </row>
    <row r="166" spans="1:36" x14ac:dyDescent="0.25">
      <c r="B166" t="s">
        <v>115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36" x14ac:dyDescent="0.25">
      <c r="C167" t="s">
        <v>116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Z167" t="s">
        <v>117</v>
      </c>
      <c r="AE167" t="s">
        <v>118</v>
      </c>
    </row>
    <row r="168" spans="1:36" x14ac:dyDescent="0.25"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36" x14ac:dyDescent="0.25">
      <c r="Z169" t="s">
        <v>15</v>
      </c>
    </row>
    <row r="170" spans="1:36" ht="15.75" thickBot="1" x14ac:dyDescent="0.3">
      <c r="B170" t="s">
        <v>119</v>
      </c>
      <c r="E170">
        <f t="shared" ref="E170" si="16">AVERAGE(E128:E162)</f>
        <v>9716723.108126875</v>
      </c>
      <c r="F170">
        <f t="shared" ref="F170:P170" si="17">AVERAGE(G128:G162)</f>
        <v>40295.78595371038</v>
      </c>
      <c r="G170">
        <f t="shared" si="17"/>
        <v>1468663.5919828292</v>
      </c>
      <c r="H170">
        <f t="shared" si="17"/>
        <v>1826934.6659248236</v>
      </c>
      <c r="I170">
        <f t="shared" si="17"/>
        <v>11955.42496690505</v>
      </c>
      <c r="J170">
        <f t="shared" si="17"/>
        <v>99903.885955225938</v>
      </c>
      <c r="K170">
        <f t="shared" si="17"/>
        <v>3551916.4583349</v>
      </c>
      <c r="L170">
        <f t="shared" si="17"/>
        <v>2644917.6286100172</v>
      </c>
      <c r="M170">
        <f t="shared" si="17"/>
        <v>7519.5160025522946</v>
      </c>
      <c r="N170">
        <f t="shared" si="17"/>
        <v>1848.0112896527398</v>
      </c>
      <c r="O170">
        <f t="shared" si="17"/>
        <v>45009.803485146731</v>
      </c>
      <c r="P170">
        <f t="shared" si="17"/>
        <v>16570.187099266881</v>
      </c>
      <c r="R170" t="s">
        <v>120</v>
      </c>
      <c r="T170" s="2">
        <f>F170+I170+J170+M170+N170+O170+P170</f>
        <v>223102.61475246001</v>
      </c>
    </row>
    <row r="171" spans="1:36" x14ac:dyDescent="0.25">
      <c r="T171" t="s">
        <v>121</v>
      </c>
      <c r="Z171" s="9" t="s">
        <v>16</v>
      </c>
      <c r="AA171" s="9"/>
    </row>
    <row r="172" spans="1:36" x14ac:dyDescent="0.25">
      <c r="Z172" t="s">
        <v>17</v>
      </c>
      <c r="AA172">
        <v>0.58276606594937408</v>
      </c>
    </row>
    <row r="173" spans="1:36" x14ac:dyDescent="0.25">
      <c r="G173" t="s">
        <v>122</v>
      </c>
      <c r="K173" t="s">
        <v>122</v>
      </c>
      <c r="Z173" t="s">
        <v>18</v>
      </c>
      <c r="AA173">
        <v>0.33961628762211027</v>
      </c>
    </row>
    <row r="174" spans="1:36" x14ac:dyDescent="0.25">
      <c r="H174" t="s">
        <v>123</v>
      </c>
      <c r="L174" t="s">
        <v>124</v>
      </c>
      <c r="Z174" t="s">
        <v>19</v>
      </c>
      <c r="AA174">
        <v>0.27357791638432133</v>
      </c>
    </row>
    <row r="175" spans="1:36" x14ac:dyDescent="0.25">
      <c r="C175" t="s">
        <v>125</v>
      </c>
      <c r="F175">
        <f t="shared" ref="F175:P175" si="18">G161/F170</f>
        <v>2.2654456689061884</v>
      </c>
      <c r="G175" s="20">
        <f t="shared" si="18"/>
        <v>0.18096153603329554</v>
      </c>
      <c r="H175">
        <f t="shared" si="18"/>
        <v>3.5258888199781655</v>
      </c>
      <c r="I175">
        <f t="shared" si="18"/>
        <v>1.9785866811609063</v>
      </c>
      <c r="J175">
        <f t="shared" si="18"/>
        <v>1.4027540508439882</v>
      </c>
      <c r="K175" s="20">
        <f t="shared" si="18"/>
        <v>0.28643802822765096</v>
      </c>
      <c r="L175">
        <f t="shared" si="18"/>
        <v>2.58338962591447</v>
      </c>
      <c r="M175">
        <f t="shared" si="18"/>
        <v>3.3237483869712645E-8</v>
      </c>
      <c r="N175">
        <f t="shared" si="18"/>
        <v>5.4950124378906257E-10</v>
      </c>
      <c r="O175">
        <f t="shared" si="18"/>
        <v>3.6077518430459025E-2</v>
      </c>
      <c r="P175">
        <f t="shared" si="18"/>
        <v>6.1374334959286886E-11</v>
      </c>
      <c r="Z175" t="s">
        <v>20</v>
      </c>
      <c r="AA175">
        <v>4216081.563227606</v>
      </c>
    </row>
    <row r="176" spans="1:36" ht="15.75" thickBot="1" x14ac:dyDescent="0.3">
      <c r="D176" t="s">
        <v>126</v>
      </c>
      <c r="E176">
        <f>E162/E170</f>
        <v>0.47647161319925591</v>
      </c>
      <c r="F176" t="s">
        <v>127</v>
      </c>
      <c r="Z176" s="7" t="s">
        <v>21</v>
      </c>
      <c r="AA176" s="7">
        <v>34</v>
      </c>
    </row>
    <row r="177" spans="2:31" x14ac:dyDescent="0.25">
      <c r="C177" t="s">
        <v>128</v>
      </c>
    </row>
    <row r="178" spans="2:31" ht="15.75" thickBot="1" x14ac:dyDescent="0.3"/>
    <row r="179" spans="2:31" x14ac:dyDescent="0.25">
      <c r="B179" t="s">
        <v>129</v>
      </c>
      <c r="Z179" s="8"/>
      <c r="AA179" s="8" t="s">
        <v>27</v>
      </c>
      <c r="AB179" s="8" t="s">
        <v>28</v>
      </c>
      <c r="AC179" s="8" t="s">
        <v>29</v>
      </c>
      <c r="AD179" s="8" t="s">
        <v>30</v>
      </c>
      <c r="AE179" s="8" t="s">
        <v>31</v>
      </c>
    </row>
    <row r="180" spans="2:31" x14ac:dyDescent="0.25">
      <c r="C180" t="s">
        <v>130</v>
      </c>
      <c r="F180">
        <f t="shared" ref="F180:P180" si="19">G162/F170</f>
        <v>0.51455849432388834</v>
      </c>
      <c r="G180">
        <f t="shared" si="19"/>
        <v>1.8010321789905277</v>
      </c>
      <c r="H180">
        <f t="shared" si="19"/>
        <v>0.10184622938165837</v>
      </c>
      <c r="I180">
        <f t="shared" si="19"/>
        <v>2.0120771979707119</v>
      </c>
      <c r="J180">
        <f t="shared" si="19"/>
        <v>0.97898937412717002</v>
      </c>
      <c r="K180" s="20">
        <f t="shared" si="19"/>
        <v>0.29951126659495708</v>
      </c>
      <c r="L180">
        <f t="shared" si="19"/>
        <v>0.22038294624307356</v>
      </c>
      <c r="M180">
        <f t="shared" si="19"/>
        <v>1.1315544053073641</v>
      </c>
      <c r="N180">
        <f t="shared" si="19"/>
        <v>5.5441513903905652E-10</v>
      </c>
      <c r="O180">
        <f t="shared" si="19"/>
        <v>1.6192916939398696E-2</v>
      </c>
      <c r="P180">
        <f t="shared" si="19"/>
        <v>6.1725094162326739E-11</v>
      </c>
      <c r="Z180" t="s">
        <v>23</v>
      </c>
      <c r="AA180">
        <v>3</v>
      </c>
      <c r="AB180">
        <v>274240391230733.69</v>
      </c>
      <c r="AC180">
        <v>91413463743577.891</v>
      </c>
      <c r="AD180">
        <v>5.1427114457325152</v>
      </c>
      <c r="AE180">
        <v>5.4694418427022251E-3</v>
      </c>
    </row>
    <row r="181" spans="2:31" x14ac:dyDescent="0.25">
      <c r="C181" t="s">
        <v>131</v>
      </c>
      <c r="Z181" t="s">
        <v>24</v>
      </c>
      <c r="AA181">
        <v>30</v>
      </c>
      <c r="AB181">
        <v>533260312433632.06</v>
      </c>
      <c r="AC181">
        <v>17775343747787.734</v>
      </c>
    </row>
    <row r="182" spans="2:31" ht="15.75" thickBot="1" x14ac:dyDescent="0.3">
      <c r="Z182" s="7" t="s">
        <v>25</v>
      </c>
      <c r="AA182" s="7">
        <v>33</v>
      </c>
      <c r="AB182" s="7">
        <v>807500703664365.75</v>
      </c>
      <c r="AC182" s="7"/>
      <c r="AD182" s="7"/>
      <c r="AE182" s="7"/>
    </row>
    <row r="184" spans="2:31" x14ac:dyDescent="0.25">
      <c r="B184" t="s">
        <v>132</v>
      </c>
    </row>
    <row r="201" spans="3:25" x14ac:dyDescent="0.25">
      <c r="C201" t="s">
        <v>133</v>
      </c>
      <c r="R201" t="s">
        <v>134</v>
      </c>
    </row>
    <row r="202" spans="3:25" x14ac:dyDescent="0.25">
      <c r="C202">
        <v>2645110.3892728901</v>
      </c>
      <c r="D202">
        <v>1.0638000000000001</v>
      </c>
      <c r="R202" s="17">
        <v>1063838.9972753599</v>
      </c>
      <c r="S202">
        <v>64.745999999999995</v>
      </c>
      <c r="T202">
        <v>0.68230000000000002</v>
      </c>
    </row>
    <row r="204" spans="3:25" x14ac:dyDescent="0.25">
      <c r="C204" t="s">
        <v>135</v>
      </c>
      <c r="D204">
        <v>2645110.3892728901</v>
      </c>
      <c r="E204" t="s">
        <v>136</v>
      </c>
      <c r="F204" t="s">
        <v>137</v>
      </c>
      <c r="G204" s="1">
        <f>C202*D202</f>
        <v>2813868.4321085005</v>
      </c>
      <c r="H204" t="s">
        <v>138</v>
      </c>
      <c r="J204" t="s">
        <v>139</v>
      </c>
      <c r="R204" t="s">
        <v>135</v>
      </c>
      <c r="S204">
        <v>1063838.9972753599</v>
      </c>
      <c r="T204" t="s">
        <v>136</v>
      </c>
      <c r="U204" t="s">
        <v>137</v>
      </c>
      <c r="V204" s="2">
        <f>S202*R202^T202</f>
        <v>838205.24441366817</v>
      </c>
      <c r="W204" t="s">
        <v>140</v>
      </c>
      <c r="Y204" t="s">
        <v>141</v>
      </c>
    </row>
    <row r="205" spans="3:25" x14ac:dyDescent="0.25">
      <c r="J205" t="s">
        <v>142</v>
      </c>
      <c r="L205" s="18"/>
    </row>
    <row r="206" spans="3:25" x14ac:dyDescent="0.25">
      <c r="L206" s="18"/>
    </row>
    <row r="207" spans="3:25" x14ac:dyDescent="0.25">
      <c r="C207" t="s">
        <v>143</v>
      </c>
      <c r="K207" s="17">
        <f>(G204+V204)/0.46</f>
        <v>7939290.6011351496</v>
      </c>
      <c r="L207" s="18">
        <f>LN(K207)</f>
        <v>15.887334484286626</v>
      </c>
      <c r="M207" t="s">
        <v>144</v>
      </c>
      <c r="R207" t="s">
        <v>145</v>
      </c>
    </row>
    <row r="209" spans="2:2" x14ac:dyDescent="0.25">
      <c r="B209" t="s">
        <v>146</v>
      </c>
    </row>
    <row r="226" spans="2:10" x14ac:dyDescent="0.25">
      <c r="B226" t="s">
        <v>147</v>
      </c>
    </row>
    <row r="227" spans="2:10" x14ac:dyDescent="0.25">
      <c r="C227" t="s">
        <v>148</v>
      </c>
    </row>
    <row r="228" spans="2:10" x14ac:dyDescent="0.25">
      <c r="C228" t="s">
        <v>149</v>
      </c>
    </row>
    <row r="230" spans="2:10" x14ac:dyDescent="0.25">
      <c r="C230" t="s">
        <v>150</v>
      </c>
      <c r="E230">
        <v>20735</v>
      </c>
      <c r="F230">
        <v>27.425999999999998</v>
      </c>
      <c r="G230" s="2">
        <f>E230*F230</f>
        <v>568678.11</v>
      </c>
      <c r="H230">
        <f>LN(G230)</f>
        <v>13.251069841258143</v>
      </c>
      <c r="J230" t="s">
        <v>151</v>
      </c>
    </row>
    <row r="233" spans="2:10" x14ac:dyDescent="0.25">
      <c r="B233" t="s">
        <v>152</v>
      </c>
      <c r="E233" t="s">
        <v>153</v>
      </c>
    </row>
    <row r="250" spans="3:18" x14ac:dyDescent="0.25">
      <c r="C250" t="s">
        <v>154</v>
      </c>
      <c r="K250">
        <v>97805</v>
      </c>
      <c r="L250">
        <v>26121</v>
      </c>
      <c r="M250">
        <v>0.39029999999999998</v>
      </c>
      <c r="N250" s="1">
        <f>L250*K250^M250</f>
        <v>2315942.2190802461</v>
      </c>
      <c r="O250" s="18">
        <f>LN(N250)</f>
        <v>14.655327168780143</v>
      </c>
      <c r="Q250" t="s">
        <v>155</v>
      </c>
    </row>
    <row r="251" spans="3:18" x14ac:dyDescent="0.25">
      <c r="N251" t="s">
        <v>156</v>
      </c>
      <c r="Q251" t="s">
        <v>157</v>
      </c>
    </row>
    <row r="252" spans="3:18" x14ac:dyDescent="0.25">
      <c r="Q252" t="s">
        <v>158</v>
      </c>
    </row>
    <row r="253" spans="3:18" x14ac:dyDescent="0.25">
      <c r="Q253" t="s">
        <v>159</v>
      </c>
    </row>
    <row r="254" spans="3:18" x14ac:dyDescent="0.25">
      <c r="C254" t="s">
        <v>160</v>
      </c>
      <c r="R254" t="s">
        <v>161</v>
      </c>
    </row>
    <row r="255" spans="3:18" x14ac:dyDescent="0.25">
      <c r="R255" t="s">
        <v>162</v>
      </c>
    </row>
    <row r="259" spans="3:21" x14ac:dyDescent="0.25">
      <c r="Q259" t="s">
        <v>163</v>
      </c>
    </row>
    <row r="260" spans="3:21" ht="15.75" thickBot="1" x14ac:dyDescent="0.3"/>
    <row r="261" spans="3:21" x14ac:dyDescent="0.25">
      <c r="Q261" s="21">
        <v>1.2</v>
      </c>
      <c r="R261" s="22">
        <v>568678.11</v>
      </c>
      <c r="S261" s="23"/>
      <c r="T261" s="23"/>
      <c r="U261" s="24"/>
    </row>
    <row r="262" spans="3:21" x14ac:dyDescent="0.25">
      <c r="Q262" s="25">
        <v>2.2000000000000002</v>
      </c>
      <c r="R262" s="1">
        <v>1000000</v>
      </c>
      <c r="S262" t="s">
        <v>164</v>
      </c>
      <c r="U262" s="26"/>
    </row>
    <row r="263" spans="3:21" x14ac:dyDescent="0.25">
      <c r="Q263" s="25">
        <v>1.3</v>
      </c>
      <c r="R263" s="1">
        <v>2813868</v>
      </c>
      <c r="U263" s="26"/>
    </row>
    <row r="264" spans="3:21" x14ac:dyDescent="0.25">
      <c r="Q264" s="25">
        <v>2.2999999999999998</v>
      </c>
      <c r="R264" s="1">
        <v>838205</v>
      </c>
      <c r="U264" s="26"/>
    </row>
    <row r="265" spans="3:21" x14ac:dyDescent="0.25">
      <c r="Q265" s="25" t="s">
        <v>165</v>
      </c>
      <c r="R265" s="1">
        <v>200000</v>
      </c>
      <c r="U265" s="26"/>
    </row>
    <row r="266" spans="3:21" ht="15.75" thickBot="1" x14ac:dyDescent="0.3">
      <c r="Q266" s="27" t="s">
        <v>110</v>
      </c>
      <c r="R266" s="28">
        <f>SUM(R261:R265)</f>
        <v>5420751.1099999994</v>
      </c>
      <c r="S266" s="7" t="s">
        <v>166</v>
      </c>
      <c r="T266" s="7"/>
      <c r="U266" s="29"/>
    </row>
    <row r="267" spans="3:21" x14ac:dyDescent="0.25">
      <c r="R267">
        <f>LN(R266)</f>
        <v>15.505744944995156</v>
      </c>
    </row>
    <row r="268" spans="3:21" x14ac:dyDescent="0.25">
      <c r="R268" t="s">
        <v>167</v>
      </c>
    </row>
    <row r="271" spans="3:21" x14ac:dyDescent="0.25">
      <c r="C271" t="s">
        <v>168</v>
      </c>
      <c r="G271" s="1">
        <v>1000000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4163-1AAB-4576-852A-B85384D6BF5C}">
  <dimension ref="A1:X52"/>
  <sheetViews>
    <sheetView tabSelected="1" workbookViewId="0"/>
  </sheetViews>
  <sheetFormatPr defaultRowHeight="15" x14ac:dyDescent="0.25"/>
  <sheetData>
    <row r="1" spans="1:17" x14ac:dyDescent="0.25">
      <c r="A1" t="s">
        <v>44</v>
      </c>
    </row>
    <row r="3" spans="1:17" x14ac:dyDescent="0.25">
      <c r="G3" t="s">
        <v>1</v>
      </c>
    </row>
    <row r="4" spans="1:17" x14ac:dyDescent="0.25">
      <c r="D4" t="s">
        <v>8</v>
      </c>
      <c r="E4" t="s">
        <v>51</v>
      </c>
      <c r="G4" t="s">
        <v>2</v>
      </c>
    </row>
    <row r="5" spans="1:17" x14ac:dyDescent="0.25">
      <c r="A5" t="s">
        <v>3</v>
      </c>
      <c r="B5" t="s">
        <v>4</v>
      </c>
      <c r="C5" t="s">
        <v>5</v>
      </c>
      <c r="E5" t="s">
        <v>6</v>
      </c>
      <c r="F5" t="s">
        <v>52</v>
      </c>
      <c r="G5" t="s">
        <v>7</v>
      </c>
    </row>
    <row r="6" spans="1:17" x14ac:dyDescent="0.25">
      <c r="A6">
        <v>1982.375</v>
      </c>
      <c r="B6">
        <v>5</v>
      </c>
      <c r="C6" s="3">
        <v>1.6829712080392252</v>
      </c>
      <c r="D6" s="3"/>
      <c r="E6">
        <v>0.19282233268922738</v>
      </c>
      <c r="F6">
        <v>0.41425456986923609</v>
      </c>
      <c r="G6" t="s">
        <v>8</v>
      </c>
    </row>
    <row r="7" spans="1:17" x14ac:dyDescent="0.25">
      <c r="A7">
        <v>1983.375</v>
      </c>
      <c r="B7">
        <v>5</v>
      </c>
      <c r="C7" s="3">
        <v>-1.5365287291607705</v>
      </c>
      <c r="D7" s="3"/>
      <c r="E7">
        <v>0.70257197929922732</v>
      </c>
      <c r="F7">
        <v>1.7415489131692448</v>
      </c>
      <c r="L7" t="s">
        <v>12</v>
      </c>
    </row>
    <row r="8" spans="1:17" x14ac:dyDescent="0.25">
      <c r="A8">
        <v>1984.375</v>
      </c>
      <c r="B8">
        <v>5</v>
      </c>
      <c r="C8" s="3">
        <v>1.880515014489234</v>
      </c>
      <c r="D8" s="3"/>
      <c r="E8">
        <v>1.6829712080392252</v>
      </c>
      <c r="F8">
        <v>1.606789201499234</v>
      </c>
      <c r="L8" t="s">
        <v>13</v>
      </c>
      <c r="M8" t="s">
        <v>14</v>
      </c>
    </row>
    <row r="9" spans="1:17" x14ac:dyDescent="0.25">
      <c r="A9">
        <v>1985.375</v>
      </c>
      <c r="B9">
        <v>5</v>
      </c>
      <c r="C9" s="3">
        <v>3.018522973209234</v>
      </c>
      <c r="D9" s="3"/>
      <c r="E9">
        <v>-1.5365287291607705</v>
      </c>
      <c r="F9">
        <v>0.19842168935924309</v>
      </c>
    </row>
    <row r="10" spans="1:17" x14ac:dyDescent="0.25">
      <c r="A10">
        <v>1986.375</v>
      </c>
      <c r="B10">
        <v>5</v>
      </c>
      <c r="C10" s="3">
        <v>1.1785690316392319</v>
      </c>
      <c r="D10" s="3"/>
      <c r="E10">
        <v>1.880515014489234</v>
      </c>
      <c r="F10">
        <v>1.7188996157552427</v>
      </c>
      <c r="L10">
        <v>1461</v>
      </c>
      <c r="M10">
        <f>LN(L10)</f>
        <v>7.2868764117506997</v>
      </c>
      <c r="P10" t="s">
        <v>15</v>
      </c>
    </row>
    <row r="11" spans="1:17" ht="15.75" thickBot="1" x14ac:dyDescent="0.3">
      <c r="A11">
        <v>1987.375</v>
      </c>
      <c r="B11">
        <v>5</v>
      </c>
      <c r="C11" s="3">
        <v>-0.33535354034076137</v>
      </c>
      <c r="D11" s="3"/>
      <c r="E11">
        <v>3.018522973209234</v>
      </c>
      <c r="F11">
        <v>1.8375980735592425</v>
      </c>
      <c r="L11">
        <v>24062</v>
      </c>
      <c r="M11">
        <f t="shared" ref="M11:M49" si="0">LN(L11)</f>
        <v>10.08838911159347</v>
      </c>
    </row>
    <row r="12" spans="1:17" x14ac:dyDescent="0.25">
      <c r="A12">
        <v>1988.375</v>
      </c>
      <c r="B12">
        <v>5</v>
      </c>
      <c r="C12" s="3">
        <v>1.8152388873692404</v>
      </c>
      <c r="D12" s="3"/>
      <c r="E12">
        <v>1.1785690316392319</v>
      </c>
      <c r="F12">
        <v>2.4420961504492311</v>
      </c>
      <c r="L12">
        <v>22999</v>
      </c>
      <c r="M12">
        <f t="shared" si="0"/>
        <v>10.043206015705211</v>
      </c>
      <c r="P12" s="9" t="s">
        <v>16</v>
      </c>
      <c r="Q12" s="9"/>
    </row>
    <row r="13" spans="1:17" x14ac:dyDescent="0.25">
      <c r="A13">
        <v>1989.375</v>
      </c>
      <c r="B13">
        <v>5</v>
      </c>
      <c r="C13" s="3">
        <v>3.101098920829223</v>
      </c>
      <c r="D13" s="3"/>
      <c r="E13">
        <v>-0.33535354034076137</v>
      </c>
      <c r="F13">
        <v>0.346637390069234</v>
      </c>
      <c r="L13">
        <v>547</v>
      </c>
      <c r="M13">
        <f t="shared" si="0"/>
        <v>6.3044488024219811</v>
      </c>
      <c r="P13" t="s">
        <v>17</v>
      </c>
      <c r="Q13">
        <v>0.49186887793318906</v>
      </c>
    </row>
    <row r="14" spans="1:17" x14ac:dyDescent="0.25">
      <c r="A14">
        <v>1990.375</v>
      </c>
      <c r="B14">
        <v>5</v>
      </c>
      <c r="C14" s="3">
        <v>1.2389727557242383</v>
      </c>
      <c r="D14" s="3"/>
      <c r="E14">
        <v>1.8152388873692404</v>
      </c>
      <c r="F14">
        <v>-0.98430620713077255</v>
      </c>
      <c r="L14">
        <v>298</v>
      </c>
      <c r="M14">
        <f t="shared" si="0"/>
        <v>5.6970934865054046</v>
      </c>
      <c r="P14" t="s">
        <v>18</v>
      </c>
      <c r="Q14">
        <v>0.24193499307925445</v>
      </c>
    </row>
    <row r="15" spans="1:17" x14ac:dyDescent="0.25">
      <c r="A15">
        <v>1991.375</v>
      </c>
      <c r="B15">
        <v>5</v>
      </c>
      <c r="C15" s="3">
        <v>1.5588966751912405</v>
      </c>
      <c r="D15" s="3"/>
      <c r="E15">
        <v>3.101098920829223</v>
      </c>
      <c r="F15">
        <v>3.9125285119692315</v>
      </c>
      <c r="L15">
        <v>7260</v>
      </c>
      <c r="M15">
        <f t="shared" si="0"/>
        <v>8.8901351078188426</v>
      </c>
      <c r="P15" t="s">
        <v>19</v>
      </c>
      <c r="Q15">
        <v>0.17301999245009575</v>
      </c>
    </row>
    <row r="16" spans="1:17" x14ac:dyDescent="0.25">
      <c r="A16">
        <v>1992.375</v>
      </c>
      <c r="B16">
        <v>5</v>
      </c>
      <c r="C16" s="3">
        <v>-0.84115852963076165</v>
      </c>
      <c r="D16" s="3"/>
      <c r="E16">
        <v>1.2389727557242383</v>
      </c>
      <c r="F16">
        <v>2.4970583207292276</v>
      </c>
      <c r="L16">
        <v>4072</v>
      </c>
      <c r="M16">
        <f t="shared" si="0"/>
        <v>8.3118895582303587</v>
      </c>
      <c r="P16" t="s">
        <v>20</v>
      </c>
      <c r="Q16">
        <v>0.43544085648991393</v>
      </c>
    </row>
    <row r="17" spans="1:24" ht="15.75" thickBot="1" x14ac:dyDescent="0.3">
      <c r="A17">
        <v>1993.375</v>
      </c>
      <c r="B17">
        <v>5</v>
      </c>
      <c r="C17" s="3">
        <v>-1.7499852617307701</v>
      </c>
      <c r="D17" s="3"/>
      <c r="E17">
        <v>1.5588966751912405</v>
      </c>
      <c r="F17">
        <v>1.2394592322392297</v>
      </c>
      <c r="L17">
        <v>5170</v>
      </c>
      <c r="M17">
        <f t="shared" si="0"/>
        <v>8.550627967502475</v>
      </c>
      <c r="P17" s="7" t="s">
        <v>21</v>
      </c>
      <c r="Q17" s="7">
        <v>25</v>
      </c>
    </row>
    <row r="18" spans="1:24" x14ac:dyDescent="0.25">
      <c r="A18">
        <v>1994.375</v>
      </c>
      <c r="B18">
        <v>5</v>
      </c>
      <c r="C18" s="3">
        <v>0.48058693018923609</v>
      </c>
      <c r="D18" s="3"/>
      <c r="E18">
        <v>-0.84115852963076165</v>
      </c>
      <c r="F18">
        <v>0.99610122664924261</v>
      </c>
    </row>
    <row r="19" spans="1:24" ht="15.75" thickBot="1" x14ac:dyDescent="0.3">
      <c r="A19">
        <v>1995.375</v>
      </c>
      <c r="B19">
        <v>5</v>
      </c>
      <c r="C19" s="3">
        <v>7.6683764169240554E-2</v>
      </c>
      <c r="D19" s="3"/>
      <c r="E19">
        <v>-1.7499852617307701</v>
      </c>
      <c r="F19">
        <v>0.91106123696924057</v>
      </c>
      <c r="L19">
        <v>440</v>
      </c>
      <c r="M19">
        <f t="shared" si="0"/>
        <v>6.0867747269123065</v>
      </c>
      <c r="P19" t="s">
        <v>22</v>
      </c>
    </row>
    <row r="20" spans="1:24" x14ac:dyDescent="0.25">
      <c r="A20">
        <v>1996.375</v>
      </c>
      <c r="B20">
        <v>5</v>
      </c>
      <c r="C20" s="3">
        <v>0.93481068946924495</v>
      </c>
      <c r="D20" s="3"/>
      <c r="E20">
        <v>0.48058693018923609</v>
      </c>
      <c r="F20">
        <v>-0.23892460953076178</v>
      </c>
      <c r="L20">
        <v>2451</v>
      </c>
      <c r="M20">
        <f t="shared" si="0"/>
        <v>7.8042513835281122</v>
      </c>
      <c r="P20" s="8"/>
      <c r="Q20" s="8" t="s">
        <v>27</v>
      </c>
      <c r="R20" s="8" t="s">
        <v>28</v>
      </c>
      <c r="S20" s="8" t="s">
        <v>29</v>
      </c>
      <c r="T20" s="8" t="s">
        <v>30</v>
      </c>
      <c r="U20" s="8" t="s">
        <v>31</v>
      </c>
    </row>
    <row r="21" spans="1:24" x14ac:dyDescent="0.25">
      <c r="A21">
        <v>1997.375</v>
      </c>
      <c r="B21">
        <v>5</v>
      </c>
      <c r="C21" s="3">
        <v>-1.0207669603507683</v>
      </c>
      <c r="D21" s="3"/>
      <c r="E21">
        <v>7.6683764169240554E-2</v>
      </c>
      <c r="F21">
        <v>1.4629862816792296</v>
      </c>
      <c r="L21">
        <v>534</v>
      </c>
      <c r="M21">
        <f t="shared" si="0"/>
        <v>6.280395838960195</v>
      </c>
      <c r="P21" t="s">
        <v>23</v>
      </c>
      <c r="Q21">
        <v>2</v>
      </c>
      <c r="R21">
        <v>1.3312918424164204</v>
      </c>
      <c r="S21">
        <v>0.6656459212082102</v>
      </c>
      <c r="T21">
        <v>3.5106289032940841</v>
      </c>
      <c r="U21">
        <v>4.7508459218514605E-2</v>
      </c>
    </row>
    <row r="22" spans="1:24" x14ac:dyDescent="0.25">
      <c r="A22">
        <v>1998.375</v>
      </c>
      <c r="B22">
        <v>5</v>
      </c>
      <c r="C22" s="3">
        <v>0.36530161782924503</v>
      </c>
      <c r="D22" s="3"/>
      <c r="E22">
        <v>0.93481068946924495</v>
      </c>
      <c r="F22">
        <v>2.4735421464692338</v>
      </c>
      <c r="L22">
        <v>315</v>
      </c>
      <c r="M22">
        <f t="shared" si="0"/>
        <v>5.7525726388256331</v>
      </c>
      <c r="P22" t="s">
        <v>24</v>
      </c>
      <c r="Q22">
        <v>22</v>
      </c>
      <c r="R22">
        <v>4.1713922690147367</v>
      </c>
      <c r="S22">
        <v>0.18960873950066984</v>
      </c>
    </row>
    <row r="23" spans="1:24" ht="15.75" thickBot="1" x14ac:dyDescent="0.3">
      <c r="A23" s="4">
        <v>1999.375</v>
      </c>
      <c r="B23" s="4">
        <v>5</v>
      </c>
      <c r="C23" s="5">
        <v>4.2896200438692365</v>
      </c>
      <c r="D23" s="5"/>
      <c r="E23" s="4">
        <v>-1.0207669603507683</v>
      </c>
      <c r="F23" s="4">
        <v>2.7404304538592403</v>
      </c>
      <c r="G23" s="4"/>
      <c r="H23" s="4"/>
      <c r="I23" s="4"/>
      <c r="J23" s="4"/>
      <c r="K23" s="4"/>
      <c r="L23" s="4">
        <v>2939</v>
      </c>
      <c r="M23" s="4">
        <f t="shared" si="0"/>
        <v>7.9858246664189174</v>
      </c>
      <c r="P23" s="7" t="s">
        <v>25</v>
      </c>
      <c r="Q23" s="7">
        <v>24</v>
      </c>
      <c r="R23" s="7">
        <v>5.5026841114311571</v>
      </c>
      <c r="S23" s="7"/>
      <c r="T23" s="7"/>
      <c r="U23" s="7"/>
    </row>
    <row r="24" spans="1:24" ht="15.75" thickBot="1" x14ac:dyDescent="0.3">
      <c r="A24">
        <v>2000.375</v>
      </c>
      <c r="B24">
        <v>5</v>
      </c>
      <c r="C24" s="3">
        <v>3.5373226747692317</v>
      </c>
      <c r="D24" s="3">
        <v>15.915820218663171</v>
      </c>
      <c r="E24">
        <v>0.36530161782924503</v>
      </c>
      <c r="F24">
        <v>-2.0635819996307614</v>
      </c>
      <c r="G24">
        <v>11.444625210711436</v>
      </c>
      <c r="L24">
        <v>1558</v>
      </c>
      <c r="M24">
        <f t="shared" si="0"/>
        <v>7.3511582264306936</v>
      </c>
    </row>
    <row r="25" spans="1:24" x14ac:dyDescent="0.25">
      <c r="A25">
        <v>2001.375</v>
      </c>
      <c r="B25">
        <v>5</v>
      </c>
      <c r="C25" s="3">
        <v>2.8748315578692294</v>
      </c>
      <c r="D25" s="3">
        <v>15.087079629089581</v>
      </c>
      <c r="E25">
        <v>4.2896200438692365</v>
      </c>
      <c r="F25">
        <v>4.4289432049292321</v>
      </c>
      <c r="G25">
        <v>11.652113329550779</v>
      </c>
      <c r="L25">
        <v>3825</v>
      </c>
      <c r="M25">
        <f t="shared" si="0"/>
        <v>8.2493137462606363</v>
      </c>
      <c r="P25" s="8"/>
      <c r="Q25" s="8" t="s">
        <v>32</v>
      </c>
      <c r="R25" s="8" t="s">
        <v>20</v>
      </c>
      <c r="S25" s="8" t="s">
        <v>33</v>
      </c>
      <c r="T25" s="8" t="s">
        <v>34</v>
      </c>
      <c r="U25" s="8" t="s">
        <v>35</v>
      </c>
      <c r="V25" s="8" t="s">
        <v>36</v>
      </c>
      <c r="W25" s="8" t="s">
        <v>37</v>
      </c>
      <c r="X25" s="8" t="s">
        <v>38</v>
      </c>
    </row>
    <row r="26" spans="1:24" x14ac:dyDescent="0.25">
      <c r="A26">
        <v>2002.375</v>
      </c>
      <c r="B26">
        <v>5</v>
      </c>
      <c r="C26" s="3">
        <v>1.9076068417692387</v>
      </c>
      <c r="D26" s="3">
        <v>15.528284840014555</v>
      </c>
      <c r="E26">
        <v>3.5373226747692317</v>
      </c>
      <c r="F26">
        <v>3.4883985685692318</v>
      </c>
      <c r="G26">
        <v>10.811947705295095</v>
      </c>
      <c r="L26">
        <v>1171</v>
      </c>
      <c r="M26">
        <f t="shared" si="0"/>
        <v>7.0656133635977172</v>
      </c>
      <c r="P26" t="s">
        <v>26</v>
      </c>
      <c r="Q26">
        <v>16.208849739094639</v>
      </c>
      <c r="R26">
        <v>0.15707081667851885</v>
      </c>
      <c r="S26">
        <v>103.19453404428231</v>
      </c>
      <c r="T26">
        <v>4.8144769408703123E-31</v>
      </c>
      <c r="U26">
        <v>15.883104802631369</v>
      </c>
      <c r="V26">
        <v>16.534594675557909</v>
      </c>
      <c r="W26">
        <v>15.883104802631369</v>
      </c>
      <c r="X26">
        <v>16.534594675557909</v>
      </c>
    </row>
    <row r="27" spans="1:24" x14ac:dyDescent="0.25">
      <c r="A27">
        <v>2003.375</v>
      </c>
      <c r="B27">
        <v>5</v>
      </c>
      <c r="C27" s="3">
        <v>2.2880968023692252</v>
      </c>
      <c r="D27" s="3">
        <v>14.984070353520202</v>
      </c>
      <c r="E27">
        <v>2.8748315578692294</v>
      </c>
      <c r="F27">
        <v>3.4102340611692208</v>
      </c>
      <c r="G27">
        <v>10.578750763997512</v>
      </c>
      <c r="L27">
        <v>458</v>
      </c>
      <c r="M27">
        <f t="shared" si="0"/>
        <v>6.1268691841141854</v>
      </c>
      <c r="P27" t="s">
        <v>39</v>
      </c>
      <c r="Q27">
        <v>-0.18091032975563123</v>
      </c>
      <c r="R27">
        <v>9.8108180963144609E-2</v>
      </c>
      <c r="S27">
        <v>-1.8439882176960567</v>
      </c>
      <c r="T27">
        <v>7.869564972629145E-2</v>
      </c>
      <c r="U27">
        <v>-0.38437424399615128</v>
      </c>
      <c r="V27">
        <v>2.2553584484888811E-2</v>
      </c>
      <c r="W27">
        <v>-0.38437424399615128</v>
      </c>
      <c r="X27">
        <v>2.2553584484888811E-2</v>
      </c>
    </row>
    <row r="28" spans="1:24" ht="15.75" thickBot="1" x14ac:dyDescent="0.3">
      <c r="A28">
        <v>2004.375</v>
      </c>
      <c r="B28">
        <v>5</v>
      </c>
      <c r="C28" s="3">
        <v>1.3046613783592229</v>
      </c>
      <c r="D28" s="3">
        <v>16.27018729289059</v>
      </c>
      <c r="E28">
        <v>1.9076068417692387</v>
      </c>
      <c r="F28">
        <v>2.724954240169227</v>
      </c>
      <c r="G28">
        <v>11.72230269378761</v>
      </c>
      <c r="I28">
        <v>0.4385</v>
      </c>
      <c r="L28">
        <v>9713</v>
      </c>
      <c r="M28">
        <f t="shared" si="0"/>
        <v>9.1812204734023304</v>
      </c>
      <c r="P28" s="7" t="s">
        <v>40</v>
      </c>
      <c r="Q28" s="7">
        <v>9.4425216197959027E-3</v>
      </c>
      <c r="R28" s="7">
        <v>7.904616590163048E-2</v>
      </c>
      <c r="S28" s="7">
        <v>0.11945578273267182</v>
      </c>
      <c r="T28" s="10">
        <v>0.90599840332786352</v>
      </c>
      <c r="U28" s="7">
        <v>-0.15448919296466912</v>
      </c>
      <c r="V28" s="7">
        <v>0.1733742362042609</v>
      </c>
      <c r="W28" s="7">
        <v>-0.15448919296466912</v>
      </c>
      <c r="X28" s="7">
        <v>0.1733742362042609</v>
      </c>
    </row>
    <row r="29" spans="1:24" x14ac:dyDescent="0.25">
      <c r="A29">
        <v>2005.375</v>
      </c>
      <c r="B29">
        <v>5</v>
      </c>
      <c r="C29" s="3">
        <v>-0.5079246517307725</v>
      </c>
      <c r="D29" s="3">
        <v>16.056454729560876</v>
      </c>
      <c r="E29">
        <v>2.2880968023692252</v>
      </c>
      <c r="F29">
        <v>0.59083584561924296</v>
      </c>
      <c r="G29">
        <v>11.197817380927789</v>
      </c>
      <c r="I29">
        <v>11.566000000000001</v>
      </c>
      <c r="L29">
        <v>1218</v>
      </c>
      <c r="M29">
        <f t="shared" si="0"/>
        <v>7.1049654482698426</v>
      </c>
    </row>
    <row r="30" spans="1:24" x14ac:dyDescent="0.25">
      <c r="A30">
        <v>2006.375</v>
      </c>
      <c r="B30">
        <v>5</v>
      </c>
      <c r="C30" s="3">
        <v>2.1628221249392339</v>
      </c>
      <c r="D30" s="3">
        <v>15.968880994902058</v>
      </c>
      <c r="E30">
        <v>1.3046613783592229</v>
      </c>
      <c r="F30">
        <v>1.3330668343492251</v>
      </c>
      <c r="G30">
        <v>10.520455386357256</v>
      </c>
      <c r="I30" t="s">
        <v>0</v>
      </c>
      <c r="J30" t="s">
        <v>9</v>
      </c>
      <c r="L30">
        <v>804</v>
      </c>
      <c r="M30">
        <f t="shared" si="0"/>
        <v>6.6895992691789665</v>
      </c>
      <c r="P30" t="s">
        <v>53</v>
      </c>
    </row>
    <row r="31" spans="1:24" x14ac:dyDescent="0.25">
      <c r="A31">
        <v>2007.375</v>
      </c>
      <c r="B31">
        <v>5</v>
      </c>
      <c r="C31" s="3">
        <v>2.2741382218892316</v>
      </c>
      <c r="D31" s="3">
        <v>15.816319037641536</v>
      </c>
      <c r="E31">
        <v>-0.5079246517307725</v>
      </c>
      <c r="F31">
        <v>0.19707756144923189</v>
      </c>
      <c r="G31">
        <v>10.101354320665545</v>
      </c>
      <c r="L31">
        <v>201</v>
      </c>
      <c r="M31">
        <f t="shared" si="0"/>
        <v>5.3033049080590757</v>
      </c>
      <c r="P31" t="s">
        <v>54</v>
      </c>
    </row>
    <row r="32" spans="1:24" x14ac:dyDescent="0.25">
      <c r="A32">
        <v>2008.375</v>
      </c>
      <c r="B32">
        <v>5</v>
      </c>
      <c r="C32" s="3">
        <v>3.1445083440692292</v>
      </c>
      <c r="D32" s="3">
        <v>15.873171037628065</v>
      </c>
      <c r="E32">
        <v>2.1628221249392339</v>
      </c>
      <c r="F32">
        <v>1.3496924048692274</v>
      </c>
      <c r="G32">
        <v>12.271893157066783</v>
      </c>
      <c r="I32">
        <f t="shared" ref="I32:I49" si="1">$I$29+$I$28*E32</f>
        <v>12.514397501785854</v>
      </c>
      <c r="J32">
        <f t="shared" ref="J32:J48" si="2">G32-I32</f>
        <v>-0.24250434471907134</v>
      </c>
      <c r="L32">
        <v>9734</v>
      </c>
      <c r="M32">
        <f>LN(L32)</f>
        <v>9.1833801903934003</v>
      </c>
    </row>
    <row r="33" spans="1:21" x14ac:dyDescent="0.25">
      <c r="A33">
        <v>2009.375</v>
      </c>
      <c r="B33">
        <v>5</v>
      </c>
      <c r="C33" s="3">
        <v>2.8559780762592273</v>
      </c>
      <c r="D33" s="3">
        <v>16.322640998904404</v>
      </c>
      <c r="E33">
        <v>2.2741382218892316</v>
      </c>
      <c r="F33">
        <v>1.789928194669234</v>
      </c>
      <c r="G33">
        <v>12.088543952525956</v>
      </c>
      <c r="I33">
        <f t="shared" si="1"/>
        <v>12.563209610298429</v>
      </c>
      <c r="J33">
        <f t="shared" si="2"/>
        <v>-0.47466565777247283</v>
      </c>
      <c r="L33">
        <v>15260</v>
      </c>
      <c r="M33">
        <f t="shared" si="0"/>
        <v>9.6329903048384473</v>
      </c>
    </row>
    <row r="34" spans="1:21" x14ac:dyDescent="0.25">
      <c r="A34">
        <v>2010.375</v>
      </c>
      <c r="B34">
        <v>5</v>
      </c>
      <c r="C34" s="3">
        <v>2.1367981933692386</v>
      </c>
      <c r="D34" s="3">
        <v>15.453662301432944</v>
      </c>
      <c r="E34">
        <v>3.1445083440692292</v>
      </c>
      <c r="F34">
        <v>2.7815152350692447</v>
      </c>
      <c r="G34">
        <v>12.864951827970796</v>
      </c>
      <c r="I34">
        <f t="shared" si="1"/>
        <v>12.944866908874358</v>
      </c>
      <c r="J34">
        <f t="shared" si="2"/>
        <v>-7.9915080903562696E-2</v>
      </c>
      <c r="L34">
        <v>18137</v>
      </c>
      <c r="M34">
        <f t="shared" si="0"/>
        <v>9.8057093296174234</v>
      </c>
    </row>
    <row r="35" spans="1:21" x14ac:dyDescent="0.25">
      <c r="A35">
        <v>2011.375</v>
      </c>
      <c r="B35">
        <v>5</v>
      </c>
      <c r="C35" s="3">
        <v>2.994733051169236</v>
      </c>
      <c r="D35" s="3">
        <v>15.342476234111642</v>
      </c>
      <c r="E35">
        <v>2.8559780762592273</v>
      </c>
      <c r="F35">
        <v>3.3034292364692428</v>
      </c>
      <c r="G35">
        <v>12.132404576604838</v>
      </c>
      <c r="I35">
        <f t="shared" si="1"/>
        <v>12.818346386439671</v>
      </c>
      <c r="J35">
        <f t="shared" si="2"/>
        <v>-0.68594180983483355</v>
      </c>
      <c r="L35">
        <v>6178</v>
      </c>
      <c r="M35">
        <f t="shared" si="0"/>
        <v>8.7287498734785274</v>
      </c>
    </row>
    <row r="36" spans="1:21" x14ac:dyDescent="0.25">
      <c r="A36">
        <v>2012.375</v>
      </c>
      <c r="B36">
        <v>5</v>
      </c>
      <c r="C36" s="3">
        <v>3.3148665312692316</v>
      </c>
      <c r="D36" s="3">
        <v>15.594797021168862</v>
      </c>
      <c r="E36">
        <v>2.1367981933692386</v>
      </c>
      <c r="F36">
        <v>1.2312497751892382</v>
      </c>
      <c r="G36">
        <v>13.153228122647484</v>
      </c>
      <c r="I36">
        <f t="shared" si="1"/>
        <v>12.502986007792412</v>
      </c>
      <c r="J36">
        <f t="shared" si="2"/>
        <v>0.65024211485507166</v>
      </c>
      <c r="L36">
        <v>32729</v>
      </c>
      <c r="M36">
        <f t="shared" si="0"/>
        <v>10.396016814019003</v>
      </c>
    </row>
    <row r="37" spans="1:21" x14ac:dyDescent="0.25">
      <c r="A37">
        <v>2013.375</v>
      </c>
      <c r="B37">
        <v>5</v>
      </c>
      <c r="C37" s="3">
        <v>2.6100064923692252</v>
      </c>
      <c r="D37" s="3">
        <v>15.449788461853791</v>
      </c>
      <c r="E37">
        <v>2.994733051169236</v>
      </c>
      <c r="F37">
        <v>5.3692223996192361</v>
      </c>
      <c r="G37">
        <v>12.130837114844267</v>
      </c>
      <c r="I37">
        <f t="shared" si="1"/>
        <v>12.879190442937711</v>
      </c>
      <c r="J37">
        <f t="shared" si="2"/>
        <v>-0.74835332809344379</v>
      </c>
      <c r="L37">
        <v>6637</v>
      </c>
      <c r="M37">
        <f t="shared" si="0"/>
        <v>8.8004153331459243</v>
      </c>
    </row>
    <row r="38" spans="1:21" x14ac:dyDescent="0.25">
      <c r="A38">
        <v>2014.375</v>
      </c>
      <c r="B38">
        <v>5</v>
      </c>
      <c r="C38" s="3">
        <v>1.4034630548992453</v>
      </c>
      <c r="D38" s="3">
        <v>15.441079866004722</v>
      </c>
      <c r="E38">
        <v>3.3148665312692316</v>
      </c>
      <c r="F38">
        <v>3.303517913359225</v>
      </c>
      <c r="G38">
        <v>13.328041695587016</v>
      </c>
      <c r="I38">
        <f t="shared" si="1"/>
        <v>13.019568973961558</v>
      </c>
      <c r="J38">
        <f t="shared" si="2"/>
        <v>0.30847272162545814</v>
      </c>
      <c r="L38">
        <v>32198</v>
      </c>
      <c r="M38">
        <f t="shared" si="0"/>
        <v>10.37965961780224</v>
      </c>
    </row>
    <row r="39" spans="1:21" x14ac:dyDescent="0.25">
      <c r="A39">
        <v>2015.375</v>
      </c>
      <c r="B39">
        <v>5</v>
      </c>
      <c r="C39" s="3">
        <v>-3.0684870940772491E-2</v>
      </c>
      <c r="D39" s="3">
        <v>15.956467236092841</v>
      </c>
      <c r="E39">
        <v>2.6100064923692252</v>
      </c>
      <c r="F39">
        <v>3.1158533679692386</v>
      </c>
      <c r="G39">
        <v>13.143549361147102</v>
      </c>
      <c r="I39">
        <f t="shared" si="1"/>
        <v>12.710487846903906</v>
      </c>
      <c r="J39">
        <f t="shared" si="2"/>
        <v>0.43306151424319594</v>
      </c>
      <c r="L39">
        <v>87497</v>
      </c>
      <c r="M39">
        <f t="shared" si="0"/>
        <v>11.379359786043652</v>
      </c>
    </row>
    <row r="40" spans="1:21" x14ac:dyDescent="0.25">
      <c r="A40">
        <v>2016.375</v>
      </c>
      <c r="B40">
        <v>5</v>
      </c>
      <c r="C40" s="3">
        <v>-3.6238594620772724E-2</v>
      </c>
      <c r="D40" s="3">
        <v>16.107221667702962</v>
      </c>
      <c r="E40">
        <v>1.4034630548992453</v>
      </c>
      <c r="F40">
        <v>2.441292262069223</v>
      </c>
      <c r="G40">
        <v>12.744021097251309</v>
      </c>
      <c r="I40">
        <f t="shared" si="1"/>
        <v>12.181418549573319</v>
      </c>
      <c r="J40">
        <f t="shared" si="2"/>
        <v>0.56260254767799012</v>
      </c>
      <c r="L40">
        <v>692</v>
      </c>
      <c r="M40">
        <f t="shared" si="0"/>
        <v>6.5395859556176692</v>
      </c>
    </row>
    <row r="41" spans="1:21" x14ac:dyDescent="0.25">
      <c r="A41">
        <v>2017.375</v>
      </c>
      <c r="B41">
        <v>5</v>
      </c>
      <c r="C41" s="3">
        <v>0.6355308827592252</v>
      </c>
      <c r="D41" s="3">
        <v>16.336515690604926</v>
      </c>
      <c r="E41">
        <v>-3.0684870940772491E-2</v>
      </c>
      <c r="F41">
        <v>0.71163629737922962</v>
      </c>
      <c r="G41">
        <v>11.381597357614821</v>
      </c>
      <c r="I41">
        <f t="shared" si="1"/>
        <v>11.552544684092473</v>
      </c>
      <c r="J41">
        <f t="shared" si="2"/>
        <v>-0.17094732647765198</v>
      </c>
      <c r="L41">
        <v>2471</v>
      </c>
      <c r="M41">
        <f t="shared" si="0"/>
        <v>7.81237820598861</v>
      </c>
    </row>
    <row r="42" spans="1:21" x14ac:dyDescent="0.25">
      <c r="A42">
        <v>2018.375</v>
      </c>
      <c r="B42">
        <v>5</v>
      </c>
      <c r="C42" s="3">
        <v>2.0574152523692271</v>
      </c>
      <c r="D42" s="3">
        <v>15.624505992737458</v>
      </c>
      <c r="E42">
        <v>-3.6238594620772724E-2</v>
      </c>
      <c r="F42">
        <v>-1.5252614967307725</v>
      </c>
      <c r="G42">
        <v>12.174664534370493</v>
      </c>
      <c r="I42">
        <f t="shared" si="1"/>
        <v>11.550109376258792</v>
      </c>
      <c r="J42">
        <f t="shared" si="2"/>
        <v>0.62455515811170059</v>
      </c>
      <c r="L42">
        <v>11400</v>
      </c>
      <c r="M42">
        <f t="shared" si="0"/>
        <v>9.3413686343825866</v>
      </c>
    </row>
    <row r="43" spans="1:21" x14ac:dyDescent="0.25">
      <c r="A43">
        <v>2019.375</v>
      </c>
      <c r="B43">
        <v>5</v>
      </c>
      <c r="C43" s="3">
        <v>0.16846339816923617</v>
      </c>
      <c r="D43" s="3">
        <v>16.552086797548142</v>
      </c>
      <c r="E43">
        <v>0.6355308827592252</v>
      </c>
      <c r="F43">
        <v>2.8199650322192427</v>
      </c>
      <c r="G43">
        <v>11.05161989766763</v>
      </c>
      <c r="I43">
        <f t="shared" si="1"/>
        <v>11.844680292089921</v>
      </c>
      <c r="J43">
        <f t="shared" si="2"/>
        <v>-0.79306039442229093</v>
      </c>
      <c r="L43">
        <v>696</v>
      </c>
      <c r="M43">
        <f t="shared" si="0"/>
        <v>6.5453496603344199</v>
      </c>
    </row>
    <row r="44" spans="1:21" x14ac:dyDescent="0.25">
      <c r="A44">
        <v>2020.375</v>
      </c>
      <c r="B44">
        <v>5</v>
      </c>
      <c r="C44" s="3">
        <v>0.94188844476923839</v>
      </c>
      <c r="D44" s="3">
        <v>16.562603156870754</v>
      </c>
      <c r="E44">
        <v>2.0574152523692271</v>
      </c>
      <c r="F44">
        <v>2.0752345825592298</v>
      </c>
      <c r="G44">
        <v>12.741802566796778</v>
      </c>
      <c r="I44">
        <f t="shared" si="1"/>
        <v>12.468176588163907</v>
      </c>
      <c r="J44">
        <f t="shared" si="2"/>
        <v>0.27362597863287164</v>
      </c>
      <c r="L44">
        <v>34333</v>
      </c>
      <c r="M44">
        <f t="shared" si="0"/>
        <v>10.44386226975867</v>
      </c>
    </row>
    <row r="45" spans="1:21" x14ac:dyDescent="0.25">
      <c r="A45">
        <v>2021.375</v>
      </c>
      <c r="B45">
        <v>5</v>
      </c>
      <c r="C45" s="3">
        <v>3.013470621229243</v>
      </c>
      <c r="D45" s="3">
        <v>15.812689343675405</v>
      </c>
      <c r="E45">
        <v>0.16846339816923617</v>
      </c>
      <c r="F45">
        <v>1.1295069963692277</v>
      </c>
      <c r="G45">
        <v>11.930088550824202</v>
      </c>
      <c r="I45">
        <f t="shared" si="1"/>
        <v>11.639871200097211</v>
      </c>
      <c r="J45">
        <f t="shared" si="2"/>
        <v>0.29021735072699073</v>
      </c>
      <c r="L45">
        <v>2943</v>
      </c>
      <c r="M45">
        <f t="shared" si="0"/>
        <v>7.9871847482334726</v>
      </c>
    </row>
    <row r="46" spans="1:21" x14ac:dyDescent="0.25">
      <c r="A46">
        <v>2022.375</v>
      </c>
      <c r="B46">
        <v>5</v>
      </c>
      <c r="C46" s="3">
        <v>4.3843827266992443</v>
      </c>
      <c r="D46" s="3">
        <v>16.714282911673809</v>
      </c>
      <c r="E46">
        <v>0.94188844476923839</v>
      </c>
      <c r="F46">
        <v>0.59593210106922745</v>
      </c>
      <c r="G46">
        <v>13.40491179517106</v>
      </c>
      <c r="I46">
        <f t="shared" si="1"/>
        <v>11.979018083031312</v>
      </c>
      <c r="J46">
        <f t="shared" si="2"/>
        <v>1.4258937121397484</v>
      </c>
      <c r="L46">
        <v>41393</v>
      </c>
      <c r="M46">
        <f t="shared" si="0"/>
        <v>10.630867063391808</v>
      </c>
    </row>
    <row r="47" spans="1:21" x14ac:dyDescent="0.25">
      <c r="A47">
        <v>2023.375</v>
      </c>
      <c r="B47">
        <v>5</v>
      </c>
      <c r="C47" s="3">
        <v>2.5315232330692252</v>
      </c>
      <c r="D47" s="3">
        <v>16.511103760107318</v>
      </c>
      <c r="E47">
        <v>3.013470621229243</v>
      </c>
      <c r="F47">
        <v>2.4282919043692339</v>
      </c>
      <c r="G47">
        <v>12.699548630961051</v>
      </c>
      <c r="I47">
        <f t="shared" si="1"/>
        <v>12.887406867409023</v>
      </c>
      <c r="J47">
        <f t="shared" si="2"/>
        <v>-0.18785823644797262</v>
      </c>
      <c r="L47">
        <v>13084</v>
      </c>
      <c r="M47">
        <f t="shared" si="0"/>
        <v>9.4791453886582744</v>
      </c>
    </row>
    <row r="48" spans="1:21" x14ac:dyDescent="0.25">
      <c r="A48">
        <v>2024.375</v>
      </c>
      <c r="D48">
        <v>15.348011859581199</v>
      </c>
      <c r="E48">
        <v>4.3843827266992443</v>
      </c>
      <c r="F48">
        <v>2.8442826277692275</v>
      </c>
      <c r="G48">
        <v>13.535676277546205</v>
      </c>
      <c r="I48">
        <f t="shared" si="1"/>
        <v>13.48855182565762</v>
      </c>
      <c r="J48">
        <f t="shared" si="2"/>
        <v>4.7124451888585384E-2</v>
      </c>
      <c r="L48">
        <v>30066</v>
      </c>
      <c r="M48">
        <f t="shared" si="0"/>
        <v>10.311150244187779</v>
      </c>
      <c r="P48" t="s">
        <v>55</v>
      </c>
      <c r="T48" s="1">
        <f>EXP(16)</f>
        <v>8886110.5205078721</v>
      </c>
      <c r="U48" t="s">
        <v>57</v>
      </c>
    </row>
    <row r="49" spans="1:17" x14ac:dyDescent="0.25">
      <c r="A49" t="s">
        <v>10</v>
      </c>
      <c r="E49">
        <v>2.5315232330692252</v>
      </c>
      <c r="I49" s="1">
        <f t="shared" si="1"/>
        <v>12.676072937700855</v>
      </c>
      <c r="L49">
        <v>11687</v>
      </c>
      <c r="M49">
        <f t="shared" si="0"/>
        <v>9.3662323919331563</v>
      </c>
      <c r="Q49" t="s">
        <v>56</v>
      </c>
    </row>
    <row r="51" spans="1:17" x14ac:dyDescent="0.25">
      <c r="I51" t="s">
        <v>11</v>
      </c>
    </row>
    <row r="52" spans="1:17" x14ac:dyDescent="0.25">
      <c r="I52" s="2">
        <f>EXP(I49)</f>
        <v>319998.93213776447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Cors</vt:lpstr>
      <vt:lpstr>Sheet1</vt:lpstr>
      <vt:lpstr>MAINPRED</vt:lpstr>
      <vt:lpstr>Enviro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2025-05-20T15:36:38Z</dcterms:modified>
</cp:coreProperties>
</file>