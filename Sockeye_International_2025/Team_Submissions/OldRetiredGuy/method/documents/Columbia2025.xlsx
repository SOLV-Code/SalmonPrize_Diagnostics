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473F39BE-499D-4F34-8DFD-5DAF46A2D1D2}" xr6:coauthVersionLast="47" xr6:coauthVersionMax="47" xr10:uidLastSave="{00000000-0000-0000-0000-000000000000}"/>
  <bookViews>
    <workbookView xWindow="-120" yWindow="-120" windowWidth="29040" windowHeight="15720" activeTab="3" xr2:uid="{F2506C93-5B32-4D82-B9C1-43481305A108}"/>
  </bookViews>
  <sheets>
    <sheet name="Review2024" sheetId="1" r:id="rId1"/>
    <sheet name="ColRetTbl" sheetId="2" r:id="rId2"/>
    <sheet name="Enviro" sheetId="4" r:id="rId3"/>
    <sheet name="Pred202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4" i="3" l="1"/>
  <c r="Y76" i="3"/>
  <c r="AD80" i="3"/>
  <c r="AD83" i="3"/>
  <c r="Z48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29" i="4"/>
  <c r="K32" i="4"/>
  <c r="K11" i="4" l="1"/>
  <c r="K12" i="4"/>
  <c r="K13" i="4"/>
  <c r="K14" i="4"/>
  <c r="K15" i="4"/>
  <c r="K16" i="4"/>
  <c r="K17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10" i="4"/>
  <c r="G52" i="4"/>
  <c r="G49" i="4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W49" i="2"/>
  <c r="X49" i="2" s="1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15" i="2"/>
  <c r="F55" i="2"/>
  <c r="G55" i="2"/>
  <c r="G56" i="2" s="1"/>
  <c r="H55" i="2"/>
  <c r="I55" i="2"/>
  <c r="J55" i="2"/>
  <c r="K55" i="2"/>
  <c r="L55" i="2"/>
  <c r="M55" i="2"/>
  <c r="E55" i="2"/>
  <c r="M56" i="2" l="1"/>
  <c r="L56" i="2"/>
  <c r="K56" i="2"/>
  <c r="J56" i="2"/>
  <c r="I56" i="2"/>
  <c r="H56" i="2"/>
  <c r="F56" i="2"/>
  <c r="V6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F56" i="1"/>
  <c r="E56" i="1"/>
  <c r="E55" i="1"/>
  <c r="E54" i="1"/>
  <c r="F54" i="1" s="1"/>
  <c r="K53" i="1"/>
  <c r="Q53" i="1" s="1"/>
  <c r="E53" i="1"/>
  <c r="F53" i="1" s="1"/>
  <c r="E52" i="1"/>
  <c r="Z51" i="1"/>
  <c r="J51" i="1"/>
  <c r="P51" i="1" s="1"/>
  <c r="I51" i="1"/>
  <c r="O51" i="1" s="1"/>
  <c r="E51" i="1"/>
  <c r="F51" i="1" s="1"/>
  <c r="E50" i="1"/>
  <c r="G49" i="1"/>
  <c r="M49" i="1" s="1"/>
  <c r="E49" i="1"/>
  <c r="F49" i="1" s="1"/>
  <c r="E48" i="1"/>
  <c r="F48" i="1" s="1"/>
  <c r="E47" i="1"/>
  <c r="F47" i="1" s="1"/>
  <c r="J46" i="1"/>
  <c r="P46" i="1" s="1"/>
  <c r="E46" i="1"/>
  <c r="F46" i="1" s="1"/>
  <c r="I45" i="1"/>
  <c r="O45" i="1" s="1"/>
  <c r="E45" i="1"/>
  <c r="F45" i="1" s="1"/>
  <c r="E44" i="1"/>
  <c r="F44" i="1" s="1"/>
  <c r="J43" i="1"/>
  <c r="P43" i="1" s="1"/>
  <c r="E43" i="1"/>
  <c r="F43" i="1" s="1"/>
  <c r="E42" i="1"/>
  <c r="F42" i="1" s="1"/>
  <c r="E41" i="1"/>
  <c r="G40" i="1"/>
  <c r="M40" i="1" s="1"/>
  <c r="E40" i="1"/>
  <c r="F40" i="1" s="1"/>
  <c r="F39" i="1"/>
  <c r="I42" i="1" s="1"/>
  <c r="O42" i="1" s="1"/>
  <c r="E39" i="1"/>
  <c r="E38" i="1"/>
  <c r="E37" i="1"/>
  <c r="F37" i="1" s="1"/>
  <c r="E36" i="1"/>
  <c r="E35" i="1"/>
  <c r="F35" i="1" s="1"/>
  <c r="E34" i="1"/>
  <c r="F34" i="1" s="1"/>
  <c r="E33" i="1"/>
  <c r="F33" i="1" s="1"/>
  <c r="E32" i="1"/>
  <c r="E31" i="1"/>
  <c r="F31" i="1" s="1"/>
  <c r="E30" i="1"/>
  <c r="F30" i="1" s="1"/>
  <c r="E29" i="1"/>
  <c r="F29" i="1" s="1"/>
  <c r="G30" i="1" s="1"/>
  <c r="E28" i="1"/>
  <c r="E27" i="1"/>
  <c r="E26" i="1"/>
  <c r="F26" i="1" s="1"/>
  <c r="E25" i="1"/>
  <c r="F25" i="1" s="1"/>
  <c r="E24" i="1"/>
  <c r="E23" i="1"/>
  <c r="F23" i="1" s="1"/>
  <c r="E22" i="1"/>
  <c r="E21" i="1"/>
  <c r="F21" i="1" s="1"/>
  <c r="E20" i="1"/>
  <c r="F20" i="1" s="1"/>
  <c r="G19" i="1"/>
  <c r="E19" i="1"/>
  <c r="F19" i="1" s="1"/>
  <c r="F18" i="1"/>
  <c r="E18" i="1"/>
  <c r="E17" i="1"/>
  <c r="F19" i="3" l="1"/>
  <c r="X70" i="3"/>
  <c r="X71" i="3" s="1"/>
  <c r="F42" i="3"/>
  <c r="F43" i="3"/>
  <c r="F18" i="3"/>
  <c r="K23" i="3" s="1"/>
  <c r="F45" i="3"/>
  <c r="F46" i="3"/>
  <c r="F20" i="3"/>
  <c r="I23" i="3" s="1"/>
  <c r="F47" i="3"/>
  <c r="F21" i="3"/>
  <c r="F48" i="3"/>
  <c r="J52" i="3" s="1"/>
  <c r="P52" i="3" s="1"/>
  <c r="F22" i="3"/>
  <c r="I25" i="3" s="1"/>
  <c r="F23" i="3"/>
  <c r="H25" i="3" s="1"/>
  <c r="F49" i="3"/>
  <c r="H51" i="3" s="1"/>
  <c r="N51" i="3" s="1"/>
  <c r="F25" i="3"/>
  <c r="J29" i="3" s="1"/>
  <c r="F51" i="3"/>
  <c r="I54" i="3" s="1"/>
  <c r="O54" i="3" s="1"/>
  <c r="F27" i="3"/>
  <c r="G28" i="3" s="1"/>
  <c r="F53" i="3"/>
  <c r="I56" i="3" s="1"/>
  <c r="O56" i="3" s="1"/>
  <c r="F29" i="3"/>
  <c r="K34" i="3" s="1"/>
  <c r="F54" i="3"/>
  <c r="H56" i="3" s="1"/>
  <c r="N56" i="3" s="1"/>
  <c r="F30" i="3"/>
  <c r="H32" i="3" s="1"/>
  <c r="F55" i="3"/>
  <c r="F56" i="3"/>
  <c r="F33" i="3"/>
  <c r="G34" i="3" s="1"/>
  <c r="F34" i="3"/>
  <c r="I37" i="3" s="1"/>
  <c r="F35" i="3"/>
  <c r="G36" i="3" s="1"/>
  <c r="F37" i="3"/>
  <c r="K42" i="3" s="1"/>
  <c r="Q42" i="3" s="1"/>
  <c r="F38" i="3"/>
  <c r="J42" i="3" s="1"/>
  <c r="P42" i="3" s="1"/>
  <c r="F39" i="3"/>
  <c r="I42" i="3" s="1"/>
  <c r="O42" i="3" s="1"/>
  <c r="F40" i="3"/>
  <c r="J44" i="3" s="1"/>
  <c r="P44" i="3" s="1"/>
  <c r="H20" i="3"/>
  <c r="K25" i="3"/>
  <c r="J47" i="3"/>
  <c r="P47" i="3" s="1"/>
  <c r="G44" i="3"/>
  <c r="M44" i="3" s="1"/>
  <c r="I46" i="3"/>
  <c r="O46" i="3" s="1"/>
  <c r="G19" i="3"/>
  <c r="G49" i="3"/>
  <c r="M49" i="3" s="1"/>
  <c r="G22" i="3"/>
  <c r="I24" i="3"/>
  <c r="H23" i="3"/>
  <c r="K26" i="3"/>
  <c r="J25" i="3"/>
  <c r="H24" i="3"/>
  <c r="K27" i="3"/>
  <c r="G23" i="3"/>
  <c r="J26" i="3"/>
  <c r="K54" i="3"/>
  <c r="Q54" i="3" s="1"/>
  <c r="I52" i="3"/>
  <c r="O52" i="3" s="1"/>
  <c r="F26" i="3"/>
  <c r="J23" i="3"/>
  <c r="K24" i="3"/>
  <c r="I22" i="3"/>
  <c r="H21" i="3"/>
  <c r="G20" i="3"/>
  <c r="F41" i="3"/>
  <c r="K47" i="3"/>
  <c r="Q47" i="3" s="1"/>
  <c r="H44" i="3"/>
  <c r="N44" i="3" s="1"/>
  <c r="J46" i="3"/>
  <c r="P46" i="3" s="1"/>
  <c r="G43" i="3"/>
  <c r="M43" i="3" s="1"/>
  <c r="K50" i="3"/>
  <c r="Q50" i="3" s="1"/>
  <c r="I48" i="3"/>
  <c r="O48" i="3" s="1"/>
  <c r="G46" i="3"/>
  <c r="M46" i="3" s="1"/>
  <c r="F31" i="3"/>
  <c r="H45" i="3"/>
  <c r="N45" i="3" s="1"/>
  <c r="I45" i="3"/>
  <c r="O45" i="3" s="1"/>
  <c r="F28" i="3"/>
  <c r="F50" i="3"/>
  <c r="F24" i="3"/>
  <c r="F36" i="3"/>
  <c r="J50" i="3"/>
  <c r="P50" i="3" s="1"/>
  <c r="H48" i="3"/>
  <c r="N48" i="3" s="1"/>
  <c r="F32" i="3"/>
  <c r="F44" i="3"/>
  <c r="I49" i="3"/>
  <c r="O49" i="3" s="1"/>
  <c r="F52" i="3"/>
  <c r="J39" i="1"/>
  <c r="P39" i="1" s="1"/>
  <c r="I38" i="1"/>
  <c r="H37" i="1"/>
  <c r="G36" i="1"/>
  <c r="K40" i="1"/>
  <c r="Q40" i="1" s="1"/>
  <c r="J41" i="1"/>
  <c r="P41" i="1" s="1"/>
  <c r="H39" i="1"/>
  <c r="N39" i="1" s="1"/>
  <c r="K42" i="1"/>
  <c r="Q42" i="1" s="1"/>
  <c r="G38" i="1"/>
  <c r="I40" i="1"/>
  <c r="O40" i="1" s="1"/>
  <c r="H42" i="1"/>
  <c r="N42" i="1" s="1"/>
  <c r="J44" i="1"/>
  <c r="P44" i="1" s="1"/>
  <c r="G41" i="1"/>
  <c r="M41" i="1" s="1"/>
  <c r="I43" i="1"/>
  <c r="O43" i="1" s="1"/>
  <c r="K45" i="1"/>
  <c r="Q45" i="1" s="1"/>
  <c r="J47" i="1"/>
  <c r="P47" i="1" s="1"/>
  <c r="G44" i="1"/>
  <c r="M44" i="1" s="1"/>
  <c r="K48" i="1"/>
  <c r="Q48" i="1" s="1"/>
  <c r="I46" i="1"/>
  <c r="O46" i="1" s="1"/>
  <c r="H45" i="1"/>
  <c r="N45" i="1" s="1"/>
  <c r="J23" i="1"/>
  <c r="K24" i="1"/>
  <c r="H21" i="1"/>
  <c r="I22" i="1"/>
  <c r="G20" i="1"/>
  <c r="I23" i="1"/>
  <c r="J24" i="1"/>
  <c r="H22" i="1"/>
  <c r="K25" i="1"/>
  <c r="G21" i="1"/>
  <c r="H23" i="1"/>
  <c r="I24" i="1"/>
  <c r="G22" i="1"/>
  <c r="K26" i="1"/>
  <c r="J25" i="1"/>
  <c r="H27" i="1"/>
  <c r="J29" i="1"/>
  <c r="I28" i="1"/>
  <c r="G26" i="1"/>
  <c r="K30" i="1"/>
  <c r="K31" i="1"/>
  <c r="G27" i="1"/>
  <c r="I29" i="1"/>
  <c r="H28" i="1"/>
  <c r="J30" i="1"/>
  <c r="K54" i="1"/>
  <c r="Q54" i="1" s="1"/>
  <c r="I52" i="1"/>
  <c r="O52" i="1" s="1"/>
  <c r="G50" i="1"/>
  <c r="M50" i="1" s="1"/>
  <c r="J53" i="1"/>
  <c r="P53" i="1" s="1"/>
  <c r="H51" i="1"/>
  <c r="N51" i="1" s="1"/>
  <c r="I54" i="1"/>
  <c r="O54" i="1" s="1"/>
  <c r="G52" i="1"/>
  <c r="M52" i="1" s="1"/>
  <c r="K56" i="1"/>
  <c r="Q56" i="1" s="1"/>
  <c r="H53" i="1"/>
  <c r="N53" i="1" s="1"/>
  <c r="J55" i="1"/>
  <c r="P55" i="1" s="1"/>
  <c r="K35" i="1"/>
  <c r="G31" i="1"/>
  <c r="I33" i="1"/>
  <c r="H32" i="1"/>
  <c r="J34" i="1"/>
  <c r="J35" i="1"/>
  <c r="I34" i="1"/>
  <c r="H33" i="1"/>
  <c r="K36" i="1"/>
  <c r="G32" i="1"/>
  <c r="K23" i="1"/>
  <c r="I21" i="1"/>
  <c r="J22" i="1"/>
  <c r="K50" i="1"/>
  <c r="Q50" i="1" s="1"/>
  <c r="H47" i="1"/>
  <c r="N47" i="1" s="1"/>
  <c r="J49" i="1"/>
  <c r="P49" i="1" s="1"/>
  <c r="H31" i="1"/>
  <c r="J33" i="1"/>
  <c r="I32" i="1"/>
  <c r="G45" i="1"/>
  <c r="M45" i="1" s="1"/>
  <c r="I47" i="1"/>
  <c r="O47" i="1" s="1"/>
  <c r="K49" i="1"/>
  <c r="Q49" i="1" s="1"/>
  <c r="H20" i="1"/>
  <c r="J50" i="1"/>
  <c r="P50" i="1" s="1"/>
  <c r="H48" i="1"/>
  <c r="N48" i="1" s="1"/>
  <c r="I49" i="1"/>
  <c r="O49" i="1" s="1"/>
  <c r="G47" i="1"/>
  <c r="M47" i="1" s="1"/>
  <c r="R47" i="1" s="1"/>
  <c r="G46" i="1"/>
  <c r="M46" i="1" s="1"/>
  <c r="K51" i="1"/>
  <c r="Q51" i="1" s="1"/>
  <c r="H46" i="1"/>
  <c r="N46" i="1" s="1"/>
  <c r="F22" i="1"/>
  <c r="F32" i="1"/>
  <c r="J27" i="1"/>
  <c r="G24" i="1"/>
  <c r="K28" i="1"/>
  <c r="H35" i="1"/>
  <c r="G34" i="1"/>
  <c r="K38" i="1"/>
  <c r="J37" i="1"/>
  <c r="K39" i="1"/>
  <c r="Q39" i="1" s="1"/>
  <c r="G35" i="1"/>
  <c r="J38" i="1"/>
  <c r="I37" i="1"/>
  <c r="F41" i="1"/>
  <c r="K52" i="1"/>
  <c r="Q52" i="1" s="1"/>
  <c r="I50" i="1"/>
  <c r="O50" i="1" s="1"/>
  <c r="G48" i="1"/>
  <c r="M48" i="1" s="1"/>
  <c r="H49" i="1"/>
  <c r="N49" i="1" s="1"/>
  <c r="R49" i="1" s="1"/>
  <c r="K47" i="1"/>
  <c r="Q47" i="1" s="1"/>
  <c r="H44" i="1"/>
  <c r="N44" i="1" s="1"/>
  <c r="G54" i="1"/>
  <c r="M54" i="1" s="1"/>
  <c r="I56" i="1"/>
  <c r="O56" i="1" s="1"/>
  <c r="H55" i="1"/>
  <c r="N55" i="1" s="1"/>
  <c r="K34" i="1"/>
  <c r="I48" i="1"/>
  <c r="O48" i="1" s="1"/>
  <c r="H25" i="1"/>
  <c r="J48" i="1"/>
  <c r="P48" i="1" s="1"/>
  <c r="F36" i="1"/>
  <c r="H36" i="1"/>
  <c r="I36" i="1"/>
  <c r="H56" i="1"/>
  <c r="N56" i="1" s="1"/>
  <c r="G55" i="1"/>
  <c r="M55" i="1" s="1"/>
  <c r="G43" i="1"/>
  <c r="M43" i="1" s="1"/>
  <c r="I26" i="1"/>
  <c r="F27" i="1"/>
  <c r="F38" i="1"/>
  <c r="F55" i="1"/>
  <c r="G56" i="1" s="1"/>
  <c r="M56" i="1" s="1"/>
  <c r="F52" i="1"/>
  <c r="H41" i="1"/>
  <c r="N41" i="1" s="1"/>
  <c r="K44" i="1"/>
  <c r="Q44" i="1" s="1"/>
  <c r="F28" i="1"/>
  <c r="F50" i="1"/>
  <c r="F24" i="1"/>
  <c r="J52" i="1"/>
  <c r="P52" i="1" s="1"/>
  <c r="H50" i="1"/>
  <c r="N50" i="1" s="1"/>
  <c r="G21" i="3" l="1"/>
  <c r="H22" i="3"/>
  <c r="I21" i="3"/>
  <c r="J22" i="3"/>
  <c r="I32" i="3"/>
  <c r="J33" i="3"/>
  <c r="J24" i="3"/>
  <c r="J53" i="3"/>
  <c r="P53" i="3" s="1"/>
  <c r="G50" i="3"/>
  <c r="M50" i="3" s="1"/>
  <c r="K52" i="3"/>
  <c r="Q52" i="3" s="1"/>
  <c r="A47" i="3"/>
  <c r="J38" i="3"/>
  <c r="H36" i="3"/>
  <c r="K35" i="3"/>
  <c r="G56" i="3"/>
  <c r="M56" i="3" s="1"/>
  <c r="A55" i="3"/>
  <c r="J34" i="3"/>
  <c r="K39" i="3"/>
  <c r="Q39" i="3" s="1"/>
  <c r="G30" i="3"/>
  <c r="K53" i="3"/>
  <c r="Q53" i="3" s="1"/>
  <c r="G52" i="3"/>
  <c r="M52" i="3" s="1"/>
  <c r="I26" i="3"/>
  <c r="K28" i="3"/>
  <c r="J51" i="3"/>
  <c r="P51" i="3" s="1"/>
  <c r="K56" i="3"/>
  <c r="Q56" i="3" s="1"/>
  <c r="H47" i="3"/>
  <c r="N47" i="3" s="1"/>
  <c r="A45" i="3"/>
  <c r="G31" i="3"/>
  <c r="I33" i="3"/>
  <c r="J55" i="3"/>
  <c r="P55" i="3" s="1"/>
  <c r="K30" i="3"/>
  <c r="I51" i="3"/>
  <c r="O51" i="3" s="1"/>
  <c r="H50" i="3"/>
  <c r="N50" i="3" s="1"/>
  <c r="J27" i="3"/>
  <c r="G48" i="3"/>
  <c r="M48" i="3" s="1"/>
  <c r="H27" i="3"/>
  <c r="K48" i="3"/>
  <c r="Q48" i="3" s="1"/>
  <c r="A43" i="3"/>
  <c r="H53" i="3"/>
  <c r="N53" i="3" s="1"/>
  <c r="H49" i="3"/>
  <c r="N49" i="3" s="1"/>
  <c r="G24" i="3"/>
  <c r="G26" i="3"/>
  <c r="G40" i="3"/>
  <c r="M40" i="3" s="1"/>
  <c r="J43" i="3"/>
  <c r="P43" i="3" s="1"/>
  <c r="H41" i="3"/>
  <c r="N41" i="3" s="1"/>
  <c r="K44" i="3"/>
  <c r="Q44" i="3" s="1"/>
  <c r="H40" i="3"/>
  <c r="N40" i="3" s="1"/>
  <c r="K43" i="3"/>
  <c r="Q43" i="3" s="1"/>
  <c r="I41" i="3"/>
  <c r="O41" i="3" s="1"/>
  <c r="G39" i="3"/>
  <c r="M39" i="3" s="1"/>
  <c r="I40" i="3"/>
  <c r="O40" i="3" s="1"/>
  <c r="G38" i="3"/>
  <c r="J41" i="3"/>
  <c r="P41" i="3" s="1"/>
  <c r="H39" i="3"/>
  <c r="N39" i="3" s="1"/>
  <c r="I28" i="3"/>
  <c r="I36" i="3"/>
  <c r="K38" i="3"/>
  <c r="G54" i="3"/>
  <c r="M54" i="3" s="1"/>
  <c r="K45" i="3"/>
  <c r="Q45" i="3" s="1"/>
  <c r="H35" i="3"/>
  <c r="H55" i="3"/>
  <c r="N55" i="3" s="1"/>
  <c r="I43" i="3"/>
  <c r="O43" i="3" s="1"/>
  <c r="J37" i="3"/>
  <c r="G41" i="3"/>
  <c r="M41" i="3" s="1"/>
  <c r="K32" i="3"/>
  <c r="H42" i="3"/>
  <c r="N42" i="3" s="1"/>
  <c r="I30" i="3"/>
  <c r="I50" i="3"/>
  <c r="O50" i="3" s="1"/>
  <c r="G35" i="3"/>
  <c r="G55" i="3"/>
  <c r="M55" i="3" s="1"/>
  <c r="H29" i="3"/>
  <c r="K40" i="3"/>
  <c r="Q40" i="3" s="1"/>
  <c r="G47" i="3"/>
  <c r="M47" i="3" s="1"/>
  <c r="K51" i="3"/>
  <c r="Q51" i="3" s="1"/>
  <c r="J31" i="3"/>
  <c r="H37" i="3"/>
  <c r="I38" i="3"/>
  <c r="J49" i="3"/>
  <c r="P49" i="3" s="1"/>
  <c r="J39" i="3"/>
  <c r="P39" i="3" s="1"/>
  <c r="H31" i="3"/>
  <c r="J56" i="3"/>
  <c r="P56" i="3" s="1"/>
  <c r="R56" i="3" s="1"/>
  <c r="H54" i="3"/>
  <c r="N54" i="3" s="1"/>
  <c r="G53" i="3"/>
  <c r="M53" i="3" s="1"/>
  <c r="I55" i="3"/>
  <c r="O55" i="3" s="1"/>
  <c r="I27" i="3"/>
  <c r="J28" i="3"/>
  <c r="H26" i="3"/>
  <c r="K29" i="3"/>
  <c r="G25" i="3"/>
  <c r="J54" i="3"/>
  <c r="P54" i="3" s="1"/>
  <c r="H52" i="3"/>
  <c r="N52" i="3" s="1"/>
  <c r="I53" i="3"/>
  <c r="O53" i="3" s="1"/>
  <c r="K55" i="3"/>
  <c r="Q55" i="3" s="1"/>
  <c r="G51" i="3"/>
  <c r="M51" i="3" s="1"/>
  <c r="I31" i="3"/>
  <c r="K33" i="3"/>
  <c r="G29" i="3"/>
  <c r="J32" i="3"/>
  <c r="H30" i="3"/>
  <c r="I44" i="3"/>
  <c r="O44" i="3" s="1"/>
  <c r="H43" i="3"/>
  <c r="N43" i="3" s="1"/>
  <c r="G42" i="3"/>
  <c r="M42" i="3" s="1"/>
  <c r="K46" i="3"/>
  <c r="Q46" i="3" s="1"/>
  <c r="J45" i="3"/>
  <c r="P45" i="3" s="1"/>
  <c r="I35" i="3"/>
  <c r="K37" i="3"/>
  <c r="H34" i="3"/>
  <c r="G33" i="3"/>
  <c r="J36" i="3"/>
  <c r="G32" i="3"/>
  <c r="J35" i="3"/>
  <c r="I34" i="3"/>
  <c r="H33" i="3"/>
  <c r="K36" i="3"/>
  <c r="K41" i="3"/>
  <c r="Q41" i="3" s="1"/>
  <c r="I39" i="3"/>
  <c r="O39" i="3" s="1"/>
  <c r="J40" i="3"/>
  <c r="P40" i="3" s="1"/>
  <c r="H38" i="3"/>
  <c r="G37" i="3"/>
  <c r="J48" i="3"/>
  <c r="P48" i="3" s="1"/>
  <c r="H46" i="3"/>
  <c r="N46" i="3" s="1"/>
  <c r="I47" i="3"/>
  <c r="O47" i="3" s="1"/>
  <c r="K49" i="3"/>
  <c r="Q49" i="3" s="1"/>
  <c r="G45" i="3"/>
  <c r="M45" i="3" s="1"/>
  <c r="H28" i="3"/>
  <c r="K31" i="3"/>
  <c r="I29" i="3"/>
  <c r="G27" i="3"/>
  <c r="J30" i="3"/>
  <c r="R46" i="1"/>
  <c r="R48" i="1"/>
  <c r="I27" i="1"/>
  <c r="J28" i="1"/>
  <c r="H26" i="1"/>
  <c r="G25" i="1"/>
  <c r="K29" i="1"/>
  <c r="R50" i="1"/>
  <c r="J54" i="1"/>
  <c r="P54" i="1" s="1"/>
  <c r="H52" i="1"/>
  <c r="N52" i="1" s="1"/>
  <c r="R52" i="1" s="1"/>
  <c r="I53" i="1"/>
  <c r="O53" i="1" s="1"/>
  <c r="K55" i="1"/>
  <c r="Q55" i="1" s="1"/>
  <c r="R55" i="1" s="1"/>
  <c r="G51" i="1"/>
  <c r="M51" i="1" s="1"/>
  <c r="R51" i="1" s="1"/>
  <c r="I31" i="1"/>
  <c r="G29" i="1"/>
  <c r="K33" i="1"/>
  <c r="J32" i="1"/>
  <c r="H30" i="1"/>
  <c r="G42" i="1"/>
  <c r="M42" i="1" s="1"/>
  <c r="R42" i="1" s="1"/>
  <c r="I44" i="1"/>
  <c r="O44" i="1" s="1"/>
  <c r="R44" i="1" s="1"/>
  <c r="H43" i="1"/>
  <c r="N43" i="1" s="1"/>
  <c r="R43" i="1" s="1"/>
  <c r="J45" i="1"/>
  <c r="P45" i="1" s="1"/>
  <c r="R45" i="1" s="1"/>
  <c r="K46" i="1"/>
  <c r="Q46" i="1" s="1"/>
  <c r="H54" i="1"/>
  <c r="N54" i="1" s="1"/>
  <c r="R54" i="1" s="1"/>
  <c r="J56" i="1"/>
  <c r="P56" i="1" s="1"/>
  <c r="R56" i="1" s="1"/>
  <c r="G53" i="1"/>
  <c r="M53" i="1" s="1"/>
  <c r="I55" i="1"/>
  <c r="O55" i="1" s="1"/>
  <c r="K43" i="1"/>
  <c r="Q43" i="1" s="1"/>
  <c r="I41" i="1"/>
  <c r="O41" i="1" s="1"/>
  <c r="R41" i="1" s="1"/>
  <c r="G39" i="1"/>
  <c r="M39" i="1" s="1"/>
  <c r="J42" i="1"/>
  <c r="P42" i="1" s="1"/>
  <c r="H40" i="1"/>
  <c r="N40" i="1" s="1"/>
  <c r="J31" i="1"/>
  <c r="H29" i="1"/>
  <c r="G28" i="1"/>
  <c r="K32" i="1"/>
  <c r="I30" i="1"/>
  <c r="I35" i="1"/>
  <c r="H34" i="1"/>
  <c r="K37" i="1"/>
  <c r="G33" i="1"/>
  <c r="J36" i="1"/>
  <c r="K27" i="1"/>
  <c r="G23" i="1"/>
  <c r="J26" i="1"/>
  <c r="H24" i="1"/>
  <c r="I25" i="1"/>
  <c r="K41" i="1"/>
  <c r="Q41" i="1" s="1"/>
  <c r="I39" i="1"/>
  <c r="O39" i="1" s="1"/>
  <c r="H38" i="1"/>
  <c r="G37" i="1"/>
  <c r="J40" i="1"/>
  <c r="P40" i="1" s="1"/>
  <c r="R39" i="3" l="1"/>
  <c r="R55" i="3"/>
  <c r="R41" i="3"/>
  <c r="R52" i="3"/>
  <c r="R54" i="3"/>
  <c r="R40" i="3"/>
  <c r="R44" i="3"/>
  <c r="R50" i="3"/>
  <c r="R48" i="3"/>
  <c r="R49" i="3"/>
  <c r="R47" i="3"/>
  <c r="R51" i="3"/>
  <c r="R42" i="3"/>
  <c r="R43" i="3"/>
  <c r="R45" i="3"/>
  <c r="R46" i="3"/>
  <c r="R53" i="3"/>
  <c r="R40" i="1"/>
  <c r="R39" i="1"/>
  <c r="R53" i="1"/>
</calcChain>
</file>

<file path=xl/sharedStrings.xml><?xml version="1.0" encoding="utf-8"?>
<sst xmlns="http://schemas.openxmlformats.org/spreadsheetml/2006/main" count="282" uniqueCount="159">
  <si>
    <t>C1</t>
  </si>
  <si>
    <t>Columbia</t>
  </si>
  <si>
    <t>Detrend values by sequential differencing (lose one year of series)</t>
  </si>
  <si>
    <t>Issue: cycle was 4 years until 2008</t>
  </si>
  <si>
    <t>Cycle became 2 years post-2008</t>
  </si>
  <si>
    <t>Treat as "regime shift" and throw out everything before 2008</t>
  </si>
  <si>
    <t>Last El Nino was 2015-2016. 2024 is analgous to 2016 (the last time the cycle was broken!)</t>
  </si>
  <si>
    <t>target</t>
  </si>
  <si>
    <t>paste line of values from below</t>
  </si>
  <si>
    <t>Data</t>
  </si>
  <si>
    <t>value</t>
  </si>
  <si>
    <t>weight vector</t>
  </si>
  <si>
    <t>theta</t>
  </si>
  <si>
    <t>to be</t>
  </si>
  <si>
    <t>predicted</t>
  </si>
  <si>
    <t>distances from case being predicted (line 7)</t>
  </si>
  <si>
    <t>wtd</t>
  </si>
  <si>
    <t>Year</t>
  </si>
  <si>
    <t>Rectmt</t>
  </si>
  <si>
    <t>ln Rects</t>
  </si>
  <si>
    <t>deltaLnR</t>
  </si>
  <si>
    <t>lnRt-1</t>
  </si>
  <si>
    <t>lnRt-2</t>
  </si>
  <si>
    <t>lnRt-3</t>
  </si>
  <si>
    <t>lnRt-4</t>
  </si>
  <si>
    <t>lnRt-5</t>
  </si>
  <si>
    <t>Euclidean</t>
  </si>
  <si>
    <t>Distance</t>
  </si>
  <si>
    <t xml:space="preserve">begin </t>
  </si>
  <si>
    <t>diff</t>
  </si>
  <si>
    <t>data</t>
  </si>
  <si>
    <t>(lose</t>
  </si>
  <si>
    <t xml:space="preserve">first </t>
  </si>
  <si>
    <t>year)</t>
  </si>
  <si>
    <t>Situation is nearly identical to 2016</t>
  </si>
  <si>
    <t>Cluster of 5 non El Nino uears predicts large increase in 2016 and 2024</t>
  </si>
  <si>
    <t>But actual 2016 value (diff) was -0.4, a big outlier</t>
  </si>
  <si>
    <t>2024 pattern is almost identical to 2016 situation</t>
  </si>
  <si>
    <t>Best answer is to assume 2024 is just like 2016, predicting diff of -0.4</t>
  </si>
  <si>
    <t>Answer is (2023) 12.7 -0.4 =12.3</t>
  </si>
  <si>
    <t>this is my best for the Columbia R.</t>
  </si>
  <si>
    <t>System</t>
  </si>
  <si>
    <t>River</t>
  </si>
  <si>
    <t>ReturnYear</t>
  </si>
  <si>
    <t>Total_Returns</t>
  </si>
  <si>
    <t>Columbia River</t>
  </si>
  <si>
    <t>Bonneville Lock &amp; Dam</t>
  </si>
  <si>
    <t xml:space="preserve">Actual return was strong, at a diff of +0.8!  </t>
  </si>
  <si>
    <t>This is at the low end of what would be expected without an El Nino.</t>
  </si>
  <si>
    <t>temporary</t>
  </si>
  <si>
    <t>copy</t>
  </si>
  <si>
    <t xml:space="preserve">of </t>
  </si>
  <si>
    <t xml:space="preserve">similar </t>
  </si>
  <si>
    <t>years</t>
  </si>
  <si>
    <t>My predicted delta for 2025 is</t>
  </si>
  <si>
    <t>Predicted value is 13.54-0.66=</t>
  </si>
  <si>
    <t>antilogs to</t>
  </si>
  <si>
    <t>average delta is</t>
  </si>
  <si>
    <t>Left hand group of 4 years that are most similar to conditions for 2025 and their anticipated deltas are</t>
  </si>
  <si>
    <t>relative locations</t>
  </si>
  <si>
    <t>Good consistency:</t>
  </si>
  <si>
    <t>Euc Dist</t>
  </si>
  <si>
    <t>3 dimensional Euclidean distance from year to be predicted (see weight vector)</t>
  </si>
  <si>
    <t>copy&amp;paste these numbers from year to be predicted</t>
  </si>
  <si>
    <t>Oregon Department of Fish &amp; Wildlife</t>
  </si>
  <si>
    <t>Ocean Salmon and Columbia River Program February 2025</t>
  </si>
  <si>
    <t>Tucker Jones, Ocean Salmon and Columbia River Program Manager</t>
  </si>
  <si>
    <t>Summary of 2024 Fisheries and Outlook for 2025 Fisheries</t>
  </si>
  <si>
    <t xml:space="preserve">The 2024 sockeye return to the upper Columbia River Basin of an estimated 761,682 fish was the highest sockeye return since the construction of Bonneville Dam in 1938. </t>
  </si>
  <si>
    <t>The forecasted 2025 sockeye return of 350,200 fish would be the fourth highest return in the last 10 years.</t>
  </si>
  <si>
    <t>AC_1.1</t>
  </si>
  <si>
    <t>AC_1.2</t>
  </si>
  <si>
    <t>AC_1.3</t>
  </si>
  <si>
    <t>AC_2.1</t>
  </si>
  <si>
    <t>AC_2.2</t>
  </si>
  <si>
    <t>AC_2.3</t>
  </si>
  <si>
    <t>AC_3.1</t>
  </si>
  <si>
    <t>AC_3.2</t>
  </si>
  <si>
    <t>sum</t>
  </si>
  <si>
    <t>percent</t>
  </si>
  <si>
    <t>prevyear</t>
  </si>
  <si>
    <t>AC1.1</t>
  </si>
  <si>
    <t>Zeroes have been replaced with 1s in colums1.1 and 1.2 (one spot, 1993)</t>
  </si>
  <si>
    <t>2025 prediction is</t>
  </si>
  <si>
    <t>power</t>
  </si>
  <si>
    <t>const</t>
  </si>
  <si>
    <t>2024 1.1s</t>
  </si>
  <si>
    <t>Alternative approach using 2024s AC1.1 as a predictor of 2025srun size gives (seeColRetTbl page)</t>
  </si>
  <si>
    <t>using PACEA PC1 gets prediction</t>
  </si>
  <si>
    <t>directly on run (not comps)</t>
  </si>
  <si>
    <t>this is right between pattern and comps predictions</t>
  </si>
  <si>
    <t>and is a little below the official forecast of 350200</t>
  </si>
  <si>
    <t>Columbia run (log run)</t>
  </si>
  <si>
    <t>INSERT</t>
  </si>
  <si>
    <t>PR`1 from</t>
  </si>
  <si>
    <t>TIME SERIES</t>
  </si>
  <si>
    <t>DATE</t>
  </si>
  <si>
    <t>MONTH</t>
  </si>
  <si>
    <t>PRCOMP1</t>
  </si>
  <si>
    <t>T-24</t>
  </si>
  <si>
    <t>DATA</t>
  </si>
  <si>
    <t>ln run</t>
  </si>
  <si>
    <t>024 came in on trend and pattern, with no sign of el nino impact</t>
  </si>
  <si>
    <t>there is a time trend in the anomalies</t>
  </si>
  <si>
    <t>runs are increasing faster than accounted for by PC1</t>
  </si>
  <si>
    <t>the pattern has completely disappeared</t>
  </si>
  <si>
    <t>anomaly</t>
  </si>
  <si>
    <t>new relationship begins in 2008</t>
  </si>
  <si>
    <t>2024 is at the upper right, very nearly on the regression line</t>
  </si>
  <si>
    <t>2025pred</t>
  </si>
  <si>
    <t>antilog</t>
  </si>
  <si>
    <t>BUT THE PATTERN DISAPPEARS WITH ENVIRO CORRECTION--LEAST RELIABLE</t>
  </si>
  <si>
    <t>using data since 2007, go directly to run size</t>
  </si>
  <si>
    <t>Prev Year</t>
  </si>
  <si>
    <t>AC 1.1</t>
  </si>
  <si>
    <t>ln prev</t>
  </si>
  <si>
    <t>AC1.1 gives a nice prediction</t>
  </si>
  <si>
    <t>post-2008 shifts the relationship a little higher</t>
  </si>
  <si>
    <t>looks good for multiple regression</t>
  </si>
  <si>
    <t xml:space="preserve">set up data </t>
  </si>
  <si>
    <t>lnrun</t>
  </si>
  <si>
    <t>PC1</t>
  </si>
  <si>
    <t>lnAC1.1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</si>
  <si>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</si>
  <si>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</si>
  <si>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</si>
  <si>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</si>
  <si>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</si>
  <si>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</si>
  <si>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</si>
  <si>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</si>
  <si>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</si>
  <si>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</si>
  <si>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</si>
  <si>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</si>
  <si>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</si>
  <si>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</si>
  <si>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</si>
  <si>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</si>
  <si>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</si>
  <si>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</si>
  <si>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</si>
  <si>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</si>
  <si>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</si>
  <si>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</si>
  <si>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</si>
  <si>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</si>
  <si>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</si>
  <si>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</si>
  <si>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</si>
  <si>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regpred</t>
  </si>
  <si>
    <t>antolog</t>
  </si>
  <si>
    <t>compare with mean of two independent preds</t>
  </si>
  <si>
    <t>multiple regression using both prevyearAC1.1 and pacea(T-24) gives</t>
  </si>
  <si>
    <t>has r-sq of 0.62</t>
  </si>
  <si>
    <t>2025 prediction close to center of cloud</t>
  </si>
  <si>
    <t>official is</t>
  </si>
  <si>
    <t>official forecast shows as blue dot</t>
  </si>
  <si>
    <t>my forecast is on the line just below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</si>
</sst>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1" xfId="0" applyFont="1" applyBorder="1"/>
    <xf numFmtId="2" fontId="0" fillId="0" borderId="0" xfId="0" applyNumberFormat="1"/>
    <xf numFmtId="1" fontId="1" fillId="0" borderId="0" xfId="0" applyNumberFormat="1" applyFont="1"/>
    <xf numFmtId="0" fontId="3" fillId="0" borderId="0" xfId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9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164" fontId="0" fillId="0" borderId="0" xfId="0" applyNumberFormat="1"/>
    <xf numFmtId="0" fontId="0" fillId="0" borderId="9" xfId="0" applyBorder="1"/>
    <xf numFmtId="164" fontId="0" fillId="0" borderId="9" xfId="0" applyNumberFormat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Continuous"/>
    </xf>
    <xf numFmtId="1" fontId="0" fillId="0" borderId="0" xfId="0" applyNumberFormat="1"/>
    <xf numFmtId="0" fontId="0" fillId="0" borderId="6" xfId="0" applyBorder="1"/>
    <xf numFmtId="1" fontId="1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Lit>
              <c:formatCode>General</c:formatCode>
              <c:ptCount val="17"/>
              <c:pt idx="0">
                <c:v>2007</c:v>
              </c:pt>
              <c:pt idx="1">
                <c:v>2008</c:v>
              </c:pt>
              <c:pt idx="2">
                <c:v>2009</c:v>
              </c:pt>
              <c:pt idx="3">
                <c:v>2010</c:v>
              </c:pt>
              <c:pt idx="4">
                <c:v>2011</c:v>
              </c:pt>
              <c:pt idx="5">
                <c:v>2012</c:v>
              </c:pt>
              <c:pt idx="6">
                <c:v>2013</c:v>
              </c:pt>
              <c:pt idx="7">
                <c:v>2014</c:v>
              </c:pt>
              <c:pt idx="8">
                <c:v>2015</c:v>
              </c:pt>
              <c:pt idx="9">
                <c:v>2016</c:v>
              </c:pt>
              <c:pt idx="10">
                <c:v>2017</c:v>
              </c:pt>
              <c:pt idx="11">
                <c:v>2018</c:v>
              </c:pt>
              <c:pt idx="12">
                <c:v>2019</c:v>
              </c:pt>
              <c:pt idx="13">
                <c:v>2020</c:v>
              </c:pt>
              <c:pt idx="14">
                <c:v>2021</c:v>
              </c:pt>
              <c:pt idx="15">
                <c:v>2022</c:v>
              </c:pt>
              <c:pt idx="16">
                <c:v>2023</c:v>
              </c:pt>
            </c:numLit>
          </c:xVal>
          <c:yVal>
            <c:numLit>
              <c:formatCode>General</c:formatCode>
              <c:ptCount val="17"/>
              <c:pt idx="0">
                <c:v>-0.41910106569171113</c:v>
              </c:pt>
              <c:pt idx="1">
                <c:v>2.1705388364012386</c:v>
              </c:pt>
              <c:pt idx="2">
                <c:v>-0.1833492045408267</c:v>
              </c:pt>
              <c:pt idx="3">
                <c:v>0.77640787544483914</c:v>
              </c:pt>
              <c:pt idx="4">
                <c:v>-0.73254725136595766</c:v>
              </c:pt>
              <c:pt idx="5">
                <c:v>1.0208235460426458</c:v>
              </c:pt>
              <c:pt idx="6">
                <c:v>-1.0223910078032166</c:v>
              </c:pt>
              <c:pt idx="7">
                <c:v>1.1972045807427492</c:v>
              </c:pt>
              <c:pt idx="8">
                <c:v>-0.18449233443991453</c:v>
              </c:pt>
              <c:pt idx="9">
                <c:v>-0.39952826389579243</c:v>
              </c:pt>
              <c:pt idx="10">
                <c:v>-1.3624237396364887</c:v>
              </c:pt>
              <c:pt idx="11">
                <c:v>0.79306717675567207</c:v>
              </c:pt>
              <c:pt idx="12">
                <c:v>-1.123044636702863</c:v>
              </c:pt>
              <c:pt idx="13">
                <c:v>1.6901826691291486</c:v>
              </c:pt>
              <c:pt idx="14">
                <c:v>-0.81171401597257642</c:v>
              </c:pt>
              <c:pt idx="15">
                <c:v>1.4748232443468581</c:v>
              </c:pt>
              <c:pt idx="16">
                <c:v>-0.70536316421000933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20F-4D01-B3E0-212FCF8A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80064"/>
        <c:axId val="233510016"/>
      </c:scatterChart>
      <c:valAx>
        <c:axId val="2126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3510016"/>
        <c:crosses val="autoZero"/>
        <c:crossBetween val="midCat"/>
      </c:valAx>
      <c:valAx>
        <c:axId val="23351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80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Lit>
              <c:formatCode>General</c:formatCode>
              <c:ptCount val="38"/>
              <c:pt idx="0">
                <c:v>1986</c:v>
              </c:pt>
              <c:pt idx="1">
                <c:v>1987</c:v>
              </c:pt>
              <c:pt idx="2">
                <c:v>1988</c:v>
              </c:pt>
              <c:pt idx="3">
                <c:v>1989</c:v>
              </c:pt>
              <c:pt idx="4">
                <c:v>1990</c:v>
              </c:pt>
              <c:pt idx="5">
                <c:v>1991</c:v>
              </c:pt>
              <c:pt idx="6">
                <c:v>1992</c:v>
              </c:pt>
              <c:pt idx="7">
                <c:v>1993</c:v>
              </c:pt>
              <c:pt idx="8">
                <c:v>1994</c:v>
              </c:pt>
              <c:pt idx="9">
                <c:v>1995</c:v>
              </c:pt>
              <c:pt idx="10">
                <c:v>1996</c:v>
              </c:pt>
              <c:pt idx="11">
                <c:v>1997</c:v>
              </c:pt>
              <c:pt idx="12">
                <c:v>1998</c:v>
              </c:pt>
              <c:pt idx="13">
                <c:v>1999</c:v>
              </c:pt>
              <c:pt idx="14">
                <c:v>2000</c:v>
              </c:pt>
              <c:pt idx="15">
                <c:v>2001</c:v>
              </c:pt>
              <c:pt idx="16">
                <c:v>2002</c:v>
              </c:pt>
              <c:pt idx="17">
                <c:v>2003</c:v>
              </c:pt>
              <c:pt idx="18">
                <c:v>2004</c:v>
              </c:pt>
              <c:pt idx="19">
                <c:v>2005</c:v>
              </c:pt>
              <c:pt idx="20">
                <c:v>2006</c:v>
              </c:pt>
              <c:pt idx="21">
                <c:v>2007</c:v>
              </c:pt>
              <c:pt idx="22">
                <c:v>2008</c:v>
              </c:pt>
              <c:pt idx="23">
                <c:v>2009</c:v>
              </c:pt>
              <c:pt idx="24">
                <c:v>2010</c:v>
              </c:pt>
              <c:pt idx="25">
                <c:v>2011</c:v>
              </c:pt>
              <c:pt idx="26">
                <c:v>2012</c:v>
              </c:pt>
              <c:pt idx="27">
                <c:v>2013</c:v>
              </c:pt>
              <c:pt idx="28">
                <c:v>2014</c:v>
              </c:pt>
              <c:pt idx="29">
                <c:v>2015</c:v>
              </c:pt>
              <c:pt idx="30">
                <c:v>2016</c:v>
              </c:pt>
              <c:pt idx="31">
                <c:v>2017</c:v>
              </c:pt>
              <c:pt idx="32">
                <c:v>2018</c:v>
              </c:pt>
              <c:pt idx="33">
                <c:v>2019</c:v>
              </c:pt>
              <c:pt idx="34">
                <c:v>2020</c:v>
              </c:pt>
              <c:pt idx="35">
                <c:v>2021</c:v>
              </c:pt>
              <c:pt idx="36">
                <c:v>2022</c:v>
              </c:pt>
              <c:pt idx="37">
                <c:v>2023</c:v>
              </c:pt>
            </c:numLit>
          </c:xVal>
          <c:yVal>
            <c:numLit>
              <c:formatCode>General</c:formatCode>
              <c:ptCount val="38"/>
              <c:pt idx="0">
                <c:v>-1.0514724317271611</c:v>
              </c:pt>
              <c:pt idx="1">
                <c:v>0.69955264923471816</c:v>
              </c:pt>
              <c:pt idx="2">
                <c:v>-0.38366887485791423</c:v>
              </c:pt>
              <c:pt idx="3">
                <c:v>-0.64354133666496871</c:v>
              </c:pt>
              <c:pt idx="4">
                <c:v>0.1687038034015842</c:v>
              </c:pt>
              <c:pt idx="5">
                <c:v>0.43343464814467225</c:v>
              </c:pt>
              <c:pt idx="6">
                <c:v>0.10551479044244161</c:v>
              </c:pt>
              <c:pt idx="7">
                <c:v>-5.8307971386934554E-2</c:v>
              </c:pt>
              <c:pt idx="8">
                <c:v>-1.8443809551650041</c:v>
              </c:pt>
              <c:pt idx="9">
                <c:v>-0.36807540511795267</c:v>
              </c:pt>
              <c:pt idx="10">
                <c:v>1.2371081633031658</c:v>
              </c:pt>
              <c:pt idx="11">
                <c:v>0.44141683394427922</c:v>
              </c:pt>
              <c:pt idx="12">
                <c:v>-1.2687382629432058</c:v>
              </c:pt>
              <c:pt idx="13">
                <c:v>0.3019354333846902</c:v>
              </c:pt>
              <c:pt idx="14">
                <c:v>1.6533549612963476</c:v>
              </c:pt>
              <c:pt idx="15">
                <c:v>0.20748811883934337</c:v>
              </c:pt>
              <c:pt idx="16">
                <c:v>-0.84016562425568431</c:v>
              </c:pt>
              <c:pt idx="17">
                <c:v>-0.23319694129758339</c:v>
              </c:pt>
              <c:pt idx="18">
                <c:v>1.1435519297900978</c:v>
              </c:pt>
              <c:pt idx="19">
                <c:v>-0.52448531285982014</c:v>
              </c:pt>
              <c:pt idx="20">
                <c:v>-0.67736199457053381</c:v>
              </c:pt>
              <c:pt idx="21">
                <c:v>-0.41910106569171113</c:v>
              </c:pt>
              <c:pt idx="22">
                <c:v>2.1705388364012386</c:v>
              </c:pt>
              <c:pt idx="23">
                <c:v>-0.1833492045408267</c:v>
              </c:pt>
              <c:pt idx="24">
                <c:v>0.77640787544483914</c:v>
              </c:pt>
              <c:pt idx="25">
                <c:v>-0.73254725136595766</c:v>
              </c:pt>
              <c:pt idx="26">
                <c:v>1.0208235460426458</c:v>
              </c:pt>
              <c:pt idx="27">
                <c:v>-1.0223910078032166</c:v>
              </c:pt>
              <c:pt idx="28">
                <c:v>1.1972045807427492</c:v>
              </c:pt>
              <c:pt idx="29">
                <c:v>-0.18449233443991453</c:v>
              </c:pt>
              <c:pt idx="30">
                <c:v>-0.39952826389579243</c:v>
              </c:pt>
              <c:pt idx="31">
                <c:v>-1.3624237396364887</c:v>
              </c:pt>
              <c:pt idx="32">
                <c:v>0.79306717675567207</c:v>
              </c:pt>
              <c:pt idx="33">
                <c:v>-1.123044636702863</c:v>
              </c:pt>
              <c:pt idx="34">
                <c:v>1.6901826691291486</c:v>
              </c:pt>
              <c:pt idx="35">
                <c:v>-0.81171401597257642</c:v>
              </c:pt>
              <c:pt idx="36">
                <c:v>1.4748232443468581</c:v>
              </c:pt>
              <c:pt idx="37">
                <c:v>-0.70536316421000933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DAE-48EF-B40A-0CD4F776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21920"/>
        <c:axId val="233523456"/>
      </c:scatterChart>
      <c:valAx>
        <c:axId val="2335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3523456"/>
        <c:crosses val="autoZero"/>
        <c:crossBetween val="midCat"/>
      </c:valAx>
      <c:valAx>
        <c:axId val="233523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sequential differences (delta lnR)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521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ColRetTbl!$O$15:$O$53</c:f>
              <c:numCache>
                <c:formatCode>General</c:formatCode>
                <c:ptCount val="39"/>
                <c:pt idx="0">
                  <c:v>1461</c:v>
                </c:pt>
                <c:pt idx="1">
                  <c:v>24062</c:v>
                </c:pt>
                <c:pt idx="2">
                  <c:v>22999</c:v>
                </c:pt>
                <c:pt idx="3">
                  <c:v>547</c:v>
                </c:pt>
                <c:pt idx="4">
                  <c:v>298</c:v>
                </c:pt>
                <c:pt idx="5">
                  <c:v>7260</c:v>
                </c:pt>
                <c:pt idx="6">
                  <c:v>4072</c:v>
                </c:pt>
                <c:pt idx="7">
                  <c:v>5170</c:v>
                </c:pt>
                <c:pt idx="8">
                  <c:v>1</c:v>
                </c:pt>
                <c:pt idx="9">
                  <c:v>440</c:v>
                </c:pt>
                <c:pt idx="10">
                  <c:v>2451</c:v>
                </c:pt>
                <c:pt idx="11">
                  <c:v>534</c:v>
                </c:pt>
                <c:pt idx="12">
                  <c:v>315</c:v>
                </c:pt>
                <c:pt idx="13">
                  <c:v>2939</c:v>
                </c:pt>
                <c:pt idx="14">
                  <c:v>1558</c:v>
                </c:pt>
                <c:pt idx="15">
                  <c:v>3825</c:v>
                </c:pt>
                <c:pt idx="16">
                  <c:v>1171</c:v>
                </c:pt>
                <c:pt idx="17">
                  <c:v>458</c:v>
                </c:pt>
                <c:pt idx="18">
                  <c:v>9713</c:v>
                </c:pt>
                <c:pt idx="19">
                  <c:v>1218</c:v>
                </c:pt>
                <c:pt idx="20">
                  <c:v>804</c:v>
                </c:pt>
                <c:pt idx="21">
                  <c:v>201</c:v>
                </c:pt>
                <c:pt idx="22">
                  <c:v>9734</c:v>
                </c:pt>
                <c:pt idx="23">
                  <c:v>15260</c:v>
                </c:pt>
                <c:pt idx="24">
                  <c:v>18137</c:v>
                </c:pt>
                <c:pt idx="25">
                  <c:v>6178</c:v>
                </c:pt>
                <c:pt idx="26">
                  <c:v>32729</c:v>
                </c:pt>
                <c:pt idx="27">
                  <c:v>6637</c:v>
                </c:pt>
                <c:pt idx="28">
                  <c:v>32198</c:v>
                </c:pt>
                <c:pt idx="29">
                  <c:v>87497</c:v>
                </c:pt>
                <c:pt idx="30">
                  <c:v>692</c:v>
                </c:pt>
                <c:pt idx="31">
                  <c:v>2471</c:v>
                </c:pt>
                <c:pt idx="32">
                  <c:v>11400</c:v>
                </c:pt>
                <c:pt idx="33">
                  <c:v>696</c:v>
                </c:pt>
                <c:pt idx="34">
                  <c:v>34333</c:v>
                </c:pt>
                <c:pt idx="35">
                  <c:v>2943</c:v>
                </c:pt>
                <c:pt idx="36">
                  <c:v>41393</c:v>
                </c:pt>
                <c:pt idx="37">
                  <c:v>13084</c:v>
                </c:pt>
                <c:pt idx="38">
                  <c:v>30066</c:v>
                </c:pt>
              </c:numCache>
            </c:numRef>
          </c:xVal>
          <c:yVal>
            <c:numRef>
              <c:f>ColRetTbl!$G$15:$G$53</c:f>
              <c:numCache>
                <c:formatCode>General</c:formatCode>
                <c:ptCount val="39"/>
                <c:pt idx="0">
                  <c:v>21928</c:v>
                </c:pt>
                <c:pt idx="1">
                  <c:v>76905</c:v>
                </c:pt>
                <c:pt idx="2">
                  <c:v>58466</c:v>
                </c:pt>
                <c:pt idx="3">
                  <c:v>33993</c:v>
                </c:pt>
                <c:pt idx="4">
                  <c:v>29089</c:v>
                </c:pt>
                <c:pt idx="5">
                  <c:v>56355</c:v>
                </c:pt>
                <c:pt idx="6">
                  <c:v>56044</c:v>
                </c:pt>
                <c:pt idx="7">
                  <c:v>65510</c:v>
                </c:pt>
                <c:pt idx="8">
                  <c:v>1899</c:v>
                </c:pt>
                <c:pt idx="9">
                  <c:v>4860</c:v>
                </c:pt>
                <c:pt idx="10">
                  <c:v>26262</c:v>
                </c:pt>
                <c:pt idx="11">
                  <c:v>41379</c:v>
                </c:pt>
                <c:pt idx="12">
                  <c:v>1373</c:v>
                </c:pt>
                <c:pt idx="13">
                  <c:v>14403</c:v>
                </c:pt>
                <c:pt idx="14">
                  <c:v>88006</c:v>
                </c:pt>
                <c:pt idx="15">
                  <c:v>92046</c:v>
                </c:pt>
                <c:pt idx="16">
                  <c:v>19533</c:v>
                </c:pt>
                <c:pt idx="17">
                  <c:v>12359</c:v>
                </c:pt>
                <c:pt idx="18">
                  <c:v>120481</c:v>
                </c:pt>
                <c:pt idx="19">
                  <c:v>64751</c:v>
                </c:pt>
                <c:pt idx="20">
                  <c:v>23338</c:v>
                </c:pt>
                <c:pt idx="21">
                  <c:v>7226</c:v>
                </c:pt>
                <c:pt idx="22">
                  <c:v>186773</c:v>
                </c:pt>
                <c:pt idx="23">
                  <c:v>140752</c:v>
                </c:pt>
                <c:pt idx="24">
                  <c:v>357747</c:v>
                </c:pt>
                <c:pt idx="25">
                  <c:v>120868</c:v>
                </c:pt>
                <c:pt idx="26">
                  <c:v>494616</c:v>
                </c:pt>
                <c:pt idx="27">
                  <c:v>116445</c:v>
                </c:pt>
                <c:pt idx="28">
                  <c:v>518152</c:v>
                </c:pt>
                <c:pt idx="29">
                  <c:v>478970</c:v>
                </c:pt>
                <c:pt idx="30">
                  <c:v>301578</c:v>
                </c:pt>
                <c:pt idx="31">
                  <c:v>43014</c:v>
                </c:pt>
                <c:pt idx="32">
                  <c:v>185170</c:v>
                </c:pt>
                <c:pt idx="33">
                  <c:v>10880</c:v>
                </c:pt>
                <c:pt idx="34">
                  <c:v>337115</c:v>
                </c:pt>
                <c:pt idx="35">
                  <c:v>87103</c:v>
                </c:pt>
                <c:pt idx="36">
                  <c:v>628929</c:v>
                </c:pt>
                <c:pt idx="37">
                  <c:v>249066</c:v>
                </c:pt>
                <c:pt idx="38">
                  <c:v>706422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1-4D7B-92FC-C0C6AE490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514511"/>
        <c:axId val="845516911"/>
      </c:scatterChart>
      <c:valAx>
        <c:axId val="8455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 Year AC1.1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16911"/>
        <c:crosses val="autoZero"/>
        <c:crossBetween val="midCat"/>
      </c:valAx>
      <c:valAx>
        <c:axId val="8455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Year 1.2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4958005249343832E-2"/>
                  <c:y val="0.3981481481481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ColRetTbl!$O$36:$O$53</c:f>
              <c:numCache>
                <c:formatCode>General</c:formatCode>
                <c:ptCount val="18"/>
                <c:pt idx="0">
                  <c:v>201</c:v>
                </c:pt>
                <c:pt idx="1">
                  <c:v>9734</c:v>
                </c:pt>
                <c:pt idx="2">
                  <c:v>15260</c:v>
                </c:pt>
                <c:pt idx="3">
                  <c:v>18137</c:v>
                </c:pt>
                <c:pt idx="4">
                  <c:v>6178</c:v>
                </c:pt>
                <c:pt idx="5">
                  <c:v>32729</c:v>
                </c:pt>
                <c:pt idx="6">
                  <c:v>6637</c:v>
                </c:pt>
                <c:pt idx="7">
                  <c:v>32198</c:v>
                </c:pt>
                <c:pt idx="8">
                  <c:v>87497</c:v>
                </c:pt>
                <c:pt idx="9">
                  <c:v>692</c:v>
                </c:pt>
                <c:pt idx="10">
                  <c:v>2471</c:v>
                </c:pt>
                <c:pt idx="11">
                  <c:v>11400</c:v>
                </c:pt>
                <c:pt idx="12">
                  <c:v>696</c:v>
                </c:pt>
                <c:pt idx="13">
                  <c:v>34333</c:v>
                </c:pt>
                <c:pt idx="14">
                  <c:v>2943</c:v>
                </c:pt>
                <c:pt idx="15">
                  <c:v>41393</c:v>
                </c:pt>
                <c:pt idx="16">
                  <c:v>13084</c:v>
                </c:pt>
                <c:pt idx="17">
                  <c:v>30066</c:v>
                </c:pt>
              </c:numCache>
            </c:numRef>
          </c:xVal>
          <c:yVal>
            <c:numRef>
              <c:f>ColRetTbl!$E$36:$E$53</c:f>
              <c:numCache>
                <c:formatCode>General</c:formatCode>
                <c:ptCount val="18"/>
                <c:pt idx="0">
                  <c:v>24376</c:v>
                </c:pt>
                <c:pt idx="1">
                  <c:v>213607</c:v>
                </c:pt>
                <c:pt idx="2">
                  <c:v>177823</c:v>
                </c:pt>
                <c:pt idx="3">
                  <c:v>386525</c:v>
                </c:pt>
                <c:pt idx="4">
                  <c:v>185796</c:v>
                </c:pt>
                <c:pt idx="5">
                  <c:v>515673</c:v>
                </c:pt>
                <c:pt idx="6">
                  <c:v>185505</c:v>
                </c:pt>
                <c:pt idx="7">
                  <c:v>614179</c:v>
                </c:pt>
                <c:pt idx="8">
                  <c:v>510706</c:v>
                </c:pt>
                <c:pt idx="9">
                  <c:v>342498</c:v>
                </c:pt>
                <c:pt idx="10">
                  <c:v>87693</c:v>
                </c:pt>
                <c:pt idx="11">
                  <c:v>193816</c:v>
                </c:pt>
                <c:pt idx="12">
                  <c:v>63046</c:v>
                </c:pt>
                <c:pt idx="13">
                  <c:v>341739</c:v>
                </c:pt>
                <c:pt idx="14">
                  <c:v>151765</c:v>
                </c:pt>
                <c:pt idx="15">
                  <c:v>663253</c:v>
                </c:pt>
                <c:pt idx="16">
                  <c:v>327600</c:v>
                </c:pt>
                <c:pt idx="17">
                  <c:v>755909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E1-466F-9133-B86FC9B7F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514511"/>
        <c:axId val="845516911"/>
      </c:scatterChart>
      <c:valAx>
        <c:axId val="84551451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 Year AC1.1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16911"/>
        <c:crosses val="autoZero"/>
        <c:crossBetween val="midCat"/>
      </c:valAx>
      <c:valAx>
        <c:axId val="845516911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Year Total 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run vs ln AC1.1prevyear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974343832020999"/>
                  <c:y val="0.44327719451735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Enviro!$K$10:$K$48</c:f>
              <c:numCache>
                <c:formatCode>General</c:formatCode>
                <c:ptCount val="39"/>
                <c:pt idx="0">
                  <c:v>7.2868764117506997</c:v>
                </c:pt>
                <c:pt idx="1">
                  <c:v>10.08838911159347</c:v>
                </c:pt>
                <c:pt idx="2">
                  <c:v>10.043206015705211</c:v>
                </c:pt>
                <c:pt idx="3">
                  <c:v>6.3044488024219811</c:v>
                </c:pt>
                <c:pt idx="4">
                  <c:v>5.6970934865054046</c:v>
                </c:pt>
                <c:pt idx="5">
                  <c:v>8.8901351078188426</c:v>
                </c:pt>
                <c:pt idx="6">
                  <c:v>8.3118895582303587</c:v>
                </c:pt>
                <c:pt idx="7">
                  <c:v>8.550627967502475</c:v>
                </c:pt>
                <c:pt idx="9">
                  <c:v>6.0867747269123065</c:v>
                </c:pt>
                <c:pt idx="10">
                  <c:v>7.8042513835281122</c:v>
                </c:pt>
                <c:pt idx="11">
                  <c:v>6.280395838960195</c:v>
                </c:pt>
                <c:pt idx="12">
                  <c:v>5.7525726388256331</c:v>
                </c:pt>
                <c:pt idx="13">
                  <c:v>7.9858246664189174</c:v>
                </c:pt>
                <c:pt idx="14">
                  <c:v>7.3511582264306936</c:v>
                </c:pt>
                <c:pt idx="15">
                  <c:v>8.2493137462606363</c:v>
                </c:pt>
                <c:pt idx="16">
                  <c:v>7.0656133635977172</c:v>
                </c:pt>
                <c:pt idx="17">
                  <c:v>6.1268691841141854</c:v>
                </c:pt>
                <c:pt idx="18">
                  <c:v>9.1812204734023304</c:v>
                </c:pt>
                <c:pt idx="19">
                  <c:v>7.1049654482698426</c:v>
                </c:pt>
                <c:pt idx="20">
                  <c:v>6.6895992691789665</c:v>
                </c:pt>
                <c:pt idx="21">
                  <c:v>5.3033049080590757</c:v>
                </c:pt>
                <c:pt idx="22">
                  <c:v>9.1833801903934003</c:v>
                </c:pt>
                <c:pt idx="23">
                  <c:v>9.6329903048384473</c:v>
                </c:pt>
                <c:pt idx="24">
                  <c:v>9.8057093296174234</c:v>
                </c:pt>
                <c:pt idx="25">
                  <c:v>8.7287498734785274</c:v>
                </c:pt>
                <c:pt idx="26">
                  <c:v>10.396016814019003</c:v>
                </c:pt>
                <c:pt idx="27">
                  <c:v>8.8004153331459243</c:v>
                </c:pt>
                <c:pt idx="28">
                  <c:v>10.37965961780224</c:v>
                </c:pt>
                <c:pt idx="29">
                  <c:v>11.379359786043652</c:v>
                </c:pt>
                <c:pt idx="30">
                  <c:v>6.5395859556176692</c:v>
                </c:pt>
                <c:pt idx="31">
                  <c:v>7.81237820598861</c:v>
                </c:pt>
                <c:pt idx="32">
                  <c:v>9.3413686343825866</c:v>
                </c:pt>
                <c:pt idx="33">
                  <c:v>6.5453496603344199</c:v>
                </c:pt>
                <c:pt idx="34">
                  <c:v>10.44386226975867</c:v>
                </c:pt>
                <c:pt idx="35">
                  <c:v>7.9871847482334726</c:v>
                </c:pt>
                <c:pt idx="36">
                  <c:v>10.630867063391808</c:v>
                </c:pt>
                <c:pt idx="37">
                  <c:v>9.4791453886582744</c:v>
                </c:pt>
                <c:pt idx="38">
                  <c:v>10.311150244187779</c:v>
                </c:pt>
              </c:numCache>
            </c:numRef>
          </c:xVal>
          <c:yVal>
            <c:numRef>
              <c:f>Enviro!$E$10:$E$48</c:f>
              <c:numCache>
                <c:formatCode>General</c:formatCode>
                <c:ptCount val="39"/>
                <c:pt idx="0">
                  <c:v>10.970316733695517</c:v>
                </c:pt>
                <c:pt idx="1">
                  <c:v>11.669869382930235</c:v>
                </c:pt>
                <c:pt idx="2">
                  <c:v>11.286200508072321</c:v>
                </c:pt>
                <c:pt idx="3">
                  <c:v>10.642659171407352</c:v>
                </c:pt>
                <c:pt idx="4">
                  <c:v>10.811362974808937</c:v>
                </c:pt>
                <c:pt idx="5">
                  <c:v>11.244797622953609</c:v>
                </c:pt>
                <c:pt idx="6">
                  <c:v>11.35031241339605</c:v>
                </c:pt>
                <c:pt idx="7">
                  <c:v>11.292004442009116</c:v>
                </c:pt>
                <c:pt idx="8">
                  <c:v>9.4476234868441118</c:v>
                </c:pt>
                <c:pt idx="9">
                  <c:v>9.0795480817261591</c:v>
                </c:pt>
                <c:pt idx="10">
                  <c:v>10.316656245029325</c:v>
                </c:pt>
                <c:pt idx="11">
                  <c:v>10.758073078973604</c:v>
                </c:pt>
                <c:pt idx="12">
                  <c:v>9.4893348160303983</c:v>
                </c:pt>
                <c:pt idx="13">
                  <c:v>9.7912702494150885</c:v>
                </c:pt>
                <c:pt idx="14">
                  <c:v>11.444625210711436</c:v>
                </c:pt>
                <c:pt idx="15">
                  <c:v>11.652113329550779</c:v>
                </c:pt>
                <c:pt idx="16">
                  <c:v>10.811947705295095</c:v>
                </c:pt>
                <c:pt idx="17">
                  <c:v>10.578750763997512</c:v>
                </c:pt>
                <c:pt idx="18">
                  <c:v>11.72230269378761</c:v>
                </c:pt>
                <c:pt idx="19">
                  <c:v>11.197817380927789</c:v>
                </c:pt>
                <c:pt idx="20">
                  <c:v>10.520455386357256</c:v>
                </c:pt>
                <c:pt idx="21">
                  <c:v>10.101354320665545</c:v>
                </c:pt>
                <c:pt idx="22">
                  <c:v>12.271893157066783</c:v>
                </c:pt>
                <c:pt idx="23">
                  <c:v>12.088543952525956</c:v>
                </c:pt>
                <c:pt idx="24">
                  <c:v>12.864951827970796</c:v>
                </c:pt>
                <c:pt idx="25">
                  <c:v>12.132404576604838</c:v>
                </c:pt>
                <c:pt idx="26">
                  <c:v>13.153228122647484</c:v>
                </c:pt>
                <c:pt idx="27">
                  <c:v>12.130837114844267</c:v>
                </c:pt>
                <c:pt idx="28">
                  <c:v>13.328041695587016</c:v>
                </c:pt>
                <c:pt idx="29">
                  <c:v>13.143549361147102</c:v>
                </c:pt>
                <c:pt idx="30">
                  <c:v>12.744021097251309</c:v>
                </c:pt>
                <c:pt idx="31">
                  <c:v>11.381597357614821</c:v>
                </c:pt>
                <c:pt idx="32">
                  <c:v>12.174664534370493</c:v>
                </c:pt>
                <c:pt idx="33">
                  <c:v>11.05161989766763</c:v>
                </c:pt>
                <c:pt idx="34">
                  <c:v>12.741802566796778</c:v>
                </c:pt>
                <c:pt idx="35">
                  <c:v>11.930088550824202</c:v>
                </c:pt>
                <c:pt idx="36">
                  <c:v>13.40491179517106</c:v>
                </c:pt>
                <c:pt idx="37">
                  <c:v>12.699548630961051</c:v>
                </c:pt>
                <c:pt idx="38">
                  <c:v>13.535676277546205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5-4EB4-BC63-460D618584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367672790901134E-2"/>
                  <c:y val="0.43476851851851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0.3789x + 9.0084</a:t>
                    </a:r>
                    <a:br>
                      <a:rPr lang="en-US" baseline="0">
                        <a:solidFill>
                          <a:srgbClr val="FF0000"/>
                        </a:solidFill>
                      </a:rPr>
                    </a:br>
                    <a:r>
                      <a:rPr lang="en-US" baseline="0">
                        <a:solidFill>
                          <a:srgbClr val="FF0000"/>
                        </a:solidFill>
                      </a:rPr>
                      <a:t>R² = 0.5561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Enviro!$K$32:$K$48</c:f>
              <c:numCache>
                <c:formatCode>General</c:formatCode>
                <c:ptCount val="17"/>
                <c:pt idx="0">
                  <c:v>9.1833801903934003</c:v>
                </c:pt>
                <c:pt idx="1">
                  <c:v>9.6329903048384473</c:v>
                </c:pt>
                <c:pt idx="2">
                  <c:v>9.8057093296174234</c:v>
                </c:pt>
                <c:pt idx="3">
                  <c:v>8.7287498734785274</c:v>
                </c:pt>
                <c:pt idx="4">
                  <c:v>10.396016814019003</c:v>
                </c:pt>
                <c:pt idx="5">
                  <c:v>8.8004153331459243</c:v>
                </c:pt>
                <c:pt idx="6">
                  <c:v>10.37965961780224</c:v>
                </c:pt>
                <c:pt idx="7">
                  <c:v>11.379359786043652</c:v>
                </c:pt>
                <c:pt idx="8">
                  <c:v>6.5395859556176692</c:v>
                </c:pt>
                <c:pt idx="9">
                  <c:v>7.81237820598861</c:v>
                </c:pt>
                <c:pt idx="10">
                  <c:v>9.3413686343825866</c:v>
                </c:pt>
                <c:pt idx="11">
                  <c:v>6.5453496603344199</c:v>
                </c:pt>
                <c:pt idx="12">
                  <c:v>10.44386226975867</c:v>
                </c:pt>
                <c:pt idx="13">
                  <c:v>7.9871847482334726</c:v>
                </c:pt>
                <c:pt idx="14">
                  <c:v>10.630867063391808</c:v>
                </c:pt>
                <c:pt idx="15">
                  <c:v>9.4791453886582744</c:v>
                </c:pt>
                <c:pt idx="16">
                  <c:v>10.311150244187779</c:v>
                </c:pt>
              </c:numCache>
            </c:numRef>
          </c:xVal>
          <c:yVal>
            <c:numRef>
              <c:f>Enviro!$E$32:$E$48</c:f>
              <c:numCache>
                <c:formatCode>General</c:formatCode>
                <c:ptCount val="17"/>
                <c:pt idx="0">
                  <c:v>12.271893157066783</c:v>
                </c:pt>
                <c:pt idx="1">
                  <c:v>12.088543952525956</c:v>
                </c:pt>
                <c:pt idx="2">
                  <c:v>12.864951827970796</c:v>
                </c:pt>
                <c:pt idx="3">
                  <c:v>12.132404576604838</c:v>
                </c:pt>
                <c:pt idx="4">
                  <c:v>13.153228122647484</c:v>
                </c:pt>
                <c:pt idx="5">
                  <c:v>12.130837114844267</c:v>
                </c:pt>
                <c:pt idx="6">
                  <c:v>13.328041695587016</c:v>
                </c:pt>
                <c:pt idx="7">
                  <c:v>13.143549361147102</c:v>
                </c:pt>
                <c:pt idx="8">
                  <c:v>12.744021097251309</c:v>
                </c:pt>
                <c:pt idx="9">
                  <c:v>11.381597357614821</c:v>
                </c:pt>
                <c:pt idx="10">
                  <c:v>12.174664534370493</c:v>
                </c:pt>
                <c:pt idx="11">
                  <c:v>11.05161989766763</c:v>
                </c:pt>
                <c:pt idx="12">
                  <c:v>12.741802566796778</c:v>
                </c:pt>
                <c:pt idx="13">
                  <c:v>11.930088550824202</c:v>
                </c:pt>
                <c:pt idx="14">
                  <c:v>13.40491179517106</c:v>
                </c:pt>
                <c:pt idx="15">
                  <c:v>12.699548630961051</c:v>
                </c:pt>
                <c:pt idx="16">
                  <c:v>13.535676277546205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D5-4EB4-BC63-460D6185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76271"/>
        <c:axId val="1606093071"/>
      </c:scatterChart>
      <c:valAx>
        <c:axId val="1606076271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93071"/>
        <c:crosses val="autoZero"/>
        <c:crossBetween val="midCat"/>
      </c:valAx>
      <c:valAx>
        <c:axId val="1606093071"/>
        <c:scaling>
          <c:orientation val="minMax"/>
          <c:max val="14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7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run vs mult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367672790901134E-2"/>
                  <c:y val="0.43476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Enviro!$Z$29:$Z$45</c:f>
              <c:numCache>
                <c:formatCode>General</c:formatCode>
                <c:ptCount val="17"/>
                <c:pt idx="0">
                  <c:v>12.51898871065104</c:v>
                </c:pt>
                <c:pt idx="1">
                  <c:v>12.673495607099548</c:v>
                </c:pt>
                <c:pt idx="2">
                  <c:v>12.864365105582049</c:v>
                </c:pt>
                <c:pt idx="3">
                  <c:v>12.490792887681772</c:v>
                </c:pt>
                <c:pt idx="4">
                  <c:v>12.883862038782933</c:v>
                </c:pt>
                <c:pt idx="5">
                  <c:v>12.534650459335282</c:v>
                </c:pt>
                <c:pt idx="6">
                  <c:v>13.066091457219063</c:v>
                </c:pt>
                <c:pt idx="7">
                  <c:v>13.25829369756403</c:v>
                </c:pt>
                <c:pt idx="8">
                  <c:v>11.593804734001402</c:v>
                </c:pt>
                <c:pt idx="9">
                  <c:v>11.753218463529999</c:v>
                </c:pt>
                <c:pt idx="10">
                  <c:v>12.217612082327406</c:v>
                </c:pt>
                <c:pt idx="11">
                  <c:v>11.473526465835203</c:v>
                </c:pt>
                <c:pt idx="12">
                  <c:v>12.885806796572179</c:v>
                </c:pt>
                <c:pt idx="13">
                  <c:v>11.838059266241448</c:v>
                </c:pt>
                <c:pt idx="14">
                  <c:v>12.765444411204811</c:v>
                </c:pt>
                <c:pt idx="15">
                  <c:v>12.744167546156934</c:v>
                </c:pt>
                <c:pt idx="16">
                  <c:v>13.215200786812694</c:v>
                </c:pt>
              </c:numCache>
            </c:numRef>
          </c:xVal>
          <c:yVal>
            <c:numRef>
              <c:f>Enviro!$W$29:$W$45</c:f>
              <c:numCache>
                <c:formatCode>General</c:formatCode>
                <c:ptCount val="17"/>
                <c:pt idx="0">
                  <c:v>12.271893157066783</c:v>
                </c:pt>
                <c:pt idx="1">
                  <c:v>12.088543952525956</c:v>
                </c:pt>
                <c:pt idx="2">
                  <c:v>12.864951827970796</c:v>
                </c:pt>
                <c:pt idx="3">
                  <c:v>12.132404576604838</c:v>
                </c:pt>
                <c:pt idx="4">
                  <c:v>13.153228122647484</c:v>
                </c:pt>
                <c:pt idx="5">
                  <c:v>12.130837114844267</c:v>
                </c:pt>
                <c:pt idx="6">
                  <c:v>13.328041695587016</c:v>
                </c:pt>
                <c:pt idx="7">
                  <c:v>13.143549361147102</c:v>
                </c:pt>
                <c:pt idx="8">
                  <c:v>12.744021097251309</c:v>
                </c:pt>
                <c:pt idx="9">
                  <c:v>11.381597357614821</c:v>
                </c:pt>
                <c:pt idx="10">
                  <c:v>12.174664534370493</c:v>
                </c:pt>
                <c:pt idx="11">
                  <c:v>11.05161989766763</c:v>
                </c:pt>
                <c:pt idx="12">
                  <c:v>12.741802566796778</c:v>
                </c:pt>
                <c:pt idx="13">
                  <c:v>11.930088550824202</c:v>
                </c:pt>
                <c:pt idx="14">
                  <c:v>13.40491179517106</c:v>
                </c:pt>
                <c:pt idx="15">
                  <c:v>12.699548630961051</c:v>
                </c:pt>
                <c:pt idx="16">
                  <c:v>13.535676277546205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01-41FF-AD1B-233A59B29A3C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Enviro!$Z$46</c:f>
              <c:numCache>
                <c:formatCode>General</c:formatCode>
                <c:ptCount val="1"/>
                <c:pt idx="0">
                  <c:v>12.633221489489983</c:v>
                </c:pt>
              </c:numCache>
            </c:numRef>
          </c:xVal>
          <c:yVal>
            <c:numRef>
              <c:f>Enviro!$W$47</c:f>
              <c:numCache>
                <c:formatCode>General</c:formatCode>
                <c:ptCount val="1"/>
                <c:pt idx="0">
                  <c:v>12.76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01-41FF-AD1B-233A59B29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76271"/>
        <c:axId val="1606093071"/>
      </c:scatterChart>
      <c:valAx>
        <c:axId val="1606076271"/>
        <c:scaling>
          <c:orientation val="minMax"/>
          <c:min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93071"/>
        <c:crosses val="autoZero"/>
        <c:crossBetween val="midCat"/>
      </c:valAx>
      <c:valAx>
        <c:axId val="1606093071"/>
        <c:scaling>
          <c:orientation val="minMax"/>
          <c:max val="14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7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Pred2025!$B$39:$B$57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xVal>
          <c:yVal>
            <c:numRef>
              <c:f>Pred2025!$F$39:$F$57</c:f>
              <c:numCache>
                <c:formatCode>General</c:formatCode>
                <c:ptCount val="19"/>
                <c:pt idx="0">
                  <c:v>-0.41910106569171113</c:v>
                </c:pt>
                <c:pt idx="1">
                  <c:v>2.1705388364012386</c:v>
                </c:pt>
                <c:pt idx="2">
                  <c:v>-0.1833492045408267</c:v>
                </c:pt>
                <c:pt idx="3">
                  <c:v>0.77640787544483914</c:v>
                </c:pt>
                <c:pt idx="4">
                  <c:v>-0.73254725136595766</c:v>
                </c:pt>
                <c:pt idx="5">
                  <c:v>1.0208235460426458</c:v>
                </c:pt>
                <c:pt idx="6">
                  <c:v>-1.0223910078032166</c:v>
                </c:pt>
                <c:pt idx="7">
                  <c:v>1.1972045807427492</c:v>
                </c:pt>
                <c:pt idx="8">
                  <c:v>-0.18449233443991453</c:v>
                </c:pt>
                <c:pt idx="9">
                  <c:v>-0.39952826389579243</c:v>
                </c:pt>
                <c:pt idx="10">
                  <c:v>-1.3624237396364887</c:v>
                </c:pt>
                <c:pt idx="11">
                  <c:v>0.79306717675567207</c:v>
                </c:pt>
                <c:pt idx="12">
                  <c:v>-1.123044636702863</c:v>
                </c:pt>
                <c:pt idx="13">
                  <c:v>1.6901826691291486</c:v>
                </c:pt>
                <c:pt idx="14">
                  <c:v>-0.81171401597257642</c:v>
                </c:pt>
                <c:pt idx="15">
                  <c:v>1.4748232443468581</c:v>
                </c:pt>
                <c:pt idx="16">
                  <c:v>-0.70536316421000933</c:v>
                </c:pt>
                <c:pt idx="17">
                  <c:v>0.83612764658515459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6-431C-9366-A310C6B57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80064"/>
        <c:axId val="233510016"/>
      </c:scatterChart>
      <c:valAx>
        <c:axId val="2126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3510016"/>
        <c:crosses val="autoZero"/>
        <c:crossBetween val="midCat"/>
      </c:valAx>
      <c:valAx>
        <c:axId val="23351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80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Pred2025!$B$18:$B$57</c:f>
              <c:numCache>
                <c:formatCode>General</c:formatCode>
                <c:ptCount val="4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  <c:pt idx="34">
                  <c:v>2020</c:v>
                </c:pt>
                <c:pt idx="35">
                  <c:v>2021</c:v>
                </c:pt>
                <c:pt idx="36">
                  <c:v>2022</c:v>
                </c:pt>
                <c:pt idx="37">
                  <c:v>2023</c:v>
                </c:pt>
                <c:pt idx="38">
                  <c:v>2024</c:v>
                </c:pt>
                <c:pt idx="39">
                  <c:v>2025</c:v>
                </c:pt>
              </c:numCache>
            </c:numRef>
          </c:xVal>
          <c:yVal>
            <c:numRef>
              <c:f>Pred2025!$F$18:$F$57</c:f>
              <c:numCache>
                <c:formatCode>General</c:formatCode>
                <c:ptCount val="40"/>
                <c:pt idx="0">
                  <c:v>-1.0514724317271611</c:v>
                </c:pt>
                <c:pt idx="1">
                  <c:v>0.69955264923471816</c:v>
                </c:pt>
                <c:pt idx="2">
                  <c:v>-0.38366887485791423</c:v>
                </c:pt>
                <c:pt idx="3">
                  <c:v>-0.64354133666496871</c:v>
                </c:pt>
                <c:pt idx="4">
                  <c:v>0.1687038034015842</c:v>
                </c:pt>
                <c:pt idx="5">
                  <c:v>0.43343464814467225</c:v>
                </c:pt>
                <c:pt idx="6">
                  <c:v>0.10551479044244161</c:v>
                </c:pt>
                <c:pt idx="7">
                  <c:v>-5.8307971386934554E-2</c:v>
                </c:pt>
                <c:pt idx="8">
                  <c:v>-1.8443809551650041</c:v>
                </c:pt>
                <c:pt idx="9">
                  <c:v>-0.36807540511795267</c:v>
                </c:pt>
                <c:pt idx="10">
                  <c:v>1.2371081633031658</c:v>
                </c:pt>
                <c:pt idx="11">
                  <c:v>0.44141683394427922</c:v>
                </c:pt>
                <c:pt idx="12">
                  <c:v>-1.2687382629432058</c:v>
                </c:pt>
                <c:pt idx="13">
                  <c:v>0.3019354333846902</c:v>
                </c:pt>
                <c:pt idx="14">
                  <c:v>1.6533549612963476</c:v>
                </c:pt>
                <c:pt idx="15">
                  <c:v>0.20748811883934337</c:v>
                </c:pt>
                <c:pt idx="16">
                  <c:v>-0.84016562425568431</c:v>
                </c:pt>
                <c:pt idx="17">
                  <c:v>-0.23319694129758339</c:v>
                </c:pt>
                <c:pt idx="18">
                  <c:v>1.1435519297900978</c:v>
                </c:pt>
                <c:pt idx="19">
                  <c:v>-0.52448531285982014</c:v>
                </c:pt>
                <c:pt idx="20">
                  <c:v>-0.67736199457053381</c:v>
                </c:pt>
                <c:pt idx="21">
                  <c:v>-0.41910106569171113</c:v>
                </c:pt>
                <c:pt idx="22">
                  <c:v>2.1705388364012386</c:v>
                </c:pt>
                <c:pt idx="23">
                  <c:v>-0.1833492045408267</c:v>
                </c:pt>
                <c:pt idx="24">
                  <c:v>0.77640787544483914</c:v>
                </c:pt>
                <c:pt idx="25">
                  <c:v>-0.73254725136595766</c:v>
                </c:pt>
                <c:pt idx="26">
                  <c:v>1.0208235460426458</c:v>
                </c:pt>
                <c:pt idx="27">
                  <c:v>-1.0223910078032166</c:v>
                </c:pt>
                <c:pt idx="28">
                  <c:v>1.1972045807427492</c:v>
                </c:pt>
                <c:pt idx="29">
                  <c:v>-0.18449233443991453</c:v>
                </c:pt>
                <c:pt idx="30">
                  <c:v>-0.39952826389579243</c:v>
                </c:pt>
                <c:pt idx="31">
                  <c:v>-1.3624237396364887</c:v>
                </c:pt>
                <c:pt idx="32">
                  <c:v>0.79306717675567207</c:v>
                </c:pt>
                <c:pt idx="33">
                  <c:v>-1.123044636702863</c:v>
                </c:pt>
                <c:pt idx="34">
                  <c:v>1.6901826691291486</c:v>
                </c:pt>
                <c:pt idx="35">
                  <c:v>-0.81171401597257642</c:v>
                </c:pt>
                <c:pt idx="36">
                  <c:v>1.4748232443468581</c:v>
                </c:pt>
                <c:pt idx="37">
                  <c:v>-0.70536316421000933</c:v>
                </c:pt>
                <c:pt idx="38">
                  <c:v>0.83612764658515459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4-4DC6-95FF-DE7722DE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21920"/>
        <c:axId val="233523456"/>
      </c:scatterChart>
      <c:valAx>
        <c:axId val="2335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3523456"/>
        <c:crosses val="autoZero"/>
        <c:crossBetween val="midCat"/>
      </c:valAx>
      <c:valAx>
        <c:axId val="233523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sequential differences (delta lnR)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521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 diff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Pred2025!$R$39:$R$56</c:f>
              <c:numCache>
                <c:formatCode>General</c:formatCode>
                <c:ptCount val="18"/>
                <c:pt idx="0">
                  <c:v>1.5598424198754179</c:v>
                </c:pt>
                <c:pt idx="1">
                  <c:v>2.3608510949539503</c:v>
                </c:pt>
                <c:pt idx="2">
                  <c:v>2.5484309908585687</c:v>
                </c:pt>
                <c:pt idx="3">
                  <c:v>3.5912525195614684</c:v>
                </c:pt>
                <c:pt idx="4">
                  <c:v>0.87182865872952797</c:v>
                </c:pt>
                <c:pt idx="5">
                  <c:v>2.7213824096719526</c:v>
                </c:pt>
                <c:pt idx="6">
                  <c:v>0.7229353894985755</c:v>
                </c:pt>
                <c:pt idx="7">
                  <c:v>3.3624837029650996</c:v>
                </c:pt>
                <c:pt idx="8">
                  <c:v>0.66105894748828775</c:v>
                </c:pt>
                <c:pt idx="9">
                  <c:v>3.3011374086735157</c:v>
                </c:pt>
                <c:pt idx="10">
                  <c:v>1.3693882111341606</c:v>
                </c:pt>
                <c:pt idx="11">
                  <c:v>2.7713699453721077</c:v>
                </c:pt>
                <c:pt idx="12">
                  <c:v>1.9866495363534078</c:v>
                </c:pt>
                <c:pt idx="13">
                  <c:v>3.7594707034971173</c:v>
                </c:pt>
                <c:pt idx="14">
                  <c:v>1.1698970594431881</c:v>
                </c:pt>
                <c:pt idx="15">
                  <c:v>3.8990947041434372</c:v>
                </c:pt>
                <c:pt idx="16">
                  <c:v>0.68236518969930049</c:v>
                </c:pt>
                <c:pt idx="17">
                  <c:v>3.5153462615581881</c:v>
                </c:pt>
              </c:numCache>
            </c:numRef>
          </c:xVal>
          <c:yVal>
            <c:numRef>
              <c:f>Pred2025!$F$39:$F$56</c:f>
              <c:numCache>
                <c:formatCode>General</c:formatCode>
                <c:ptCount val="18"/>
                <c:pt idx="0">
                  <c:v>-0.41910106569171113</c:v>
                </c:pt>
                <c:pt idx="1">
                  <c:v>2.1705388364012386</c:v>
                </c:pt>
                <c:pt idx="2">
                  <c:v>-0.1833492045408267</c:v>
                </c:pt>
                <c:pt idx="3">
                  <c:v>0.77640787544483914</c:v>
                </c:pt>
                <c:pt idx="4">
                  <c:v>-0.73254725136595766</c:v>
                </c:pt>
                <c:pt idx="5">
                  <c:v>1.0208235460426458</c:v>
                </c:pt>
                <c:pt idx="6">
                  <c:v>-1.0223910078032166</c:v>
                </c:pt>
                <c:pt idx="7">
                  <c:v>1.1972045807427492</c:v>
                </c:pt>
                <c:pt idx="8">
                  <c:v>-0.18449233443991453</c:v>
                </c:pt>
                <c:pt idx="9">
                  <c:v>-0.39952826389579243</c:v>
                </c:pt>
                <c:pt idx="10">
                  <c:v>-1.3624237396364887</c:v>
                </c:pt>
                <c:pt idx="11">
                  <c:v>0.79306717675567207</c:v>
                </c:pt>
                <c:pt idx="12">
                  <c:v>-1.123044636702863</c:v>
                </c:pt>
                <c:pt idx="13">
                  <c:v>1.6901826691291486</c:v>
                </c:pt>
                <c:pt idx="14">
                  <c:v>-0.81171401597257642</c:v>
                </c:pt>
                <c:pt idx="15">
                  <c:v>1.4748232443468581</c:v>
                </c:pt>
                <c:pt idx="16">
                  <c:v>-0.70536316421000933</c:v>
                </c:pt>
                <c:pt idx="17">
                  <c:v>0.83612764658515459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7-430C-99DB-7F7B3F2D5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299424"/>
        <c:axId val="1609296064"/>
      </c:scatterChart>
      <c:valAx>
        <c:axId val="160929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Euclidean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96064"/>
        <c:crosses val="autoZero"/>
        <c:crossBetween val="midCat"/>
      </c:valAx>
      <c:valAx>
        <c:axId val="16092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log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9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312420</xdr:colOff>
      <xdr:row>18</xdr:row>
      <xdr:rowOff>15240</xdr:rowOff>
    </xdr:from>
    <xdr:to>
      <xdr:col>18</xdr:col>
      <xdr:colOff>563880</xdr:colOff>
      <xdr:row>30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169E6-A1D3-42C2-87B1-88FA68EE6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60960</xdr:colOff>
      <xdr:row>27</xdr:row>
      <xdr:rowOff>53340</xdr:rowOff>
    </xdr:from>
    <xdr:to>
      <xdr:col>27</xdr:col>
      <xdr:colOff>372253</xdr:colOff>
      <xdr:row>42</xdr:row>
      <xdr:rowOff>65771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0518F4-3203-42D4-A468-EC9E75655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2960" y="5196840"/>
          <a:ext cx="4578493" cy="2869931"/>
        </a:xfrm>
        <a:prstGeom prst="rect">
          <a:avLst/>
        </a:prstGeom>
      </xdr:spPr>
    </xdr:pic>
    <xdr:clientData/>
  </xdr:twoCellAnchor>
  <xdr:twoCellAnchor>
    <xdr:from>
      <xdr:col>11</xdr:col>
      <xdr:colOff>441960</xdr:colOff>
      <xdr:row>0</xdr:row>
      <xdr:rowOff>95250</xdr:rowOff>
    </xdr:from>
    <xdr:to>
      <xdr:col>19</xdr:col>
      <xdr:colOff>137160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AFC5CA-FB66-4F07-A1BA-FBDEFADDC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352425</xdr:colOff>
      <xdr:row>12</xdr:row>
      <xdr:rowOff>4762</xdr:rowOff>
    </xdr:from>
    <xdr:to>
      <xdr:col>24</xdr:col>
      <xdr:colOff>47625</xdr:colOff>
      <xdr:row>26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46631-D08C-7280-0D29-F9C093773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31</xdr:row>
      <xdr:rowOff>9525</xdr:rowOff>
    </xdr:from>
    <xdr:to>
      <xdr:col>23</xdr:col>
      <xdr:colOff>323850</xdr:colOff>
      <xdr:row>45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AC6292-68CF-46EB-B82E-2C051DD74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</xdr:row>
      <xdr:rowOff>19050</xdr:rowOff>
    </xdr:from>
    <xdr:to>
      <xdr:col>20</xdr:col>
      <xdr:colOff>326914</xdr:colOff>
      <xdr:row>16</xdr:row>
      <xdr:rowOff>107681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13050F-D714-B1AA-12E1-96B939BF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5" y="40005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47625</xdr:colOff>
      <xdr:row>2</xdr:row>
      <xdr:rowOff>0</xdr:rowOff>
    </xdr:from>
    <xdr:to>
      <xdr:col>28</xdr:col>
      <xdr:colOff>365014</xdr:colOff>
      <xdr:row>16</xdr:row>
      <xdr:rowOff>88631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7ED0806-45BD-76F7-9AA3-04AF16949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0825" y="381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20</xdr:col>
      <xdr:colOff>317389</xdr:colOff>
      <xdr:row>34</xdr:row>
      <xdr:rowOff>79106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3EDC34A-87EB-9AB2-F4B0-D3B32A551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3810000"/>
          <a:ext cx="4584589" cy="2755631"/>
        </a:xfrm>
        <a:prstGeom prst="rect">
          <a:avLst/>
        </a:prstGeom>
      </xdr:spPr>
    </xdr:pic>
    <xdr:clientData/>
  </xdr:twoCellAnchor>
  <xdr:twoCellAnchor>
    <xdr:from>
      <xdr:col>12</xdr:col>
      <xdr:colOff>600075</xdr:colOff>
      <xdr:row>38</xdr:row>
      <xdr:rowOff>61912</xdr:rowOff>
    </xdr:from>
    <xdr:to>
      <xdr:col>20</xdr:col>
      <xdr:colOff>295275</xdr:colOff>
      <xdr:row>52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11EF9-C68D-76A3-3F6C-D91F63B67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49</xdr:row>
      <xdr:rowOff>0</xdr:rowOff>
    </xdr:from>
    <xdr:to>
      <xdr:col>29</xdr:col>
      <xdr:colOff>304800</xdr:colOff>
      <xdr:row>63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C4F3B-EE78-441F-BC3F-9BA349BC7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312420</xdr:colOff>
      <xdr:row>18</xdr:row>
      <xdr:rowOff>15240</xdr:rowOff>
    </xdr:from>
    <xdr:to>
      <xdr:col>18</xdr:col>
      <xdr:colOff>563880</xdr:colOff>
      <xdr:row>30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044EC-FA90-43E6-99B1-DB35B464D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441960</xdr:colOff>
      <xdr:row>0</xdr:row>
      <xdr:rowOff>95250</xdr:rowOff>
    </xdr:from>
    <xdr:to>
      <xdr:col>19</xdr:col>
      <xdr:colOff>137160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FBEB07-D6EE-44F9-B389-47A6F36F9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33337</xdr:colOff>
      <xdr:row>43</xdr:row>
      <xdr:rowOff>147637</xdr:rowOff>
    </xdr:from>
    <xdr:to>
      <xdr:col>27</xdr:col>
      <xdr:colOff>338137</xdr:colOff>
      <xdr:row>58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7567AD-F52E-0EA4-E332-A69AD177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yodfw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3C64-2EE4-4D84-9D9C-852C6C56687F}">
  <dimension ref="A1:AA92"/>
  <sheetViews>
    <sheetView workbookViewId="0">
      <selection activeCell="W16" sqref="W1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D1" t="s">
        <v>2</v>
      </c>
    </row>
    <row r="2" spans="1:19" x14ac:dyDescent="0.25">
      <c r="B2" t="s">
        <v>3</v>
      </c>
    </row>
    <row r="3" spans="1:19" x14ac:dyDescent="0.25">
      <c r="B3" t="s">
        <v>4</v>
      </c>
    </row>
    <row r="4" spans="1:19" x14ac:dyDescent="0.25">
      <c r="B4" t="s">
        <v>5</v>
      </c>
    </row>
    <row r="5" spans="1:19" x14ac:dyDescent="0.25">
      <c r="B5" t="s">
        <v>6</v>
      </c>
    </row>
    <row r="7" spans="1:19" x14ac:dyDescent="0.25">
      <c r="A7" t="s">
        <v>7</v>
      </c>
      <c r="B7" s="1">
        <v>2024</v>
      </c>
      <c r="C7" s="1"/>
      <c r="D7" s="1"/>
      <c r="G7">
        <v>-0.70536316421000933</v>
      </c>
      <c r="H7">
        <v>1.4748232443468581</v>
      </c>
      <c r="I7">
        <v>-0.81171401597257642</v>
      </c>
      <c r="J7">
        <v>1.6901826691291486</v>
      </c>
      <c r="K7">
        <v>-1.123044636702863</v>
      </c>
    </row>
    <row r="8" spans="1:19" x14ac:dyDescent="0.25">
      <c r="A8" t="s">
        <v>8</v>
      </c>
    </row>
    <row r="13" spans="1:19" x14ac:dyDescent="0.25">
      <c r="B13" s="1" t="s">
        <v>9</v>
      </c>
      <c r="C13" s="1"/>
      <c r="D13" s="1"/>
      <c r="F13" t="s">
        <v>10</v>
      </c>
      <c r="G13" s="2" t="s">
        <v>11</v>
      </c>
      <c r="S13" t="s">
        <v>12</v>
      </c>
    </row>
    <row r="14" spans="1:19" x14ac:dyDescent="0.25">
      <c r="B14" s="1"/>
      <c r="C14" s="1"/>
      <c r="D14" s="1"/>
      <c r="F14" t="s">
        <v>13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</row>
    <row r="15" spans="1:19" x14ac:dyDescent="0.25">
      <c r="B15" s="1"/>
      <c r="C15" s="1"/>
      <c r="D15" s="1"/>
      <c r="F15" t="s">
        <v>14</v>
      </c>
      <c r="M15" t="s">
        <v>15</v>
      </c>
      <c r="R15" t="s">
        <v>16</v>
      </c>
    </row>
    <row r="16" spans="1:19" x14ac:dyDescent="0.25">
      <c r="B16" s="1" t="s">
        <v>17</v>
      </c>
      <c r="C16" s="1"/>
      <c r="D16" s="1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M16" t="s">
        <v>21</v>
      </c>
      <c r="N16" t="s">
        <v>22</v>
      </c>
      <c r="O16" t="s">
        <v>23</v>
      </c>
      <c r="P16" t="s">
        <v>24</v>
      </c>
      <c r="Q16" t="s">
        <v>25</v>
      </c>
      <c r="R16" t="s">
        <v>26</v>
      </c>
    </row>
    <row r="17" spans="1:18" x14ac:dyDescent="0.25">
      <c r="B17" s="1">
        <v>1985</v>
      </c>
      <c r="C17" s="1"/>
      <c r="D17" s="1">
        <v>166340</v>
      </c>
      <c r="E17">
        <f t="shared" ref="E17:E56" si="0">LN(D17)</f>
        <v>12.021789165422678</v>
      </c>
      <c r="R17" t="s">
        <v>27</v>
      </c>
    </row>
    <row r="18" spans="1:18" x14ac:dyDescent="0.25">
      <c r="B18" s="1">
        <v>1986</v>
      </c>
      <c r="C18" s="1"/>
      <c r="D18" s="1">
        <v>58123</v>
      </c>
      <c r="E18">
        <f t="shared" si="0"/>
        <v>10.970316733695517</v>
      </c>
      <c r="F18">
        <f>E18-E17</f>
        <v>-1.0514724317271611</v>
      </c>
    </row>
    <row r="19" spans="1:18" x14ac:dyDescent="0.25">
      <c r="B19" s="1">
        <v>1987</v>
      </c>
      <c r="C19" s="1"/>
      <c r="D19" s="1">
        <v>116993</v>
      </c>
      <c r="E19">
        <f t="shared" si="0"/>
        <v>11.669869382930235</v>
      </c>
      <c r="F19">
        <f t="shared" ref="F19:F56" si="1">E19-E18</f>
        <v>0.69955264923471816</v>
      </c>
      <c r="G19">
        <f>F18</f>
        <v>-1.0514724317271611</v>
      </c>
    </row>
    <row r="20" spans="1:18" x14ac:dyDescent="0.25">
      <c r="B20" s="1">
        <v>1988</v>
      </c>
      <c r="C20" s="1"/>
      <c r="D20" s="1">
        <v>79714</v>
      </c>
      <c r="E20">
        <f t="shared" si="0"/>
        <v>11.286200508072321</v>
      </c>
      <c r="F20">
        <f t="shared" si="1"/>
        <v>-0.38366887485791423</v>
      </c>
      <c r="G20">
        <f t="shared" ref="G20:G56" si="2">F19</f>
        <v>0.69955264923471816</v>
      </c>
      <c r="H20">
        <f>F18</f>
        <v>-1.0514724317271611</v>
      </c>
    </row>
    <row r="21" spans="1:18" x14ac:dyDescent="0.25">
      <c r="B21" s="1">
        <v>1989</v>
      </c>
      <c r="C21" s="1"/>
      <c r="D21" s="1">
        <v>41884</v>
      </c>
      <c r="E21">
        <f t="shared" si="0"/>
        <v>10.642659171407352</v>
      </c>
      <c r="F21">
        <f t="shared" si="1"/>
        <v>-0.64354133666496871</v>
      </c>
      <c r="G21">
        <f t="shared" si="2"/>
        <v>-0.38366887485791423</v>
      </c>
      <c r="H21">
        <f t="shared" ref="H21:H56" si="3">F19</f>
        <v>0.69955264923471816</v>
      </c>
      <c r="I21">
        <f>F18</f>
        <v>-1.0514724317271611</v>
      </c>
    </row>
    <row r="22" spans="1:18" x14ac:dyDescent="0.25">
      <c r="B22" s="1">
        <v>1990</v>
      </c>
      <c r="C22" s="1"/>
      <c r="D22" s="1">
        <v>49581</v>
      </c>
      <c r="E22">
        <f t="shared" si="0"/>
        <v>10.811362974808937</v>
      </c>
      <c r="F22">
        <f t="shared" si="1"/>
        <v>0.1687038034015842</v>
      </c>
      <c r="G22">
        <f t="shared" si="2"/>
        <v>-0.64354133666496871</v>
      </c>
      <c r="H22">
        <f t="shared" si="3"/>
        <v>-0.38366887485791423</v>
      </c>
      <c r="I22">
        <f t="shared" ref="I22:I56" si="4">F19</f>
        <v>0.69955264923471816</v>
      </c>
      <c r="J22">
        <f>F18</f>
        <v>-1.0514724317271611</v>
      </c>
    </row>
    <row r="23" spans="1:18" x14ac:dyDescent="0.25">
      <c r="A23" s="3" t="s">
        <v>28</v>
      </c>
      <c r="B23" s="4">
        <v>1991</v>
      </c>
      <c r="C23" s="4"/>
      <c r="D23" s="4">
        <v>76481</v>
      </c>
      <c r="E23" s="3">
        <f t="shared" si="0"/>
        <v>11.244797622953609</v>
      </c>
      <c r="F23" s="3">
        <f t="shared" si="1"/>
        <v>0.43343464814467225</v>
      </c>
      <c r="G23" s="3">
        <f t="shared" si="2"/>
        <v>0.1687038034015842</v>
      </c>
      <c r="H23" s="3">
        <f t="shared" si="3"/>
        <v>-0.64354133666496871</v>
      </c>
      <c r="I23" s="3">
        <f t="shared" si="4"/>
        <v>-0.38366887485791423</v>
      </c>
      <c r="J23" s="3">
        <f t="shared" ref="J23:J56" si="5">F19</f>
        <v>0.69955264923471816</v>
      </c>
      <c r="K23" s="3">
        <f>F18</f>
        <v>-1.0514724317271611</v>
      </c>
    </row>
    <row r="24" spans="1:18" x14ac:dyDescent="0.25">
      <c r="A24" t="s">
        <v>29</v>
      </c>
      <c r="B24" s="1">
        <v>1992</v>
      </c>
      <c r="C24" s="1"/>
      <c r="D24" s="1">
        <v>84992</v>
      </c>
      <c r="E24">
        <f t="shared" si="0"/>
        <v>11.35031241339605</v>
      </c>
      <c r="F24">
        <f t="shared" si="1"/>
        <v>0.10551479044244161</v>
      </c>
      <c r="G24">
        <f t="shared" si="2"/>
        <v>0.43343464814467225</v>
      </c>
      <c r="H24">
        <f t="shared" si="3"/>
        <v>0.1687038034015842</v>
      </c>
      <c r="I24">
        <f t="shared" si="4"/>
        <v>-0.64354133666496871</v>
      </c>
      <c r="J24">
        <f t="shared" si="5"/>
        <v>-0.38366887485791423</v>
      </c>
      <c r="K24">
        <f t="shared" ref="K24:K56" si="6">F19</f>
        <v>0.69955264923471816</v>
      </c>
    </row>
    <row r="25" spans="1:18" x14ac:dyDescent="0.25">
      <c r="A25" t="s">
        <v>30</v>
      </c>
      <c r="B25" s="1">
        <v>1993</v>
      </c>
      <c r="C25" s="1"/>
      <c r="D25" s="1">
        <v>80178</v>
      </c>
      <c r="E25">
        <f t="shared" si="0"/>
        <v>11.292004442009116</v>
      </c>
      <c r="F25">
        <f t="shared" si="1"/>
        <v>-5.8307971386934554E-2</v>
      </c>
      <c r="G25">
        <f t="shared" si="2"/>
        <v>0.10551479044244161</v>
      </c>
      <c r="H25">
        <f t="shared" si="3"/>
        <v>0.43343464814467225</v>
      </c>
      <c r="I25">
        <f t="shared" si="4"/>
        <v>0.1687038034015842</v>
      </c>
      <c r="J25">
        <f t="shared" si="5"/>
        <v>-0.64354133666496871</v>
      </c>
      <c r="K25">
        <f t="shared" si="6"/>
        <v>-0.38366887485791423</v>
      </c>
    </row>
    <row r="26" spans="1:18" x14ac:dyDescent="0.25">
      <c r="A26" t="s">
        <v>31</v>
      </c>
      <c r="B26" s="1">
        <v>1994</v>
      </c>
      <c r="C26" s="1"/>
      <c r="D26" s="1">
        <v>12678</v>
      </c>
      <c r="E26">
        <f t="shared" si="0"/>
        <v>9.4476234868441118</v>
      </c>
      <c r="F26">
        <f t="shared" si="1"/>
        <v>-1.8443809551650041</v>
      </c>
      <c r="G26">
        <f t="shared" si="2"/>
        <v>-5.8307971386934554E-2</v>
      </c>
      <c r="H26">
        <f t="shared" si="3"/>
        <v>0.10551479044244161</v>
      </c>
      <c r="I26">
        <f t="shared" si="4"/>
        <v>0.43343464814467225</v>
      </c>
      <c r="J26">
        <f t="shared" si="5"/>
        <v>0.1687038034015842</v>
      </c>
      <c r="K26">
        <f t="shared" si="6"/>
        <v>-0.64354133666496871</v>
      </c>
    </row>
    <row r="27" spans="1:18" x14ac:dyDescent="0.25">
      <c r="A27" t="s">
        <v>32</v>
      </c>
      <c r="B27" s="1">
        <v>1995</v>
      </c>
      <c r="C27" s="1"/>
      <c r="D27" s="1">
        <v>8774</v>
      </c>
      <c r="E27">
        <f t="shared" si="0"/>
        <v>9.0795480817261591</v>
      </c>
      <c r="F27">
        <f t="shared" si="1"/>
        <v>-0.36807540511795267</v>
      </c>
      <c r="G27">
        <f t="shared" si="2"/>
        <v>-1.8443809551650041</v>
      </c>
      <c r="H27">
        <f t="shared" si="3"/>
        <v>-5.8307971386934554E-2</v>
      </c>
      <c r="I27">
        <f t="shared" si="4"/>
        <v>0.10551479044244161</v>
      </c>
      <c r="J27">
        <f t="shared" si="5"/>
        <v>0.43343464814467225</v>
      </c>
      <c r="K27">
        <f t="shared" si="6"/>
        <v>0.1687038034015842</v>
      </c>
    </row>
    <row r="28" spans="1:18" x14ac:dyDescent="0.25">
      <c r="A28" t="s">
        <v>33</v>
      </c>
      <c r="B28" s="1">
        <v>1996</v>
      </c>
      <c r="C28" s="1"/>
      <c r="D28" s="1">
        <v>30232</v>
      </c>
      <c r="E28">
        <f t="shared" si="0"/>
        <v>10.316656245029325</v>
      </c>
      <c r="F28">
        <f t="shared" si="1"/>
        <v>1.2371081633031658</v>
      </c>
      <c r="G28">
        <f t="shared" si="2"/>
        <v>-0.36807540511795267</v>
      </c>
      <c r="H28">
        <f t="shared" si="3"/>
        <v>-1.8443809551650041</v>
      </c>
      <c r="I28">
        <f t="shared" si="4"/>
        <v>-5.8307971386934554E-2</v>
      </c>
      <c r="J28">
        <f t="shared" si="5"/>
        <v>0.10551479044244161</v>
      </c>
      <c r="K28">
        <f t="shared" si="6"/>
        <v>0.43343464814467225</v>
      </c>
    </row>
    <row r="29" spans="1:18" x14ac:dyDescent="0.25">
      <c r="B29" s="1">
        <v>1997</v>
      </c>
      <c r="C29" s="1"/>
      <c r="D29" s="1">
        <v>47008</v>
      </c>
      <c r="E29">
        <f t="shared" si="0"/>
        <v>10.758073078973604</v>
      </c>
      <c r="F29">
        <f t="shared" si="1"/>
        <v>0.44141683394427922</v>
      </c>
      <c r="G29">
        <f t="shared" si="2"/>
        <v>1.2371081633031658</v>
      </c>
      <c r="H29">
        <f t="shared" si="3"/>
        <v>-0.36807540511795267</v>
      </c>
      <c r="I29">
        <f t="shared" si="4"/>
        <v>-1.8443809551650041</v>
      </c>
      <c r="J29">
        <f t="shared" si="5"/>
        <v>-5.8307971386934554E-2</v>
      </c>
      <c r="K29">
        <f t="shared" si="6"/>
        <v>0.10551479044244161</v>
      </c>
    </row>
    <row r="30" spans="1:18" x14ac:dyDescent="0.25">
      <c r="B30" s="1">
        <v>1998</v>
      </c>
      <c r="C30" s="1"/>
      <c r="D30" s="1">
        <v>13218</v>
      </c>
      <c r="E30">
        <f t="shared" si="0"/>
        <v>9.4893348160303983</v>
      </c>
      <c r="F30">
        <f t="shared" si="1"/>
        <v>-1.2687382629432058</v>
      </c>
      <c r="G30">
        <f t="shared" si="2"/>
        <v>0.44141683394427922</v>
      </c>
      <c r="H30">
        <f t="shared" si="3"/>
        <v>1.2371081633031658</v>
      </c>
      <c r="I30">
        <f t="shared" si="4"/>
        <v>-0.36807540511795267</v>
      </c>
      <c r="J30">
        <f t="shared" si="5"/>
        <v>-1.8443809551650041</v>
      </c>
      <c r="K30">
        <f t="shared" si="6"/>
        <v>-5.8307971386934554E-2</v>
      </c>
    </row>
    <row r="31" spans="1:18" x14ac:dyDescent="0.25">
      <c r="B31" s="1">
        <v>1999</v>
      </c>
      <c r="C31" s="1"/>
      <c r="D31" s="1">
        <v>17877</v>
      </c>
      <c r="E31">
        <f t="shared" si="0"/>
        <v>9.7912702494150885</v>
      </c>
      <c r="F31">
        <f t="shared" si="1"/>
        <v>0.3019354333846902</v>
      </c>
      <c r="G31">
        <f t="shared" si="2"/>
        <v>-1.2687382629432058</v>
      </c>
      <c r="H31">
        <f t="shared" si="3"/>
        <v>0.44141683394427922</v>
      </c>
      <c r="I31">
        <f t="shared" si="4"/>
        <v>1.2371081633031658</v>
      </c>
      <c r="J31">
        <f t="shared" si="5"/>
        <v>-0.36807540511795267</v>
      </c>
      <c r="K31">
        <f t="shared" si="6"/>
        <v>-1.8443809551650041</v>
      </c>
    </row>
    <row r="32" spans="1:18" x14ac:dyDescent="0.25">
      <c r="B32" s="1">
        <v>2000</v>
      </c>
      <c r="C32" s="1"/>
      <c r="D32" s="1">
        <v>93398</v>
      </c>
      <c r="E32">
        <f t="shared" si="0"/>
        <v>11.444625210711436</v>
      </c>
      <c r="F32">
        <f t="shared" si="1"/>
        <v>1.6533549612963476</v>
      </c>
      <c r="G32">
        <f t="shared" si="2"/>
        <v>0.3019354333846902</v>
      </c>
      <c r="H32">
        <f t="shared" si="3"/>
        <v>-1.2687382629432058</v>
      </c>
      <c r="I32">
        <f t="shared" si="4"/>
        <v>0.44141683394427922</v>
      </c>
      <c r="J32">
        <f t="shared" si="5"/>
        <v>1.2371081633031658</v>
      </c>
      <c r="K32">
        <f t="shared" si="6"/>
        <v>-0.36807540511795267</v>
      </c>
    </row>
    <row r="33" spans="2:23" x14ac:dyDescent="0.25">
      <c r="B33" s="1">
        <v>2001</v>
      </c>
      <c r="C33" s="1"/>
      <c r="D33" s="1">
        <v>114934</v>
      </c>
      <c r="E33">
        <f t="shared" si="0"/>
        <v>11.652113329550779</v>
      </c>
      <c r="F33">
        <f t="shared" si="1"/>
        <v>0.20748811883934337</v>
      </c>
      <c r="G33">
        <f t="shared" si="2"/>
        <v>1.6533549612963476</v>
      </c>
      <c r="H33">
        <f t="shared" si="3"/>
        <v>0.3019354333846902</v>
      </c>
      <c r="I33">
        <f t="shared" si="4"/>
        <v>-1.2687382629432058</v>
      </c>
      <c r="J33">
        <f t="shared" si="5"/>
        <v>0.44141683394427922</v>
      </c>
      <c r="K33">
        <f t="shared" si="6"/>
        <v>1.2371081633031658</v>
      </c>
    </row>
    <row r="34" spans="2:23" x14ac:dyDescent="0.25">
      <c r="B34" s="1">
        <v>2002</v>
      </c>
      <c r="C34" s="1"/>
      <c r="D34" s="1">
        <v>49610</v>
      </c>
      <c r="E34">
        <f t="shared" si="0"/>
        <v>10.811947705295095</v>
      </c>
      <c r="F34">
        <f t="shared" si="1"/>
        <v>-0.84016562425568431</v>
      </c>
      <c r="G34">
        <f t="shared" si="2"/>
        <v>0.20748811883934337</v>
      </c>
      <c r="H34">
        <f t="shared" si="3"/>
        <v>1.6533549612963476</v>
      </c>
      <c r="I34">
        <f t="shared" si="4"/>
        <v>0.3019354333846902</v>
      </c>
      <c r="J34">
        <f t="shared" si="5"/>
        <v>-1.2687382629432058</v>
      </c>
      <c r="K34">
        <f t="shared" si="6"/>
        <v>0.44141683394427922</v>
      </c>
    </row>
    <row r="35" spans="2:23" x14ac:dyDescent="0.25">
      <c r="B35" s="1">
        <v>2003</v>
      </c>
      <c r="C35" s="1"/>
      <c r="D35" s="1">
        <v>39291</v>
      </c>
      <c r="E35">
        <f t="shared" si="0"/>
        <v>10.578750763997512</v>
      </c>
      <c r="F35">
        <f t="shared" si="1"/>
        <v>-0.23319694129758339</v>
      </c>
      <c r="G35">
        <f t="shared" si="2"/>
        <v>-0.84016562425568431</v>
      </c>
      <c r="H35">
        <f t="shared" si="3"/>
        <v>0.20748811883934337</v>
      </c>
      <c r="I35">
        <f t="shared" si="4"/>
        <v>1.6533549612963476</v>
      </c>
      <c r="J35">
        <f t="shared" si="5"/>
        <v>0.3019354333846902</v>
      </c>
      <c r="K35">
        <f t="shared" si="6"/>
        <v>-1.2687382629432058</v>
      </c>
    </row>
    <row r="36" spans="2:23" x14ac:dyDescent="0.25">
      <c r="B36" s="1">
        <v>2004</v>
      </c>
      <c r="C36" s="1"/>
      <c r="D36" s="1">
        <v>123291</v>
      </c>
      <c r="E36">
        <f t="shared" si="0"/>
        <v>11.72230269378761</v>
      </c>
      <c r="F36">
        <f t="shared" si="1"/>
        <v>1.1435519297900978</v>
      </c>
      <c r="G36">
        <f t="shared" si="2"/>
        <v>-0.23319694129758339</v>
      </c>
      <c r="H36">
        <f t="shared" si="3"/>
        <v>-0.84016562425568431</v>
      </c>
      <c r="I36">
        <f t="shared" si="4"/>
        <v>0.20748811883934337</v>
      </c>
      <c r="J36">
        <f t="shared" si="5"/>
        <v>1.6533549612963476</v>
      </c>
      <c r="K36">
        <f t="shared" si="6"/>
        <v>0.3019354333846902</v>
      </c>
    </row>
    <row r="37" spans="2:23" x14ac:dyDescent="0.25">
      <c r="B37" s="1">
        <v>2005</v>
      </c>
      <c r="C37" s="1"/>
      <c r="D37" s="1">
        <v>72971</v>
      </c>
      <c r="E37">
        <f t="shared" si="0"/>
        <v>11.197817380927789</v>
      </c>
      <c r="F37">
        <f t="shared" si="1"/>
        <v>-0.52448531285982014</v>
      </c>
      <c r="G37">
        <f t="shared" si="2"/>
        <v>1.1435519297900978</v>
      </c>
      <c r="H37">
        <f t="shared" si="3"/>
        <v>-0.23319694129758339</v>
      </c>
      <c r="I37">
        <f t="shared" si="4"/>
        <v>-0.84016562425568431</v>
      </c>
      <c r="J37">
        <f t="shared" si="5"/>
        <v>0.20748811883934337</v>
      </c>
      <c r="K37">
        <f t="shared" si="6"/>
        <v>1.6533549612963476</v>
      </c>
    </row>
    <row r="38" spans="2:23" x14ac:dyDescent="0.25">
      <c r="B38" s="1">
        <v>2006</v>
      </c>
      <c r="C38" s="1"/>
      <c r="D38" s="1">
        <v>37066</v>
      </c>
      <c r="E38">
        <f t="shared" si="0"/>
        <v>10.520455386357256</v>
      </c>
      <c r="F38">
        <f t="shared" si="1"/>
        <v>-0.67736199457053381</v>
      </c>
      <c r="G38">
        <f t="shared" si="2"/>
        <v>-0.52448531285982014</v>
      </c>
      <c r="H38">
        <f t="shared" si="3"/>
        <v>1.1435519297900978</v>
      </c>
      <c r="I38">
        <f t="shared" si="4"/>
        <v>-0.23319694129758339</v>
      </c>
      <c r="J38">
        <f t="shared" si="5"/>
        <v>-0.84016562425568431</v>
      </c>
      <c r="K38">
        <f t="shared" si="6"/>
        <v>0.20748811883934337</v>
      </c>
    </row>
    <row r="39" spans="2:23" x14ac:dyDescent="0.25">
      <c r="B39" s="1">
        <v>2007</v>
      </c>
      <c r="C39" s="1"/>
      <c r="D39" s="1">
        <v>24376</v>
      </c>
      <c r="E39">
        <f t="shared" si="0"/>
        <v>10.101354320665545</v>
      </c>
      <c r="F39">
        <f t="shared" si="1"/>
        <v>-0.41910106569171113</v>
      </c>
      <c r="G39">
        <f t="shared" si="2"/>
        <v>-0.67736199457053381</v>
      </c>
      <c r="H39">
        <f t="shared" si="3"/>
        <v>-0.52448531285982014</v>
      </c>
      <c r="I39">
        <f t="shared" si="4"/>
        <v>1.1435519297900978</v>
      </c>
      <c r="J39">
        <f t="shared" si="5"/>
        <v>-0.23319694129758339</v>
      </c>
      <c r="K39">
        <f t="shared" si="6"/>
        <v>-0.84016562425568431</v>
      </c>
      <c r="M39">
        <f t="shared" ref="M39:Q56" si="7">G$7-G39</f>
        <v>-2.8001169639475521E-2</v>
      </c>
      <c r="N39">
        <f t="shared" si="7"/>
        <v>1.9993085572066782</v>
      </c>
      <c r="O39">
        <f t="shared" si="7"/>
        <v>-1.9552659457626742</v>
      </c>
      <c r="P39">
        <f t="shared" si="7"/>
        <v>1.923379610426732</v>
      </c>
      <c r="Q39">
        <f t="shared" si="7"/>
        <v>-0.28287901244717872</v>
      </c>
      <c r="R39">
        <f t="shared" ref="R39:R56" si="8">SQRT(SUMPRODUCT(M39:Q39,M39:Q39,$G$14:$K$14))</f>
        <v>2.7966200476790251</v>
      </c>
    </row>
    <row r="40" spans="2:23" x14ac:dyDescent="0.25">
      <c r="B40" s="1">
        <v>2008</v>
      </c>
      <c r="C40" s="1"/>
      <c r="D40" s="1">
        <v>213607</v>
      </c>
      <c r="E40">
        <f t="shared" si="0"/>
        <v>12.271893157066783</v>
      </c>
      <c r="F40">
        <f t="shared" si="1"/>
        <v>2.1705388364012386</v>
      </c>
      <c r="G40">
        <f t="shared" si="2"/>
        <v>-0.41910106569171113</v>
      </c>
      <c r="H40">
        <f t="shared" si="3"/>
        <v>-0.67736199457053381</v>
      </c>
      <c r="I40">
        <f t="shared" si="4"/>
        <v>-0.52448531285982014</v>
      </c>
      <c r="J40">
        <f t="shared" si="5"/>
        <v>1.1435519297900978</v>
      </c>
      <c r="K40">
        <f t="shared" si="6"/>
        <v>-0.23319694129758339</v>
      </c>
      <c r="M40">
        <f t="shared" si="7"/>
        <v>-0.2862620985182982</v>
      </c>
      <c r="N40">
        <f t="shared" si="7"/>
        <v>2.1521852389173919</v>
      </c>
      <c r="O40">
        <f t="shared" si="7"/>
        <v>-0.28722870311275628</v>
      </c>
      <c r="P40">
        <f t="shared" si="7"/>
        <v>0.54663073933905082</v>
      </c>
      <c r="Q40">
        <f t="shared" si="7"/>
        <v>-0.88984769540527964</v>
      </c>
      <c r="R40">
        <f t="shared" si="8"/>
        <v>2.190056533415027</v>
      </c>
    </row>
    <row r="41" spans="2:23" x14ac:dyDescent="0.25">
      <c r="B41" s="1">
        <v>2009</v>
      </c>
      <c r="C41" s="1"/>
      <c r="D41" s="1">
        <v>177823</v>
      </c>
      <c r="E41">
        <f t="shared" si="0"/>
        <v>12.088543952525956</v>
      </c>
      <c r="F41">
        <f t="shared" si="1"/>
        <v>-0.1833492045408267</v>
      </c>
      <c r="G41">
        <f t="shared" si="2"/>
        <v>2.1705388364012386</v>
      </c>
      <c r="H41">
        <f t="shared" si="3"/>
        <v>-0.41910106569171113</v>
      </c>
      <c r="I41">
        <f t="shared" si="4"/>
        <v>-0.67736199457053381</v>
      </c>
      <c r="J41">
        <f t="shared" si="5"/>
        <v>-0.52448531285982014</v>
      </c>
      <c r="K41">
        <f t="shared" si="6"/>
        <v>1.1435519297900978</v>
      </c>
      <c r="M41">
        <f t="shared" si="7"/>
        <v>-2.8759020006112479</v>
      </c>
      <c r="N41">
        <f t="shared" si="7"/>
        <v>1.8939243100385692</v>
      </c>
      <c r="O41">
        <f t="shared" si="7"/>
        <v>-0.13435202140204261</v>
      </c>
      <c r="P41">
        <f t="shared" si="7"/>
        <v>2.2146679819889687</v>
      </c>
      <c r="Q41">
        <f t="shared" si="7"/>
        <v>-2.2665965664929608</v>
      </c>
      <c r="R41">
        <f t="shared" si="8"/>
        <v>3.4461300142231521</v>
      </c>
    </row>
    <row r="42" spans="2:23" x14ac:dyDescent="0.25">
      <c r="B42" s="1">
        <v>2010</v>
      </c>
      <c r="C42" s="1"/>
      <c r="D42" s="1">
        <v>386525</v>
      </c>
      <c r="E42">
        <f t="shared" si="0"/>
        <v>12.864951827970796</v>
      </c>
      <c r="F42">
        <f t="shared" si="1"/>
        <v>0.77640787544483914</v>
      </c>
      <c r="G42">
        <f t="shared" si="2"/>
        <v>-0.1833492045408267</v>
      </c>
      <c r="H42">
        <f t="shared" si="3"/>
        <v>2.1705388364012386</v>
      </c>
      <c r="I42">
        <f t="shared" si="4"/>
        <v>-0.41910106569171113</v>
      </c>
      <c r="J42">
        <f t="shared" si="5"/>
        <v>-0.67736199457053381</v>
      </c>
      <c r="K42">
        <f t="shared" si="6"/>
        <v>-0.52448531285982014</v>
      </c>
      <c r="M42">
        <f t="shared" si="7"/>
        <v>-0.52201395966918263</v>
      </c>
      <c r="N42">
        <f t="shared" si="7"/>
        <v>-0.69571559205438049</v>
      </c>
      <c r="O42">
        <f t="shared" si="7"/>
        <v>-0.39261295028086529</v>
      </c>
      <c r="P42">
        <f t="shared" si="7"/>
        <v>2.3675446636996824</v>
      </c>
      <c r="Q42">
        <f t="shared" si="7"/>
        <v>-0.59855932384304289</v>
      </c>
      <c r="R42">
        <f t="shared" si="8"/>
        <v>0.95428700496513175</v>
      </c>
    </row>
    <row r="43" spans="2:23" x14ac:dyDescent="0.25">
      <c r="B43" s="1">
        <v>2011</v>
      </c>
      <c r="C43" s="1"/>
      <c r="D43" s="1">
        <v>185796</v>
      </c>
      <c r="E43">
        <f t="shared" si="0"/>
        <v>12.132404576604838</v>
      </c>
      <c r="F43">
        <f t="shared" si="1"/>
        <v>-0.73254725136595766</v>
      </c>
      <c r="G43">
        <f t="shared" si="2"/>
        <v>0.77640787544483914</v>
      </c>
      <c r="H43">
        <f t="shared" si="3"/>
        <v>-0.1833492045408267</v>
      </c>
      <c r="I43">
        <f t="shared" si="4"/>
        <v>2.1705388364012386</v>
      </c>
      <c r="J43">
        <f t="shared" si="5"/>
        <v>-0.41910106569171113</v>
      </c>
      <c r="K43">
        <f t="shared" si="6"/>
        <v>-0.67736199457053381</v>
      </c>
      <c r="M43">
        <f t="shared" si="7"/>
        <v>-1.4817710396548485</v>
      </c>
      <c r="N43">
        <f t="shared" si="7"/>
        <v>1.6581724488876848</v>
      </c>
      <c r="O43">
        <f t="shared" si="7"/>
        <v>-2.982252852373815</v>
      </c>
      <c r="P43">
        <f t="shared" si="7"/>
        <v>2.1092837348208597</v>
      </c>
      <c r="Q43">
        <f t="shared" si="7"/>
        <v>-0.44568264213232922</v>
      </c>
      <c r="R43">
        <f t="shared" si="8"/>
        <v>3.720082439906641</v>
      </c>
    </row>
    <row r="44" spans="2:23" x14ac:dyDescent="0.25">
      <c r="B44" s="1">
        <v>2012</v>
      </c>
      <c r="C44" s="1"/>
      <c r="D44" s="1">
        <v>515673</v>
      </c>
      <c r="E44">
        <f t="shared" si="0"/>
        <v>13.153228122647484</v>
      </c>
      <c r="F44">
        <f t="shared" si="1"/>
        <v>1.0208235460426458</v>
      </c>
      <c r="G44">
        <f t="shared" si="2"/>
        <v>-0.73254725136595766</v>
      </c>
      <c r="H44">
        <f t="shared" si="3"/>
        <v>0.77640787544483914</v>
      </c>
      <c r="I44">
        <f t="shared" si="4"/>
        <v>-0.1833492045408267</v>
      </c>
      <c r="J44">
        <f t="shared" si="5"/>
        <v>2.1705388364012386</v>
      </c>
      <c r="K44">
        <f t="shared" si="6"/>
        <v>-0.41910106569171113</v>
      </c>
      <c r="M44">
        <f t="shared" si="7"/>
        <v>2.7184087155948333E-2</v>
      </c>
      <c r="N44">
        <f t="shared" si="7"/>
        <v>0.69841536890201894</v>
      </c>
      <c r="O44">
        <f t="shared" si="7"/>
        <v>-0.62836481143174971</v>
      </c>
      <c r="P44">
        <f t="shared" si="7"/>
        <v>-0.48035616727208996</v>
      </c>
      <c r="Q44">
        <f t="shared" si="7"/>
        <v>-0.7039435710111519</v>
      </c>
      <c r="R44">
        <f t="shared" si="8"/>
        <v>0.93987517168967916</v>
      </c>
    </row>
    <row r="45" spans="2:23" x14ac:dyDescent="0.25">
      <c r="B45" s="1">
        <v>2013</v>
      </c>
      <c r="C45" s="1"/>
      <c r="D45" s="1">
        <v>185505</v>
      </c>
      <c r="E45">
        <f t="shared" si="0"/>
        <v>12.130837114844267</v>
      </c>
      <c r="F45">
        <f t="shared" si="1"/>
        <v>-1.0223910078032166</v>
      </c>
      <c r="G45">
        <f t="shared" si="2"/>
        <v>1.0208235460426458</v>
      </c>
      <c r="H45">
        <f t="shared" si="3"/>
        <v>-0.73254725136595766</v>
      </c>
      <c r="I45">
        <f t="shared" si="4"/>
        <v>0.77640787544483914</v>
      </c>
      <c r="J45">
        <f t="shared" si="5"/>
        <v>-0.1833492045408267</v>
      </c>
      <c r="K45">
        <f t="shared" si="6"/>
        <v>2.1705388364012386</v>
      </c>
      <c r="M45">
        <f t="shared" si="7"/>
        <v>-1.7261867102526551</v>
      </c>
      <c r="N45">
        <f t="shared" si="7"/>
        <v>2.2073704957128157</v>
      </c>
      <c r="O45">
        <f t="shared" si="7"/>
        <v>-1.5881218914174156</v>
      </c>
      <c r="P45">
        <f t="shared" si="7"/>
        <v>1.8735318736699753</v>
      </c>
      <c r="Q45">
        <f t="shared" si="7"/>
        <v>-3.2935834731041016</v>
      </c>
      <c r="R45">
        <f t="shared" si="8"/>
        <v>3.2209216392199851</v>
      </c>
    </row>
    <row r="46" spans="2:23" ht="15.75" thickBot="1" x14ac:dyDescent="0.3">
      <c r="B46" s="5">
        <v>2014</v>
      </c>
      <c r="C46" s="5"/>
      <c r="D46" s="5">
        <v>614179</v>
      </c>
      <c r="E46">
        <f t="shared" si="0"/>
        <v>13.328041695587016</v>
      </c>
      <c r="F46">
        <f t="shared" si="1"/>
        <v>1.1972045807427492</v>
      </c>
      <c r="G46">
        <f t="shared" si="2"/>
        <v>-1.0223910078032166</v>
      </c>
      <c r="H46">
        <f t="shared" si="3"/>
        <v>1.0208235460426458</v>
      </c>
      <c r="I46">
        <f t="shared" si="4"/>
        <v>-0.73254725136595766</v>
      </c>
      <c r="J46">
        <f t="shared" si="5"/>
        <v>0.77640787544483914</v>
      </c>
      <c r="K46">
        <f t="shared" si="6"/>
        <v>-0.1833492045408267</v>
      </c>
      <c r="M46">
        <f t="shared" si="7"/>
        <v>0.31702784359320724</v>
      </c>
      <c r="N46">
        <f t="shared" si="7"/>
        <v>0.45399969830421227</v>
      </c>
      <c r="O46">
        <f t="shared" si="7"/>
        <v>-7.9166764606618756E-2</v>
      </c>
      <c r="P46">
        <f t="shared" si="7"/>
        <v>0.91377479368430947</v>
      </c>
      <c r="Q46">
        <f t="shared" si="7"/>
        <v>-0.93969543216203633</v>
      </c>
      <c r="R46">
        <f t="shared" si="8"/>
        <v>0.55936549437014316</v>
      </c>
      <c r="U46" t="s">
        <v>34</v>
      </c>
    </row>
    <row r="47" spans="2:23" x14ac:dyDescent="0.25">
      <c r="B47" s="1">
        <v>2015</v>
      </c>
      <c r="C47" s="1"/>
      <c r="D47" s="1">
        <v>510706</v>
      </c>
      <c r="E47">
        <f t="shared" si="0"/>
        <v>13.143549361147102</v>
      </c>
      <c r="F47">
        <f t="shared" si="1"/>
        <v>-0.18449233443991453</v>
      </c>
      <c r="G47">
        <f t="shared" si="2"/>
        <v>1.1972045807427492</v>
      </c>
      <c r="H47">
        <f t="shared" si="3"/>
        <v>-1.0223910078032166</v>
      </c>
      <c r="I47">
        <f t="shared" si="4"/>
        <v>1.0208235460426458</v>
      </c>
      <c r="J47">
        <f t="shared" si="5"/>
        <v>-0.73254725136595766</v>
      </c>
      <c r="K47">
        <f t="shared" si="6"/>
        <v>0.77640787544483914</v>
      </c>
      <c r="M47">
        <f t="shared" si="7"/>
        <v>-1.9025677449527585</v>
      </c>
      <c r="N47">
        <f t="shared" si="7"/>
        <v>2.4972142521500746</v>
      </c>
      <c r="O47">
        <f t="shared" si="7"/>
        <v>-1.8325375620152222</v>
      </c>
      <c r="P47">
        <f t="shared" si="7"/>
        <v>2.4227299204951063</v>
      </c>
      <c r="Q47">
        <f t="shared" si="7"/>
        <v>-1.8994525121477022</v>
      </c>
      <c r="R47">
        <f t="shared" si="8"/>
        <v>3.6351116848692251</v>
      </c>
      <c r="V47" t="s">
        <v>35</v>
      </c>
    </row>
    <row r="48" spans="2:23" x14ac:dyDescent="0.25">
      <c r="B48" s="1">
        <v>2016</v>
      </c>
      <c r="C48" s="1"/>
      <c r="D48" s="1">
        <v>342498</v>
      </c>
      <c r="E48">
        <f t="shared" si="0"/>
        <v>12.744021097251309</v>
      </c>
      <c r="F48">
        <f t="shared" si="1"/>
        <v>-0.39952826389579243</v>
      </c>
      <c r="G48">
        <f t="shared" si="2"/>
        <v>-0.18449233443991453</v>
      </c>
      <c r="H48">
        <f t="shared" si="3"/>
        <v>1.1972045807427492</v>
      </c>
      <c r="I48">
        <f t="shared" si="4"/>
        <v>-1.0223910078032166</v>
      </c>
      <c r="J48">
        <f t="shared" si="5"/>
        <v>1.0208235460426458</v>
      </c>
      <c r="K48">
        <f t="shared" si="6"/>
        <v>-0.73254725136595766</v>
      </c>
      <c r="M48">
        <f t="shared" si="7"/>
        <v>-0.5208708297700948</v>
      </c>
      <c r="N48">
        <f t="shared" si="7"/>
        <v>0.27761866360410892</v>
      </c>
      <c r="O48">
        <f t="shared" si="7"/>
        <v>0.21067699183064015</v>
      </c>
      <c r="P48">
        <f t="shared" si="7"/>
        <v>0.66935912308650281</v>
      </c>
      <c r="Q48">
        <f t="shared" si="7"/>
        <v>-0.39049738533690537</v>
      </c>
      <c r="R48">
        <f t="shared" si="8"/>
        <v>0.62670833612895727</v>
      </c>
      <c r="W48" t="s">
        <v>36</v>
      </c>
    </row>
    <row r="49" spans="2:27" x14ac:dyDescent="0.25">
      <c r="B49" s="1">
        <v>2017</v>
      </c>
      <c r="C49" s="1"/>
      <c r="D49" s="1">
        <v>87693</v>
      </c>
      <c r="E49">
        <f t="shared" si="0"/>
        <v>11.381597357614821</v>
      </c>
      <c r="F49">
        <f t="shared" si="1"/>
        <v>-1.3624237396364887</v>
      </c>
      <c r="G49">
        <f t="shared" si="2"/>
        <v>-0.39952826389579243</v>
      </c>
      <c r="H49">
        <f t="shared" si="3"/>
        <v>-0.18449233443991453</v>
      </c>
      <c r="I49">
        <f t="shared" si="4"/>
        <v>1.1972045807427492</v>
      </c>
      <c r="J49">
        <f t="shared" si="5"/>
        <v>-1.0223910078032166</v>
      </c>
      <c r="K49">
        <f t="shared" si="6"/>
        <v>1.0208235460426458</v>
      </c>
      <c r="M49">
        <f t="shared" si="7"/>
        <v>-0.3058349003142169</v>
      </c>
      <c r="N49">
        <f t="shared" si="7"/>
        <v>1.6593155787867726</v>
      </c>
      <c r="O49">
        <f t="shared" si="7"/>
        <v>-2.0089185967153256</v>
      </c>
      <c r="P49">
        <f t="shared" si="7"/>
        <v>2.7125736769323652</v>
      </c>
      <c r="Q49">
        <f t="shared" si="7"/>
        <v>-2.1438681827455088</v>
      </c>
      <c r="R49">
        <f t="shared" si="8"/>
        <v>2.6234742431522675</v>
      </c>
      <c r="U49" t="s">
        <v>37</v>
      </c>
    </row>
    <row r="50" spans="2:27" x14ac:dyDescent="0.25">
      <c r="B50" s="1">
        <v>2018</v>
      </c>
      <c r="C50" s="1"/>
      <c r="D50" s="1">
        <v>193816</v>
      </c>
      <c r="E50">
        <f t="shared" si="0"/>
        <v>12.174664534370493</v>
      </c>
      <c r="F50">
        <f t="shared" si="1"/>
        <v>0.79306717675567207</v>
      </c>
      <c r="G50">
        <f t="shared" si="2"/>
        <v>-1.3624237396364887</v>
      </c>
      <c r="H50">
        <f t="shared" si="3"/>
        <v>-0.39952826389579243</v>
      </c>
      <c r="I50">
        <f t="shared" si="4"/>
        <v>-0.18449233443991453</v>
      </c>
      <c r="J50">
        <f t="shared" si="5"/>
        <v>1.1972045807427492</v>
      </c>
      <c r="K50">
        <f t="shared" si="6"/>
        <v>-1.0223910078032166</v>
      </c>
      <c r="M50">
        <f t="shared" si="7"/>
        <v>0.65706057542647933</v>
      </c>
      <c r="N50">
        <f t="shared" si="7"/>
        <v>1.8743515082426505</v>
      </c>
      <c r="O50">
        <f t="shared" si="7"/>
        <v>-0.62722168153266189</v>
      </c>
      <c r="P50">
        <f t="shared" si="7"/>
        <v>0.49297808838639945</v>
      </c>
      <c r="Q50">
        <f t="shared" si="7"/>
        <v>-0.10065362889964646</v>
      </c>
      <c r="R50">
        <f t="shared" si="8"/>
        <v>2.0828656255303497</v>
      </c>
      <c r="V50" t="s">
        <v>38</v>
      </c>
    </row>
    <row r="51" spans="2:27" x14ac:dyDescent="0.25">
      <c r="B51" s="1">
        <v>2019</v>
      </c>
      <c r="C51" s="1"/>
      <c r="D51" s="1">
        <v>63046</v>
      </c>
      <c r="E51">
        <f t="shared" si="0"/>
        <v>11.05161989766763</v>
      </c>
      <c r="F51">
        <f t="shared" si="1"/>
        <v>-1.123044636702863</v>
      </c>
      <c r="G51">
        <f t="shared" si="2"/>
        <v>0.79306717675567207</v>
      </c>
      <c r="H51">
        <f t="shared" si="3"/>
        <v>-1.3624237396364887</v>
      </c>
      <c r="I51">
        <f t="shared" si="4"/>
        <v>-0.39952826389579243</v>
      </c>
      <c r="J51">
        <f t="shared" si="5"/>
        <v>-0.18449233443991453</v>
      </c>
      <c r="K51">
        <f t="shared" si="6"/>
        <v>1.1972045807427492</v>
      </c>
      <c r="M51">
        <f t="shared" si="7"/>
        <v>-1.4984303409656814</v>
      </c>
      <c r="N51">
        <f t="shared" si="7"/>
        <v>2.8372469839833467</v>
      </c>
      <c r="O51">
        <f t="shared" si="7"/>
        <v>-0.41218575207678398</v>
      </c>
      <c r="P51">
        <f t="shared" si="7"/>
        <v>1.8746750035690631</v>
      </c>
      <c r="Q51">
        <f t="shared" si="7"/>
        <v>-2.3202492174456122</v>
      </c>
      <c r="R51">
        <f t="shared" si="8"/>
        <v>3.2349901126686968</v>
      </c>
      <c r="V51" t="s">
        <v>39</v>
      </c>
      <c r="Z51" s="2">
        <f>EXP(12.3)</f>
        <v>219695.9886721379</v>
      </c>
      <c r="AA51" t="s">
        <v>40</v>
      </c>
    </row>
    <row r="52" spans="2:27" x14ac:dyDescent="0.25">
      <c r="B52" s="1">
        <v>2020</v>
      </c>
      <c r="C52" s="1"/>
      <c r="D52" s="1">
        <v>341739</v>
      </c>
      <c r="E52">
        <f t="shared" si="0"/>
        <v>12.741802566796778</v>
      </c>
      <c r="F52">
        <f t="shared" si="1"/>
        <v>1.6901826691291486</v>
      </c>
      <c r="G52">
        <f t="shared" si="2"/>
        <v>-1.123044636702863</v>
      </c>
      <c r="H52">
        <f t="shared" si="3"/>
        <v>0.79306717675567207</v>
      </c>
      <c r="I52">
        <f t="shared" si="4"/>
        <v>-1.3624237396364887</v>
      </c>
      <c r="J52">
        <f t="shared" si="5"/>
        <v>-0.39952826389579243</v>
      </c>
      <c r="K52">
        <f t="shared" si="6"/>
        <v>-0.18449233443991453</v>
      </c>
      <c r="M52">
        <f t="shared" si="7"/>
        <v>0.4176814724928537</v>
      </c>
      <c r="N52">
        <f t="shared" si="7"/>
        <v>0.68175606759118601</v>
      </c>
      <c r="O52">
        <f t="shared" si="7"/>
        <v>0.55070972366391224</v>
      </c>
      <c r="P52">
        <f t="shared" si="7"/>
        <v>2.089710933024941</v>
      </c>
      <c r="Q52">
        <f t="shared" si="7"/>
        <v>-0.9385523022629485</v>
      </c>
      <c r="R52">
        <f t="shared" si="8"/>
        <v>0.97084002178483497</v>
      </c>
    </row>
    <row r="53" spans="2:27" x14ac:dyDescent="0.25">
      <c r="B53" s="1">
        <v>2021</v>
      </c>
      <c r="C53" s="1"/>
      <c r="D53" s="1">
        <v>151765</v>
      </c>
      <c r="E53">
        <f t="shared" si="0"/>
        <v>11.930088550824202</v>
      </c>
      <c r="F53">
        <f t="shared" si="1"/>
        <v>-0.81171401597257642</v>
      </c>
      <c r="G53">
        <f t="shared" si="2"/>
        <v>1.6901826691291486</v>
      </c>
      <c r="H53">
        <f t="shared" si="3"/>
        <v>-1.123044636702863</v>
      </c>
      <c r="I53">
        <f t="shared" si="4"/>
        <v>0.79306717675567207</v>
      </c>
      <c r="J53">
        <f t="shared" si="5"/>
        <v>-1.3624237396364887</v>
      </c>
      <c r="K53">
        <f t="shared" si="6"/>
        <v>-0.39952826389579243</v>
      </c>
      <c r="M53">
        <f t="shared" si="7"/>
        <v>-2.3955458333391579</v>
      </c>
      <c r="N53">
        <f t="shared" si="7"/>
        <v>2.5978678810497211</v>
      </c>
      <c r="O53">
        <f t="shared" si="7"/>
        <v>-1.6047811927282485</v>
      </c>
      <c r="P53">
        <f t="shared" si="7"/>
        <v>3.0526064087656373</v>
      </c>
      <c r="Q53">
        <f t="shared" si="7"/>
        <v>-0.7235163728070706</v>
      </c>
      <c r="R53">
        <f t="shared" si="8"/>
        <v>3.881092635270726</v>
      </c>
      <c r="U53" s="2" t="s">
        <v>47</v>
      </c>
    </row>
    <row r="54" spans="2:27" x14ac:dyDescent="0.25">
      <c r="B54" s="1">
        <v>2022</v>
      </c>
      <c r="C54" s="1"/>
      <c r="D54" s="1">
        <v>663253</v>
      </c>
      <c r="E54">
        <f t="shared" si="0"/>
        <v>13.40491179517106</v>
      </c>
      <c r="F54">
        <f t="shared" si="1"/>
        <v>1.4748232443468581</v>
      </c>
      <c r="G54">
        <f t="shared" si="2"/>
        <v>-0.81171401597257642</v>
      </c>
      <c r="H54">
        <f t="shared" si="3"/>
        <v>1.6901826691291486</v>
      </c>
      <c r="I54">
        <f t="shared" si="4"/>
        <v>-1.123044636702863</v>
      </c>
      <c r="J54">
        <f t="shared" si="5"/>
        <v>0.79306717675567207</v>
      </c>
      <c r="K54">
        <f t="shared" si="6"/>
        <v>-1.3624237396364887</v>
      </c>
      <c r="M54">
        <f t="shared" si="7"/>
        <v>0.10635085176256709</v>
      </c>
      <c r="N54">
        <f t="shared" si="7"/>
        <v>-0.21535942478229053</v>
      </c>
      <c r="O54">
        <f t="shared" si="7"/>
        <v>0.31133062073028661</v>
      </c>
      <c r="P54">
        <f t="shared" si="7"/>
        <v>0.89711549237347654</v>
      </c>
      <c r="Q54">
        <f t="shared" si="7"/>
        <v>0.23937910293362563</v>
      </c>
      <c r="R54">
        <f t="shared" si="8"/>
        <v>0.39321360723846799</v>
      </c>
      <c r="U54" s="2" t="s">
        <v>48</v>
      </c>
    </row>
    <row r="55" spans="2:27" x14ac:dyDescent="0.25">
      <c r="B55" s="1">
        <v>2023</v>
      </c>
      <c r="C55" s="1"/>
      <c r="D55" s="1">
        <v>327600</v>
      </c>
      <c r="E55">
        <f t="shared" si="0"/>
        <v>12.699548630961051</v>
      </c>
      <c r="F55">
        <f t="shared" si="1"/>
        <v>-0.70536316421000933</v>
      </c>
      <c r="G55">
        <f t="shared" si="2"/>
        <v>1.4748232443468581</v>
      </c>
      <c r="H55">
        <f t="shared" si="3"/>
        <v>-0.81171401597257642</v>
      </c>
      <c r="I55">
        <f t="shared" si="4"/>
        <v>1.6901826691291486</v>
      </c>
      <c r="J55">
        <f t="shared" si="5"/>
        <v>-1.123044636702863</v>
      </c>
      <c r="K55">
        <f t="shared" si="6"/>
        <v>0.79306717675567207</v>
      </c>
      <c r="M55">
        <f t="shared" si="7"/>
        <v>-2.1801864085568674</v>
      </c>
      <c r="N55">
        <f t="shared" si="7"/>
        <v>2.2865372603194345</v>
      </c>
      <c r="O55">
        <f t="shared" si="7"/>
        <v>-2.501896685101725</v>
      </c>
      <c r="P55">
        <f t="shared" si="7"/>
        <v>2.8132273058320116</v>
      </c>
      <c r="Q55">
        <f t="shared" si="7"/>
        <v>-1.9161118134585351</v>
      </c>
      <c r="R55">
        <f t="shared" si="8"/>
        <v>4.0300065064225636</v>
      </c>
    </row>
    <row r="56" spans="2:27" x14ac:dyDescent="0.25">
      <c r="B56" s="1">
        <v>2024</v>
      </c>
      <c r="D56" s="2">
        <v>755909</v>
      </c>
      <c r="E56" s="2">
        <f t="shared" si="0"/>
        <v>13.535676277546205</v>
      </c>
      <c r="F56" s="2">
        <f t="shared" si="1"/>
        <v>0.83612764658515459</v>
      </c>
      <c r="G56">
        <f t="shared" si="2"/>
        <v>-0.70536316421000933</v>
      </c>
      <c r="H56">
        <f t="shared" si="3"/>
        <v>1.4748232443468581</v>
      </c>
      <c r="I56">
        <f t="shared" si="4"/>
        <v>-0.81171401597257642</v>
      </c>
      <c r="J56">
        <f t="shared" si="5"/>
        <v>1.6901826691291486</v>
      </c>
      <c r="K56">
        <f t="shared" si="6"/>
        <v>-1.123044636702863</v>
      </c>
      <c r="M56">
        <f t="shared" si="7"/>
        <v>0</v>
      </c>
      <c r="N56">
        <f t="shared" si="7"/>
        <v>0</v>
      </c>
      <c r="O56">
        <f t="shared" si="7"/>
        <v>0</v>
      </c>
      <c r="P56">
        <f t="shared" si="7"/>
        <v>0</v>
      </c>
      <c r="Q56">
        <f t="shared" si="7"/>
        <v>0</v>
      </c>
      <c r="R56">
        <f t="shared" si="8"/>
        <v>0</v>
      </c>
    </row>
    <row r="57" spans="2:27" x14ac:dyDescent="0.25">
      <c r="B57" s="1"/>
      <c r="C57" s="1"/>
      <c r="D57" s="1"/>
    </row>
    <row r="58" spans="2:27" x14ac:dyDescent="0.25">
      <c r="B58" s="1"/>
      <c r="C58" s="1"/>
      <c r="D58" s="1"/>
    </row>
    <row r="59" spans="2:27" x14ac:dyDescent="0.25">
      <c r="B59" s="1"/>
      <c r="C59" s="1"/>
      <c r="D59" s="1"/>
    </row>
    <row r="60" spans="2:27" x14ac:dyDescent="0.25">
      <c r="B60" s="1"/>
      <c r="C60" s="1"/>
      <c r="D60" s="1"/>
    </row>
    <row r="61" spans="2:27" x14ac:dyDescent="0.25">
      <c r="B61" s="1"/>
      <c r="C61" s="1"/>
      <c r="D61" s="1"/>
    </row>
    <row r="62" spans="2:27" x14ac:dyDescent="0.25">
      <c r="B62" s="1"/>
      <c r="C62" s="1"/>
      <c r="D62" s="1"/>
    </row>
    <row r="63" spans="2:27" x14ac:dyDescent="0.25">
      <c r="B63" s="1"/>
      <c r="C63" s="1"/>
      <c r="D63" s="1"/>
    </row>
    <row r="64" spans="2:27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  <row r="90" spans="2:4" x14ac:dyDescent="0.25">
      <c r="B90" s="1"/>
      <c r="C90" s="1"/>
      <c r="D90" s="1"/>
    </row>
    <row r="91" spans="2:4" x14ac:dyDescent="0.25">
      <c r="B91" s="1"/>
      <c r="C91" s="1"/>
      <c r="D91" s="1"/>
    </row>
    <row r="92" spans="2:4" x14ac:dyDescent="0.25">
      <c r="B92" s="1"/>
      <c r="C92" s="1"/>
      <c r="D9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1B5D-D4A9-4091-9903-6680392924CD}">
  <dimension ref="A1:X56"/>
  <sheetViews>
    <sheetView topLeftCell="H20" workbookViewId="0">
      <selection activeCell="Q60" sqref="Q60"/>
    </sheetView>
  </sheetViews>
  <sheetFormatPr defaultRowHeight="15" x14ac:dyDescent="0.25"/>
  <sheetData>
    <row r="1" spans="1:15" x14ac:dyDescent="0.25">
      <c r="A1" s="8" t="s">
        <v>64</v>
      </c>
    </row>
    <row r="3" spans="1:15" ht="31.5" x14ac:dyDescent="0.25">
      <c r="A3" s="9" t="s">
        <v>65</v>
      </c>
    </row>
    <row r="5" spans="1:15" x14ac:dyDescent="0.25">
      <c r="A5" s="10" t="s">
        <v>66</v>
      </c>
    </row>
    <row r="7" spans="1:15" ht="18" x14ac:dyDescent="0.25">
      <c r="A7" s="11" t="s">
        <v>67</v>
      </c>
    </row>
    <row r="9" spans="1:15" x14ac:dyDescent="0.25">
      <c r="A9" t="s">
        <v>68</v>
      </c>
    </row>
    <row r="10" spans="1:15" ht="15.75" thickBot="1" x14ac:dyDescent="0.3"/>
    <row r="11" spans="1:15" ht="15.75" thickBot="1" x14ac:dyDescent="0.3">
      <c r="A11" s="12" t="s">
        <v>69</v>
      </c>
      <c r="B11" s="13"/>
      <c r="C11" s="13"/>
      <c r="D11" s="13"/>
      <c r="E11" s="13"/>
      <c r="O11" t="s">
        <v>80</v>
      </c>
    </row>
    <row r="12" spans="1:15" x14ac:dyDescent="0.25">
      <c r="B12" t="s">
        <v>82</v>
      </c>
      <c r="O12" t="s">
        <v>81</v>
      </c>
    </row>
    <row r="13" spans="1:15" x14ac:dyDescent="0.25">
      <c r="A13" s="3"/>
      <c r="B13" t="s">
        <v>41</v>
      </c>
      <c r="C13" t="s">
        <v>42</v>
      </c>
      <c r="D13" t="s">
        <v>43</v>
      </c>
      <c r="E13" t="s">
        <v>44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76</v>
      </c>
      <c r="M13" t="s">
        <v>77</v>
      </c>
    </row>
    <row r="14" spans="1:15" x14ac:dyDescent="0.25">
      <c r="A14">
        <v>1</v>
      </c>
      <c r="B14" t="s">
        <v>45</v>
      </c>
      <c r="C14" t="s">
        <v>46</v>
      </c>
      <c r="D14">
        <v>1985</v>
      </c>
      <c r="E14">
        <v>166340</v>
      </c>
      <c r="F14">
        <v>1461</v>
      </c>
      <c r="G14">
        <v>150419</v>
      </c>
      <c r="H14">
        <v>1732</v>
      </c>
      <c r="I14">
        <v>585</v>
      </c>
      <c r="J14">
        <v>12143</v>
      </c>
      <c r="K14">
        <v>0</v>
      </c>
      <c r="L14">
        <v>0</v>
      </c>
      <c r="M14">
        <v>0</v>
      </c>
    </row>
    <row r="15" spans="1:15" x14ac:dyDescent="0.25">
      <c r="A15">
        <v>2</v>
      </c>
      <c r="B15" t="s">
        <v>45</v>
      </c>
      <c r="C15" t="s">
        <v>46</v>
      </c>
      <c r="D15">
        <v>1986</v>
      </c>
      <c r="E15">
        <v>58123</v>
      </c>
      <c r="F15">
        <v>24062</v>
      </c>
      <c r="G15">
        <v>21928</v>
      </c>
      <c r="H15">
        <v>9094</v>
      </c>
      <c r="I15">
        <v>510</v>
      </c>
      <c r="J15">
        <v>2371</v>
      </c>
      <c r="K15">
        <v>158</v>
      </c>
      <c r="L15">
        <v>0</v>
      </c>
      <c r="M15">
        <v>0</v>
      </c>
      <c r="O15">
        <f>F14</f>
        <v>1461</v>
      </c>
    </row>
    <row r="16" spans="1:15" x14ac:dyDescent="0.25">
      <c r="A16">
        <v>3</v>
      </c>
      <c r="B16" t="s">
        <v>45</v>
      </c>
      <c r="C16" t="s">
        <v>46</v>
      </c>
      <c r="D16">
        <v>1987</v>
      </c>
      <c r="E16">
        <v>116993</v>
      </c>
      <c r="F16">
        <v>22999</v>
      </c>
      <c r="G16">
        <v>76905</v>
      </c>
      <c r="H16">
        <v>2611</v>
      </c>
      <c r="I16">
        <v>1673</v>
      </c>
      <c r="J16">
        <v>12805</v>
      </c>
      <c r="K16">
        <v>0</v>
      </c>
      <c r="L16">
        <v>0</v>
      </c>
      <c r="M16">
        <v>0</v>
      </c>
      <c r="O16">
        <f t="shared" ref="O16:O54" si="0">F15</f>
        <v>24062</v>
      </c>
    </row>
    <row r="17" spans="1:18" x14ac:dyDescent="0.25">
      <c r="A17">
        <v>4</v>
      </c>
      <c r="B17" t="s">
        <v>45</v>
      </c>
      <c r="C17" t="s">
        <v>46</v>
      </c>
      <c r="D17">
        <v>1988</v>
      </c>
      <c r="E17">
        <v>79714</v>
      </c>
      <c r="F17">
        <v>547</v>
      </c>
      <c r="G17">
        <v>58466</v>
      </c>
      <c r="H17">
        <v>13259</v>
      </c>
      <c r="I17">
        <v>2057</v>
      </c>
      <c r="J17">
        <v>5384</v>
      </c>
      <c r="K17">
        <v>0</v>
      </c>
      <c r="L17">
        <v>0</v>
      </c>
      <c r="M17">
        <v>0</v>
      </c>
      <c r="O17">
        <f t="shared" si="0"/>
        <v>22999</v>
      </c>
    </row>
    <row r="18" spans="1:18" x14ac:dyDescent="0.25">
      <c r="A18">
        <v>5</v>
      </c>
      <c r="B18" t="s">
        <v>45</v>
      </c>
      <c r="C18" t="s">
        <v>46</v>
      </c>
      <c r="D18">
        <v>1989</v>
      </c>
      <c r="E18">
        <v>41884</v>
      </c>
      <c r="F18">
        <v>298</v>
      </c>
      <c r="G18">
        <v>33993</v>
      </c>
      <c r="H18">
        <v>3809</v>
      </c>
      <c r="I18">
        <v>523</v>
      </c>
      <c r="J18">
        <v>3052</v>
      </c>
      <c r="K18">
        <v>210</v>
      </c>
      <c r="L18">
        <v>0</v>
      </c>
      <c r="M18">
        <v>0</v>
      </c>
      <c r="O18">
        <f t="shared" si="0"/>
        <v>547</v>
      </c>
    </row>
    <row r="19" spans="1:18" x14ac:dyDescent="0.25">
      <c r="A19">
        <v>6</v>
      </c>
      <c r="B19" t="s">
        <v>45</v>
      </c>
      <c r="C19" t="s">
        <v>46</v>
      </c>
      <c r="D19">
        <v>1990</v>
      </c>
      <c r="E19">
        <v>49581</v>
      </c>
      <c r="F19">
        <v>7260</v>
      </c>
      <c r="G19">
        <v>29089</v>
      </c>
      <c r="H19">
        <v>5001</v>
      </c>
      <c r="I19">
        <v>393</v>
      </c>
      <c r="J19">
        <v>7681</v>
      </c>
      <c r="K19">
        <v>157</v>
      </c>
      <c r="L19">
        <v>0</v>
      </c>
      <c r="M19">
        <v>0</v>
      </c>
      <c r="O19">
        <f t="shared" si="0"/>
        <v>298</v>
      </c>
    </row>
    <row r="20" spans="1:18" x14ac:dyDescent="0.25">
      <c r="A20">
        <v>7</v>
      </c>
      <c r="B20" t="s">
        <v>45</v>
      </c>
      <c r="C20" t="s">
        <v>46</v>
      </c>
      <c r="D20">
        <v>1991</v>
      </c>
      <c r="E20">
        <v>76481</v>
      </c>
      <c r="F20">
        <v>4072</v>
      </c>
      <c r="G20">
        <v>56355</v>
      </c>
      <c r="H20">
        <v>13678</v>
      </c>
      <c r="I20">
        <v>1958</v>
      </c>
      <c r="J20">
        <v>342</v>
      </c>
      <c r="K20">
        <v>76</v>
      </c>
      <c r="L20">
        <v>0</v>
      </c>
      <c r="M20">
        <v>0</v>
      </c>
      <c r="O20">
        <f t="shared" si="0"/>
        <v>7260</v>
      </c>
    </row>
    <row r="21" spans="1:18" x14ac:dyDescent="0.25">
      <c r="A21">
        <v>8</v>
      </c>
      <c r="B21" t="s">
        <v>45</v>
      </c>
      <c r="C21" t="s">
        <v>46</v>
      </c>
      <c r="D21">
        <v>1992</v>
      </c>
      <c r="E21">
        <v>84992</v>
      </c>
      <c r="F21">
        <v>5170</v>
      </c>
      <c r="G21">
        <v>56044</v>
      </c>
      <c r="H21">
        <v>5755</v>
      </c>
      <c r="I21">
        <v>2894</v>
      </c>
      <c r="J21">
        <v>15129</v>
      </c>
      <c r="K21">
        <v>0</v>
      </c>
      <c r="L21">
        <v>0</v>
      </c>
      <c r="M21">
        <v>0</v>
      </c>
      <c r="O21">
        <f t="shared" si="0"/>
        <v>4072</v>
      </c>
    </row>
    <row r="22" spans="1:18" x14ac:dyDescent="0.25">
      <c r="A22">
        <v>9</v>
      </c>
      <c r="B22" t="s">
        <v>45</v>
      </c>
      <c r="C22" t="s">
        <v>46</v>
      </c>
      <c r="D22">
        <v>1993</v>
      </c>
      <c r="E22">
        <v>80178</v>
      </c>
      <c r="F22">
        <v>1</v>
      </c>
      <c r="G22">
        <v>65510</v>
      </c>
      <c r="H22">
        <v>8043</v>
      </c>
      <c r="I22">
        <v>0</v>
      </c>
      <c r="J22">
        <v>5640</v>
      </c>
      <c r="K22">
        <v>984</v>
      </c>
      <c r="L22">
        <v>0</v>
      </c>
      <c r="M22">
        <v>0</v>
      </c>
      <c r="O22">
        <f t="shared" si="0"/>
        <v>5170</v>
      </c>
    </row>
    <row r="23" spans="1:18" x14ac:dyDescent="0.25">
      <c r="A23">
        <v>10</v>
      </c>
      <c r="B23" t="s">
        <v>45</v>
      </c>
      <c r="C23" t="s">
        <v>46</v>
      </c>
      <c r="D23">
        <v>1994</v>
      </c>
      <c r="E23">
        <v>12678</v>
      </c>
      <c r="F23">
        <v>440</v>
      </c>
      <c r="G23">
        <v>1899</v>
      </c>
      <c r="H23">
        <v>8583</v>
      </c>
      <c r="I23">
        <v>146</v>
      </c>
      <c r="J23">
        <v>1503</v>
      </c>
      <c r="K23">
        <v>106</v>
      </c>
      <c r="L23">
        <v>0</v>
      </c>
      <c r="M23">
        <v>0</v>
      </c>
      <c r="O23">
        <f t="shared" si="0"/>
        <v>1</v>
      </c>
    </row>
    <row r="24" spans="1:18" x14ac:dyDescent="0.25">
      <c r="A24">
        <v>11</v>
      </c>
      <c r="B24" t="s">
        <v>45</v>
      </c>
      <c r="C24" t="s">
        <v>46</v>
      </c>
      <c r="D24">
        <v>1995</v>
      </c>
      <c r="E24">
        <v>8774</v>
      </c>
      <c r="F24">
        <v>2451</v>
      </c>
      <c r="G24">
        <v>4860</v>
      </c>
      <c r="H24">
        <v>303</v>
      </c>
      <c r="I24">
        <v>764</v>
      </c>
      <c r="J24">
        <v>259</v>
      </c>
      <c r="K24">
        <v>95</v>
      </c>
      <c r="L24">
        <v>0</v>
      </c>
      <c r="M24">
        <v>0</v>
      </c>
      <c r="O24">
        <f t="shared" si="0"/>
        <v>440</v>
      </c>
    </row>
    <row r="25" spans="1:18" x14ac:dyDescent="0.25">
      <c r="A25">
        <v>12</v>
      </c>
      <c r="B25" t="s">
        <v>45</v>
      </c>
      <c r="C25" t="s">
        <v>46</v>
      </c>
      <c r="D25">
        <v>1996</v>
      </c>
      <c r="E25">
        <v>30232</v>
      </c>
      <c r="F25">
        <v>534</v>
      </c>
      <c r="G25">
        <v>26262</v>
      </c>
      <c r="H25">
        <v>1095</v>
      </c>
      <c r="I25">
        <v>232</v>
      </c>
      <c r="J25">
        <v>2110</v>
      </c>
      <c r="K25">
        <v>0</v>
      </c>
      <c r="L25">
        <v>0</v>
      </c>
      <c r="M25">
        <v>0</v>
      </c>
      <c r="O25">
        <f t="shared" si="0"/>
        <v>2451</v>
      </c>
    </row>
    <row r="26" spans="1:18" x14ac:dyDescent="0.25">
      <c r="A26">
        <v>13</v>
      </c>
      <c r="B26" t="s">
        <v>45</v>
      </c>
      <c r="C26" t="s">
        <v>46</v>
      </c>
      <c r="D26">
        <v>1997</v>
      </c>
      <c r="E26">
        <v>47008</v>
      </c>
      <c r="F26">
        <v>315</v>
      </c>
      <c r="G26">
        <v>41379</v>
      </c>
      <c r="H26">
        <v>2333</v>
      </c>
      <c r="I26">
        <v>298</v>
      </c>
      <c r="J26">
        <v>2343</v>
      </c>
      <c r="K26">
        <v>341</v>
      </c>
      <c r="L26">
        <v>0</v>
      </c>
      <c r="M26">
        <v>0</v>
      </c>
      <c r="O26">
        <f t="shared" si="0"/>
        <v>534</v>
      </c>
    </row>
    <row r="27" spans="1:18" x14ac:dyDescent="0.25">
      <c r="A27">
        <v>14</v>
      </c>
      <c r="B27" t="s">
        <v>45</v>
      </c>
      <c r="C27" t="s">
        <v>46</v>
      </c>
      <c r="D27">
        <v>1998</v>
      </c>
      <c r="E27">
        <v>13218</v>
      </c>
      <c r="F27">
        <v>2939</v>
      </c>
      <c r="G27">
        <v>1373</v>
      </c>
      <c r="H27">
        <v>7485</v>
      </c>
      <c r="I27">
        <v>194</v>
      </c>
      <c r="J27">
        <v>1158</v>
      </c>
      <c r="K27">
        <v>70</v>
      </c>
      <c r="L27">
        <v>0</v>
      </c>
      <c r="M27">
        <v>0</v>
      </c>
      <c r="O27">
        <f t="shared" si="0"/>
        <v>315</v>
      </c>
    </row>
    <row r="28" spans="1:18" x14ac:dyDescent="0.25">
      <c r="A28">
        <v>15</v>
      </c>
      <c r="B28" t="s">
        <v>45</v>
      </c>
      <c r="C28" t="s">
        <v>46</v>
      </c>
      <c r="D28">
        <v>1999</v>
      </c>
      <c r="E28">
        <v>17877</v>
      </c>
      <c r="F28">
        <v>1558</v>
      </c>
      <c r="G28">
        <v>14403</v>
      </c>
      <c r="H28">
        <v>559</v>
      </c>
      <c r="I28">
        <v>466</v>
      </c>
      <c r="J28">
        <v>760</v>
      </c>
      <c r="K28">
        <v>130</v>
      </c>
      <c r="L28">
        <v>0</v>
      </c>
      <c r="M28">
        <v>0</v>
      </c>
      <c r="O28">
        <f t="shared" si="0"/>
        <v>2939</v>
      </c>
    </row>
    <row r="29" spans="1:18" x14ac:dyDescent="0.25">
      <c r="A29">
        <v>16</v>
      </c>
      <c r="B29" t="s">
        <v>45</v>
      </c>
      <c r="C29" t="s">
        <v>46</v>
      </c>
      <c r="D29">
        <v>2000</v>
      </c>
      <c r="E29">
        <v>93398</v>
      </c>
      <c r="F29">
        <v>3825</v>
      </c>
      <c r="G29">
        <v>88006</v>
      </c>
      <c r="H29">
        <v>598</v>
      </c>
      <c r="I29">
        <v>427</v>
      </c>
      <c r="J29">
        <v>424</v>
      </c>
      <c r="K29">
        <v>118</v>
      </c>
      <c r="L29">
        <v>0</v>
      </c>
      <c r="M29">
        <v>0</v>
      </c>
      <c r="O29">
        <f t="shared" si="0"/>
        <v>1558</v>
      </c>
    </row>
    <row r="30" spans="1:18" x14ac:dyDescent="0.25">
      <c r="A30">
        <v>17</v>
      </c>
      <c r="B30" t="s">
        <v>45</v>
      </c>
      <c r="C30" t="s">
        <v>46</v>
      </c>
      <c r="D30">
        <v>2001</v>
      </c>
      <c r="E30">
        <v>114934</v>
      </c>
      <c r="F30">
        <v>1171</v>
      </c>
      <c r="G30">
        <v>92046</v>
      </c>
      <c r="H30">
        <v>12394</v>
      </c>
      <c r="I30">
        <v>513</v>
      </c>
      <c r="J30">
        <v>8810</v>
      </c>
      <c r="K30">
        <v>0</v>
      </c>
      <c r="L30">
        <v>0</v>
      </c>
      <c r="M30">
        <v>0</v>
      </c>
      <c r="O30">
        <f t="shared" si="0"/>
        <v>3825</v>
      </c>
      <c r="R30" t="s">
        <v>112</v>
      </c>
    </row>
    <row r="31" spans="1:18" x14ac:dyDescent="0.25">
      <c r="A31">
        <v>18</v>
      </c>
      <c r="B31" t="s">
        <v>45</v>
      </c>
      <c r="C31" t="s">
        <v>46</v>
      </c>
      <c r="D31">
        <v>2002</v>
      </c>
      <c r="E31">
        <v>49610</v>
      </c>
      <c r="F31">
        <v>458</v>
      </c>
      <c r="G31">
        <v>19533</v>
      </c>
      <c r="H31">
        <v>6887</v>
      </c>
      <c r="I31">
        <v>116</v>
      </c>
      <c r="J31">
        <v>20446</v>
      </c>
      <c r="K31">
        <v>508</v>
      </c>
      <c r="L31">
        <v>46</v>
      </c>
      <c r="M31">
        <v>1425</v>
      </c>
      <c r="O31">
        <f t="shared" si="0"/>
        <v>1171</v>
      </c>
    </row>
    <row r="32" spans="1:18" x14ac:dyDescent="0.25">
      <c r="A32">
        <v>19</v>
      </c>
      <c r="B32" t="s">
        <v>45</v>
      </c>
      <c r="C32" t="s">
        <v>46</v>
      </c>
      <c r="D32">
        <v>2003</v>
      </c>
      <c r="E32">
        <v>39291</v>
      </c>
      <c r="F32">
        <v>9713</v>
      </c>
      <c r="G32">
        <v>12359</v>
      </c>
      <c r="H32">
        <v>6025</v>
      </c>
      <c r="I32">
        <v>2373</v>
      </c>
      <c r="J32">
        <v>492</v>
      </c>
      <c r="K32">
        <v>343</v>
      </c>
      <c r="L32">
        <v>5230</v>
      </c>
      <c r="M32">
        <v>806</v>
      </c>
      <c r="O32">
        <f t="shared" si="0"/>
        <v>458</v>
      </c>
    </row>
    <row r="33" spans="1:22" x14ac:dyDescent="0.25">
      <c r="A33">
        <v>20</v>
      </c>
      <c r="B33" t="s">
        <v>45</v>
      </c>
      <c r="C33" t="s">
        <v>46</v>
      </c>
      <c r="D33">
        <v>2004</v>
      </c>
      <c r="E33">
        <v>123291</v>
      </c>
      <c r="F33">
        <v>1218</v>
      </c>
      <c r="G33">
        <v>120481</v>
      </c>
      <c r="H33">
        <v>337</v>
      </c>
      <c r="I33">
        <v>0</v>
      </c>
      <c r="J33">
        <v>784</v>
      </c>
      <c r="K33">
        <v>235</v>
      </c>
      <c r="L33">
        <v>235</v>
      </c>
      <c r="M33">
        <v>0</v>
      </c>
      <c r="O33">
        <f t="shared" si="0"/>
        <v>9713</v>
      </c>
    </row>
    <row r="34" spans="1:22" x14ac:dyDescent="0.25">
      <c r="A34">
        <v>21</v>
      </c>
      <c r="B34" t="s">
        <v>45</v>
      </c>
      <c r="C34" t="s">
        <v>46</v>
      </c>
      <c r="D34">
        <v>2005</v>
      </c>
      <c r="E34">
        <v>72971</v>
      </c>
      <c r="F34">
        <v>804</v>
      </c>
      <c r="G34">
        <v>64751</v>
      </c>
      <c r="H34">
        <v>5447</v>
      </c>
      <c r="I34">
        <v>783</v>
      </c>
      <c r="J34">
        <v>483</v>
      </c>
      <c r="K34">
        <v>0</v>
      </c>
      <c r="L34">
        <v>287</v>
      </c>
      <c r="M34">
        <v>267</v>
      </c>
      <c r="O34">
        <f t="shared" si="0"/>
        <v>1218</v>
      </c>
    </row>
    <row r="35" spans="1:22" x14ac:dyDescent="0.25">
      <c r="A35">
        <v>22</v>
      </c>
      <c r="B35" t="s">
        <v>45</v>
      </c>
      <c r="C35" t="s">
        <v>46</v>
      </c>
      <c r="D35">
        <v>2006</v>
      </c>
      <c r="E35">
        <v>37066</v>
      </c>
      <c r="F35">
        <v>201</v>
      </c>
      <c r="G35">
        <v>23338</v>
      </c>
      <c r="H35">
        <v>6815</v>
      </c>
      <c r="I35">
        <v>734</v>
      </c>
      <c r="J35">
        <v>5359</v>
      </c>
      <c r="K35">
        <v>104</v>
      </c>
      <c r="L35">
        <v>515</v>
      </c>
      <c r="M35">
        <v>0</v>
      </c>
      <c r="O35">
        <f t="shared" si="0"/>
        <v>804</v>
      </c>
    </row>
    <row r="36" spans="1:22" x14ac:dyDescent="0.25">
      <c r="A36">
        <v>23</v>
      </c>
      <c r="B36" t="s">
        <v>45</v>
      </c>
      <c r="C36" t="s">
        <v>46</v>
      </c>
      <c r="D36">
        <v>2007</v>
      </c>
      <c r="E36">
        <v>24376</v>
      </c>
      <c r="F36">
        <v>9734</v>
      </c>
      <c r="G36">
        <v>7226</v>
      </c>
      <c r="H36">
        <v>2665</v>
      </c>
      <c r="I36">
        <v>1482</v>
      </c>
      <c r="J36">
        <v>2660</v>
      </c>
      <c r="K36">
        <v>610</v>
      </c>
      <c r="L36">
        <v>0</v>
      </c>
      <c r="M36">
        <v>0</v>
      </c>
      <c r="O36">
        <f t="shared" si="0"/>
        <v>201</v>
      </c>
    </row>
    <row r="37" spans="1:22" x14ac:dyDescent="0.25">
      <c r="A37">
        <v>24</v>
      </c>
      <c r="B37" t="s">
        <v>45</v>
      </c>
      <c r="C37" t="s">
        <v>46</v>
      </c>
      <c r="D37">
        <v>2008</v>
      </c>
      <c r="E37">
        <v>213607</v>
      </c>
      <c r="F37">
        <v>15260</v>
      </c>
      <c r="G37">
        <v>186773</v>
      </c>
      <c r="H37">
        <v>1080</v>
      </c>
      <c r="I37">
        <v>3687</v>
      </c>
      <c r="J37">
        <v>6530</v>
      </c>
      <c r="K37">
        <v>278</v>
      </c>
      <c r="L37">
        <v>0</v>
      </c>
      <c r="M37">
        <v>0</v>
      </c>
      <c r="O37">
        <f t="shared" si="0"/>
        <v>9734</v>
      </c>
    </row>
    <row r="38" spans="1:22" x14ac:dyDescent="0.25">
      <c r="A38">
        <v>25</v>
      </c>
      <c r="B38" t="s">
        <v>45</v>
      </c>
      <c r="C38" t="s">
        <v>46</v>
      </c>
      <c r="D38">
        <v>2009</v>
      </c>
      <c r="E38">
        <v>177823</v>
      </c>
      <c r="F38">
        <v>18137</v>
      </c>
      <c r="G38">
        <v>140752</v>
      </c>
      <c r="H38">
        <v>10593</v>
      </c>
      <c r="I38">
        <v>1758</v>
      </c>
      <c r="J38">
        <v>6457</v>
      </c>
      <c r="K38">
        <v>126</v>
      </c>
      <c r="L38">
        <v>0</v>
      </c>
      <c r="M38">
        <v>0</v>
      </c>
      <c r="O38">
        <f t="shared" si="0"/>
        <v>15260</v>
      </c>
    </row>
    <row r="39" spans="1:22" x14ac:dyDescent="0.25">
      <c r="A39">
        <v>26</v>
      </c>
      <c r="B39" t="s">
        <v>45</v>
      </c>
      <c r="C39" t="s">
        <v>46</v>
      </c>
      <c r="D39">
        <v>2010</v>
      </c>
      <c r="E39">
        <v>386525</v>
      </c>
      <c r="F39">
        <v>6178</v>
      </c>
      <c r="G39">
        <v>357747</v>
      </c>
      <c r="H39">
        <v>10030</v>
      </c>
      <c r="I39">
        <v>1413</v>
      </c>
      <c r="J39">
        <v>11156</v>
      </c>
      <c r="K39">
        <v>0</v>
      </c>
      <c r="L39">
        <v>0</v>
      </c>
      <c r="M39">
        <v>0</v>
      </c>
      <c r="O39">
        <f t="shared" si="0"/>
        <v>18137</v>
      </c>
    </row>
    <row r="40" spans="1:22" x14ac:dyDescent="0.25">
      <c r="A40">
        <v>27</v>
      </c>
      <c r="B40" t="s">
        <v>45</v>
      </c>
      <c r="C40" t="s">
        <v>46</v>
      </c>
      <c r="D40">
        <v>2011</v>
      </c>
      <c r="E40">
        <v>185796</v>
      </c>
      <c r="F40">
        <v>32729</v>
      </c>
      <c r="G40">
        <v>120868</v>
      </c>
      <c r="H40">
        <v>20655</v>
      </c>
      <c r="I40">
        <v>3721</v>
      </c>
      <c r="J40">
        <v>7639</v>
      </c>
      <c r="K40">
        <v>184</v>
      </c>
      <c r="L40">
        <v>0</v>
      </c>
      <c r="M40">
        <v>0</v>
      </c>
      <c r="O40">
        <f t="shared" si="0"/>
        <v>6178</v>
      </c>
    </row>
    <row r="41" spans="1:22" x14ac:dyDescent="0.25">
      <c r="A41">
        <v>28</v>
      </c>
      <c r="B41" t="s">
        <v>45</v>
      </c>
      <c r="C41" t="s">
        <v>46</v>
      </c>
      <c r="D41">
        <v>2012</v>
      </c>
      <c r="E41">
        <v>515673</v>
      </c>
      <c r="F41">
        <v>6637</v>
      </c>
      <c r="G41">
        <v>494616</v>
      </c>
      <c r="H41">
        <v>6391</v>
      </c>
      <c r="I41">
        <v>2475</v>
      </c>
      <c r="J41">
        <v>5092</v>
      </c>
      <c r="K41">
        <v>0</v>
      </c>
      <c r="L41">
        <v>0</v>
      </c>
      <c r="M41">
        <v>286</v>
      </c>
      <c r="O41">
        <f t="shared" si="0"/>
        <v>32729</v>
      </c>
    </row>
    <row r="42" spans="1:22" x14ac:dyDescent="0.25">
      <c r="A42">
        <v>29</v>
      </c>
      <c r="B42" t="s">
        <v>45</v>
      </c>
      <c r="C42" t="s">
        <v>46</v>
      </c>
      <c r="D42">
        <v>2013</v>
      </c>
      <c r="E42">
        <v>185505</v>
      </c>
      <c r="F42">
        <v>32198</v>
      </c>
      <c r="G42">
        <v>116445</v>
      </c>
      <c r="H42">
        <v>24784</v>
      </c>
      <c r="I42">
        <v>889</v>
      </c>
      <c r="J42">
        <v>11190</v>
      </c>
      <c r="K42">
        <v>0</v>
      </c>
      <c r="L42">
        <v>0</v>
      </c>
      <c r="M42">
        <v>0</v>
      </c>
      <c r="O42">
        <f t="shared" si="0"/>
        <v>6637</v>
      </c>
    </row>
    <row r="43" spans="1:22" x14ac:dyDescent="0.25">
      <c r="A43">
        <v>30</v>
      </c>
      <c r="B43" t="s">
        <v>45</v>
      </c>
      <c r="C43" t="s">
        <v>46</v>
      </c>
      <c r="D43">
        <v>2014</v>
      </c>
      <c r="E43">
        <v>614179</v>
      </c>
      <c r="F43">
        <v>87497</v>
      </c>
      <c r="G43">
        <v>518152</v>
      </c>
      <c r="H43">
        <v>3675</v>
      </c>
      <c r="I43">
        <v>433</v>
      </c>
      <c r="J43">
        <v>4419</v>
      </c>
      <c r="K43">
        <v>0</v>
      </c>
      <c r="L43">
        <v>0</v>
      </c>
      <c r="M43">
        <v>0</v>
      </c>
      <c r="O43">
        <f t="shared" si="0"/>
        <v>32198</v>
      </c>
    </row>
    <row r="44" spans="1:22" x14ac:dyDescent="0.25">
      <c r="A44">
        <v>31</v>
      </c>
      <c r="B44" t="s">
        <v>45</v>
      </c>
      <c r="C44" t="s">
        <v>46</v>
      </c>
      <c r="D44">
        <v>2015</v>
      </c>
      <c r="E44">
        <v>510706</v>
      </c>
      <c r="F44">
        <v>692</v>
      </c>
      <c r="G44">
        <v>478970</v>
      </c>
      <c r="H44">
        <v>28086</v>
      </c>
      <c r="I44">
        <v>869</v>
      </c>
      <c r="J44">
        <v>2089</v>
      </c>
      <c r="K44">
        <v>0</v>
      </c>
      <c r="L44">
        <v>0</v>
      </c>
      <c r="M44">
        <v>0</v>
      </c>
      <c r="O44">
        <f t="shared" si="0"/>
        <v>87497</v>
      </c>
    </row>
    <row r="45" spans="1:22" x14ac:dyDescent="0.25">
      <c r="A45">
        <v>32</v>
      </c>
      <c r="B45" t="s">
        <v>45</v>
      </c>
      <c r="C45" t="s">
        <v>46</v>
      </c>
      <c r="D45">
        <v>2016</v>
      </c>
      <c r="E45">
        <v>342498</v>
      </c>
      <c r="F45">
        <v>2471</v>
      </c>
      <c r="G45">
        <v>301578</v>
      </c>
      <c r="H45">
        <v>36621</v>
      </c>
      <c r="I45">
        <v>0</v>
      </c>
      <c r="J45">
        <v>1828</v>
      </c>
      <c r="K45">
        <v>0</v>
      </c>
      <c r="L45">
        <v>0</v>
      </c>
      <c r="M45">
        <v>0</v>
      </c>
      <c r="O45">
        <f t="shared" si="0"/>
        <v>692</v>
      </c>
    </row>
    <row r="46" spans="1:22" x14ac:dyDescent="0.25">
      <c r="A46">
        <v>33</v>
      </c>
      <c r="B46" t="s">
        <v>45</v>
      </c>
      <c r="C46" t="s">
        <v>46</v>
      </c>
      <c r="D46">
        <v>2017</v>
      </c>
      <c r="E46">
        <v>87693</v>
      </c>
      <c r="F46">
        <v>11400</v>
      </c>
      <c r="G46">
        <v>43014</v>
      </c>
      <c r="H46">
        <v>32300</v>
      </c>
      <c r="I46">
        <v>629</v>
      </c>
      <c r="J46">
        <v>351</v>
      </c>
      <c r="K46">
        <v>0</v>
      </c>
      <c r="L46">
        <v>0</v>
      </c>
      <c r="M46">
        <v>0</v>
      </c>
      <c r="O46">
        <f t="shared" si="0"/>
        <v>2471</v>
      </c>
    </row>
    <row r="47" spans="1:22" x14ac:dyDescent="0.25">
      <c r="A47">
        <v>34</v>
      </c>
      <c r="B47" t="s">
        <v>45</v>
      </c>
      <c r="C47" t="s">
        <v>46</v>
      </c>
      <c r="D47">
        <v>2018</v>
      </c>
      <c r="E47">
        <v>193816</v>
      </c>
      <c r="F47">
        <v>696</v>
      </c>
      <c r="G47">
        <v>185170</v>
      </c>
      <c r="H47">
        <v>3208</v>
      </c>
      <c r="I47">
        <v>2294</v>
      </c>
      <c r="J47">
        <v>1816</v>
      </c>
      <c r="K47">
        <v>0</v>
      </c>
      <c r="L47">
        <v>476</v>
      </c>
      <c r="M47">
        <v>78</v>
      </c>
      <c r="O47">
        <f t="shared" si="0"/>
        <v>11400</v>
      </c>
    </row>
    <row r="48" spans="1:22" x14ac:dyDescent="0.25">
      <c r="A48">
        <v>35</v>
      </c>
      <c r="B48" t="s">
        <v>45</v>
      </c>
      <c r="C48" t="s">
        <v>46</v>
      </c>
      <c r="D48">
        <v>2019</v>
      </c>
      <c r="E48">
        <v>63046</v>
      </c>
      <c r="F48">
        <v>34333</v>
      </c>
      <c r="G48">
        <v>10880</v>
      </c>
      <c r="H48">
        <v>763</v>
      </c>
      <c r="I48">
        <v>14092</v>
      </c>
      <c r="J48">
        <v>2896</v>
      </c>
      <c r="K48">
        <v>41</v>
      </c>
      <c r="L48">
        <v>41</v>
      </c>
      <c r="M48">
        <v>0</v>
      </c>
      <c r="O48">
        <f t="shared" si="0"/>
        <v>696</v>
      </c>
      <c r="T48" t="s">
        <v>85</v>
      </c>
      <c r="U48" t="s">
        <v>84</v>
      </c>
      <c r="V48" t="s">
        <v>86</v>
      </c>
    </row>
    <row r="49" spans="1:24" x14ac:dyDescent="0.25">
      <c r="A49">
        <v>36</v>
      </c>
      <c r="B49" t="s">
        <v>45</v>
      </c>
      <c r="C49" t="s">
        <v>46</v>
      </c>
      <c r="D49">
        <v>2020</v>
      </c>
      <c r="E49">
        <v>341739</v>
      </c>
      <c r="F49">
        <v>2943</v>
      </c>
      <c r="G49">
        <v>337115</v>
      </c>
      <c r="H49">
        <v>591</v>
      </c>
      <c r="I49">
        <v>409</v>
      </c>
      <c r="J49">
        <v>682</v>
      </c>
      <c r="K49">
        <v>0</v>
      </c>
      <c r="L49">
        <v>0</v>
      </c>
      <c r="M49">
        <v>0</v>
      </c>
      <c r="O49">
        <f t="shared" si="0"/>
        <v>34333</v>
      </c>
      <c r="R49" t="s">
        <v>83</v>
      </c>
      <c r="T49">
        <v>3944.3</v>
      </c>
      <c r="U49">
        <v>0.45379999999999998</v>
      </c>
      <c r="V49">
        <v>11687</v>
      </c>
      <c r="W49" s="7">
        <f>T49*V49^U49</f>
        <v>276626.37202035275</v>
      </c>
      <c r="X49">
        <f>LN(W49)</f>
        <v>12.530423037197727</v>
      </c>
    </row>
    <row r="50" spans="1:24" x14ac:dyDescent="0.25">
      <c r="A50">
        <v>37</v>
      </c>
      <c r="B50" t="s">
        <v>45</v>
      </c>
      <c r="C50" t="s">
        <v>46</v>
      </c>
      <c r="D50">
        <v>2021</v>
      </c>
      <c r="E50">
        <v>151765</v>
      </c>
      <c r="F50">
        <v>41393</v>
      </c>
      <c r="G50">
        <v>87103</v>
      </c>
      <c r="H50">
        <v>20844</v>
      </c>
      <c r="I50">
        <v>1437</v>
      </c>
      <c r="J50">
        <v>988</v>
      </c>
      <c r="K50">
        <v>0</v>
      </c>
      <c r="L50">
        <v>0</v>
      </c>
      <c r="M50">
        <v>0</v>
      </c>
      <c r="O50">
        <f t="shared" si="0"/>
        <v>2943</v>
      </c>
    </row>
    <row r="51" spans="1:24" x14ac:dyDescent="0.25">
      <c r="A51">
        <v>38</v>
      </c>
      <c r="B51" t="s">
        <v>45</v>
      </c>
      <c r="C51" t="s">
        <v>46</v>
      </c>
      <c r="D51">
        <v>2022</v>
      </c>
      <c r="E51">
        <v>663253</v>
      </c>
      <c r="F51">
        <v>13084</v>
      </c>
      <c r="G51">
        <v>628929</v>
      </c>
      <c r="H51">
        <v>14244</v>
      </c>
      <c r="I51">
        <v>4224</v>
      </c>
      <c r="J51">
        <v>2773</v>
      </c>
      <c r="K51">
        <v>0</v>
      </c>
      <c r="L51">
        <v>0</v>
      </c>
      <c r="M51">
        <v>0</v>
      </c>
      <c r="O51">
        <f t="shared" si="0"/>
        <v>41393</v>
      </c>
      <c r="W51" s="7"/>
    </row>
    <row r="52" spans="1:24" x14ac:dyDescent="0.25">
      <c r="A52">
        <v>39</v>
      </c>
      <c r="B52" t="s">
        <v>45</v>
      </c>
      <c r="C52" t="s">
        <v>46</v>
      </c>
      <c r="D52">
        <v>2023</v>
      </c>
      <c r="E52">
        <v>327600</v>
      </c>
      <c r="F52">
        <v>30066</v>
      </c>
      <c r="G52">
        <v>249066</v>
      </c>
      <c r="H52">
        <v>33729</v>
      </c>
      <c r="I52">
        <v>744</v>
      </c>
      <c r="J52">
        <v>13943</v>
      </c>
      <c r="K52">
        <v>0</v>
      </c>
      <c r="L52">
        <v>0</v>
      </c>
      <c r="M52">
        <v>0</v>
      </c>
      <c r="O52">
        <f t="shared" si="0"/>
        <v>13084</v>
      </c>
    </row>
    <row r="53" spans="1:24" x14ac:dyDescent="0.25">
      <c r="A53">
        <v>40</v>
      </c>
      <c r="B53" t="s">
        <v>45</v>
      </c>
      <c r="C53" t="s">
        <v>46</v>
      </c>
      <c r="D53">
        <v>2024</v>
      </c>
      <c r="E53">
        <v>755909</v>
      </c>
      <c r="F53">
        <v>11687</v>
      </c>
      <c r="G53">
        <v>706422</v>
      </c>
      <c r="H53">
        <v>18575</v>
      </c>
      <c r="I53">
        <v>9395</v>
      </c>
      <c r="J53">
        <v>9630</v>
      </c>
      <c r="K53">
        <v>200</v>
      </c>
      <c r="L53">
        <v>0</v>
      </c>
      <c r="M53">
        <v>0</v>
      </c>
      <c r="O53">
        <f t="shared" si="0"/>
        <v>30066</v>
      </c>
    </row>
    <row r="54" spans="1:24" x14ac:dyDescent="0.25">
      <c r="O54">
        <f t="shared" si="0"/>
        <v>11687</v>
      </c>
    </row>
    <row r="55" spans="1:24" x14ac:dyDescent="0.25">
      <c r="D55" t="s">
        <v>78</v>
      </c>
      <c r="E55">
        <f>SUM(E14:E53)</f>
        <v>7156143</v>
      </c>
      <c r="F55">
        <f t="shared" ref="F55:M55" si="1">SUM(F14:F53)</f>
        <v>448632</v>
      </c>
      <c r="G55">
        <f t="shared" si="1"/>
        <v>6030225</v>
      </c>
      <c r="H55">
        <f t="shared" si="1"/>
        <v>390677</v>
      </c>
      <c r="I55">
        <f t="shared" si="1"/>
        <v>67590</v>
      </c>
      <c r="J55">
        <f t="shared" si="1"/>
        <v>201617</v>
      </c>
      <c r="K55">
        <f t="shared" si="1"/>
        <v>5074</v>
      </c>
      <c r="L55">
        <f t="shared" si="1"/>
        <v>6830</v>
      </c>
      <c r="M55">
        <f t="shared" si="1"/>
        <v>2862</v>
      </c>
    </row>
    <row r="56" spans="1:24" x14ac:dyDescent="0.25">
      <c r="D56" t="s">
        <v>79</v>
      </c>
      <c r="F56" s="14">
        <f>F55/$E$55</f>
        <v>6.2691871864494597E-2</v>
      </c>
      <c r="G56" s="14">
        <f t="shared" ref="G56:M56" si="2">G55/$E$55</f>
        <v>0.84266412786888134</v>
      </c>
      <c r="H56" s="14">
        <f t="shared" si="2"/>
        <v>5.4593235490123661E-2</v>
      </c>
      <c r="I56" s="14">
        <f t="shared" si="2"/>
        <v>9.4450320514835994E-3</v>
      </c>
      <c r="J56" s="14">
        <f t="shared" si="2"/>
        <v>2.8173975841455375E-2</v>
      </c>
      <c r="K56" s="14">
        <f t="shared" si="2"/>
        <v>7.0904116924438206E-4</v>
      </c>
      <c r="L56" s="14">
        <f t="shared" si="2"/>
        <v>9.5442475087487773E-4</v>
      </c>
      <c r="M56" s="14">
        <f t="shared" si="2"/>
        <v>3.9993611083512443E-4</v>
      </c>
    </row>
  </sheetData>
  <hyperlinks>
    <hyperlink ref="A1" r:id="rId1" display="https://myodfw.com/" xr:uid="{C6FD4B25-D825-4417-99A5-16A5A1BCF4B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4163-1AAB-4576-852A-B85384D6BF5C}">
  <dimension ref="A1:AJ66"/>
  <sheetViews>
    <sheetView workbookViewId="0">
      <selection activeCell="X67" sqref="X67"/>
    </sheetView>
  </sheetViews>
  <sheetFormatPr defaultRowHeight="15" x14ac:dyDescent="0.25"/>
  <sheetData>
    <row r="1" spans="1:11" x14ac:dyDescent="0.25">
      <c r="E1" t="s">
        <v>92</v>
      </c>
    </row>
    <row r="3" spans="1:11" x14ac:dyDescent="0.25">
      <c r="E3" t="s">
        <v>93</v>
      </c>
    </row>
    <row r="4" spans="1:11" x14ac:dyDescent="0.25">
      <c r="D4" t="s">
        <v>94</v>
      </c>
      <c r="E4" t="s">
        <v>95</v>
      </c>
    </row>
    <row r="5" spans="1:11" x14ac:dyDescent="0.25">
      <c r="A5" t="s">
        <v>96</v>
      </c>
      <c r="B5" t="s">
        <v>97</v>
      </c>
      <c r="C5" t="s">
        <v>98</v>
      </c>
      <c r="D5" t="s">
        <v>99</v>
      </c>
      <c r="E5" t="s">
        <v>100</v>
      </c>
    </row>
    <row r="6" spans="1:11" x14ac:dyDescent="0.25">
      <c r="A6">
        <v>1982.375</v>
      </c>
      <c r="B6">
        <v>5</v>
      </c>
      <c r="C6" s="20">
        <v>1.6829712080392252</v>
      </c>
      <c r="D6">
        <v>0.19282233268922738</v>
      </c>
      <c r="E6" t="s">
        <v>101</v>
      </c>
    </row>
    <row r="7" spans="1:11" x14ac:dyDescent="0.25">
      <c r="A7">
        <v>1983.375</v>
      </c>
      <c r="B7">
        <v>5</v>
      </c>
      <c r="C7" s="20">
        <v>-1.5365287291607705</v>
      </c>
      <c r="D7">
        <v>0.70257197929922732</v>
      </c>
      <c r="J7" t="s">
        <v>113</v>
      </c>
    </row>
    <row r="8" spans="1:11" x14ac:dyDescent="0.25">
      <c r="A8">
        <v>1984.375</v>
      </c>
      <c r="B8">
        <v>5</v>
      </c>
      <c r="C8" s="20">
        <v>1.880515014489234</v>
      </c>
      <c r="D8">
        <v>1.6829712080392252</v>
      </c>
      <c r="J8" t="s">
        <v>114</v>
      </c>
      <c r="K8" t="s">
        <v>115</v>
      </c>
    </row>
    <row r="9" spans="1:11" x14ac:dyDescent="0.25">
      <c r="A9">
        <v>1985.375</v>
      </c>
      <c r="B9">
        <v>5</v>
      </c>
      <c r="C9" s="20">
        <v>3.018522973209234</v>
      </c>
      <c r="D9">
        <v>-1.5365287291607705</v>
      </c>
      <c r="E9">
        <v>12.021789165422678</v>
      </c>
    </row>
    <row r="10" spans="1:11" x14ac:dyDescent="0.25">
      <c r="A10">
        <v>1986.375</v>
      </c>
      <c r="B10">
        <v>5</v>
      </c>
      <c r="C10" s="20">
        <v>1.1785690316392319</v>
      </c>
      <c r="D10">
        <v>1.880515014489234</v>
      </c>
      <c r="E10">
        <v>10.970316733695517</v>
      </c>
      <c r="J10">
        <v>1461</v>
      </c>
      <c r="K10">
        <f>LN(J10)</f>
        <v>7.2868764117506997</v>
      </c>
    </row>
    <row r="11" spans="1:11" x14ac:dyDescent="0.25">
      <c r="A11">
        <v>1987.375</v>
      </c>
      <c r="B11">
        <v>5</v>
      </c>
      <c r="C11" s="20">
        <v>-0.33535354034076137</v>
      </c>
      <c r="D11">
        <v>3.018522973209234</v>
      </c>
      <c r="E11">
        <v>11.669869382930235</v>
      </c>
      <c r="J11">
        <v>24062</v>
      </c>
      <c r="K11">
        <f t="shared" ref="K11:K49" si="0">LN(J11)</f>
        <v>10.08838911159347</v>
      </c>
    </row>
    <row r="12" spans="1:11" x14ac:dyDescent="0.25">
      <c r="A12">
        <v>1988.375</v>
      </c>
      <c r="B12">
        <v>5</v>
      </c>
      <c r="C12" s="20">
        <v>1.8152388873692404</v>
      </c>
      <c r="D12">
        <v>1.1785690316392319</v>
      </c>
      <c r="E12">
        <v>11.286200508072321</v>
      </c>
      <c r="J12">
        <v>22999</v>
      </c>
      <c r="K12">
        <f t="shared" si="0"/>
        <v>10.043206015705211</v>
      </c>
    </row>
    <row r="13" spans="1:11" x14ac:dyDescent="0.25">
      <c r="A13">
        <v>1989.375</v>
      </c>
      <c r="B13">
        <v>5</v>
      </c>
      <c r="C13" s="20">
        <v>3.101098920829223</v>
      </c>
      <c r="D13">
        <v>-0.33535354034076137</v>
      </c>
      <c r="E13">
        <v>10.642659171407352</v>
      </c>
      <c r="J13">
        <v>547</v>
      </c>
      <c r="K13">
        <f t="shared" si="0"/>
        <v>6.3044488024219811</v>
      </c>
    </row>
    <row r="14" spans="1:11" x14ac:dyDescent="0.25">
      <c r="A14">
        <v>1990.375</v>
      </c>
      <c r="B14">
        <v>5</v>
      </c>
      <c r="C14" s="20">
        <v>1.2389727557242383</v>
      </c>
      <c r="D14">
        <v>1.8152388873692404</v>
      </c>
      <c r="E14">
        <v>10.811362974808937</v>
      </c>
      <c r="J14">
        <v>298</v>
      </c>
      <c r="K14">
        <f t="shared" si="0"/>
        <v>5.6970934865054046</v>
      </c>
    </row>
    <row r="15" spans="1:11" x14ac:dyDescent="0.25">
      <c r="A15">
        <v>1991.375</v>
      </c>
      <c r="B15">
        <v>5</v>
      </c>
      <c r="C15" s="20">
        <v>1.5588966751912405</v>
      </c>
      <c r="D15">
        <v>3.101098920829223</v>
      </c>
      <c r="E15">
        <v>11.244797622953609</v>
      </c>
      <c r="J15">
        <v>7260</v>
      </c>
      <c r="K15">
        <f t="shared" si="0"/>
        <v>8.8901351078188426</v>
      </c>
    </row>
    <row r="16" spans="1:11" x14ac:dyDescent="0.25">
      <c r="A16">
        <v>1992.375</v>
      </c>
      <c r="B16">
        <v>5</v>
      </c>
      <c r="C16" s="20">
        <v>-0.84115852963076165</v>
      </c>
      <c r="D16">
        <v>1.2389727557242383</v>
      </c>
      <c r="E16">
        <v>11.35031241339605</v>
      </c>
      <c r="J16">
        <v>4072</v>
      </c>
      <c r="K16">
        <f t="shared" si="0"/>
        <v>8.3118895582303587</v>
      </c>
    </row>
    <row r="17" spans="1:29" x14ac:dyDescent="0.25">
      <c r="A17">
        <v>1993.375</v>
      </c>
      <c r="B17">
        <v>5</v>
      </c>
      <c r="C17" s="20">
        <v>-1.7499852617307701</v>
      </c>
      <c r="D17">
        <v>1.5588966751912405</v>
      </c>
      <c r="E17">
        <v>11.292004442009116</v>
      </c>
      <c r="J17">
        <v>5170</v>
      </c>
      <c r="K17">
        <f t="shared" si="0"/>
        <v>8.550627967502475</v>
      </c>
    </row>
    <row r="18" spans="1:29" x14ac:dyDescent="0.25">
      <c r="A18">
        <v>1994.375</v>
      </c>
      <c r="B18">
        <v>5</v>
      </c>
      <c r="C18" s="20">
        <v>0.48058693018923609</v>
      </c>
      <c r="D18">
        <v>-0.84115852963076165</v>
      </c>
      <c r="E18">
        <v>9.4476234868441118</v>
      </c>
    </row>
    <row r="19" spans="1:29" x14ac:dyDescent="0.25">
      <c r="A19">
        <v>1995.375</v>
      </c>
      <c r="B19">
        <v>5</v>
      </c>
      <c r="C19" s="20">
        <v>7.6683764169240554E-2</v>
      </c>
      <c r="D19">
        <v>-1.7499852617307701</v>
      </c>
      <c r="E19">
        <v>9.0795480817261591</v>
      </c>
      <c r="J19">
        <v>440</v>
      </c>
      <c r="K19">
        <f t="shared" si="0"/>
        <v>6.0867747269123065</v>
      </c>
      <c r="N19" t="s">
        <v>102</v>
      </c>
      <c r="V19" t="s">
        <v>103</v>
      </c>
    </row>
    <row r="20" spans="1:29" x14ac:dyDescent="0.25">
      <c r="A20">
        <v>1996.375</v>
      </c>
      <c r="B20">
        <v>5</v>
      </c>
      <c r="C20" s="20">
        <v>0.93481068946924495</v>
      </c>
      <c r="D20">
        <v>0.48058693018923609</v>
      </c>
      <c r="E20">
        <v>10.316656245029325</v>
      </c>
      <c r="J20">
        <v>2451</v>
      </c>
      <c r="K20">
        <f t="shared" si="0"/>
        <v>7.8042513835281122</v>
      </c>
      <c r="V20" t="s">
        <v>104</v>
      </c>
    </row>
    <row r="21" spans="1:29" x14ac:dyDescent="0.25">
      <c r="A21">
        <v>1997.375</v>
      </c>
      <c r="B21">
        <v>5</v>
      </c>
      <c r="C21" s="20">
        <v>-1.0207669603507683</v>
      </c>
      <c r="D21">
        <v>7.6683764169240554E-2</v>
      </c>
      <c r="E21">
        <v>10.758073078973604</v>
      </c>
      <c r="J21">
        <v>534</v>
      </c>
      <c r="K21">
        <f t="shared" si="0"/>
        <v>6.280395838960195</v>
      </c>
      <c r="V21" t="s">
        <v>105</v>
      </c>
    </row>
    <row r="22" spans="1:29" x14ac:dyDescent="0.25">
      <c r="A22">
        <v>1998.375</v>
      </c>
      <c r="B22">
        <v>5</v>
      </c>
      <c r="C22" s="20">
        <v>0.36530161782924503</v>
      </c>
      <c r="D22">
        <v>0.93481068946924495</v>
      </c>
      <c r="E22">
        <v>9.4893348160303983</v>
      </c>
      <c r="J22">
        <v>315</v>
      </c>
      <c r="K22">
        <f t="shared" si="0"/>
        <v>5.7525726388256331</v>
      </c>
    </row>
    <row r="23" spans="1:29" x14ac:dyDescent="0.25">
      <c r="A23">
        <v>1999.375</v>
      </c>
      <c r="B23">
        <v>5</v>
      </c>
      <c r="C23" s="20">
        <v>4.2896200438692365</v>
      </c>
      <c r="D23">
        <v>-1.0207669603507683</v>
      </c>
      <c r="E23">
        <v>9.7912702494150885</v>
      </c>
      <c r="J23">
        <v>2939</v>
      </c>
      <c r="K23">
        <f t="shared" si="0"/>
        <v>7.9858246664189174</v>
      </c>
    </row>
    <row r="24" spans="1:29" x14ac:dyDescent="0.25">
      <c r="A24">
        <v>2000.375</v>
      </c>
      <c r="B24">
        <v>5</v>
      </c>
      <c r="C24" s="20">
        <v>3.5373226747692317</v>
      </c>
      <c r="D24">
        <v>0.36530161782924503</v>
      </c>
      <c r="E24">
        <v>11.444625210711436</v>
      </c>
      <c r="J24">
        <v>1558</v>
      </c>
      <c r="K24">
        <f t="shared" si="0"/>
        <v>7.3511582264306936</v>
      </c>
    </row>
    <row r="25" spans="1:29" x14ac:dyDescent="0.25">
      <c r="A25">
        <v>2001.375</v>
      </c>
      <c r="B25">
        <v>5</v>
      </c>
      <c r="C25" s="20">
        <v>2.8748315578692294</v>
      </c>
      <c r="D25">
        <v>4.2896200438692365</v>
      </c>
      <c r="E25">
        <v>11.652113329550779</v>
      </c>
      <c r="J25">
        <v>3825</v>
      </c>
      <c r="K25">
        <f t="shared" si="0"/>
        <v>8.2493137462606363</v>
      </c>
      <c r="V25" t="s">
        <v>118</v>
      </c>
    </row>
    <row r="26" spans="1:29" x14ac:dyDescent="0.25">
      <c r="A26">
        <v>2002.375</v>
      </c>
      <c r="B26">
        <v>5</v>
      </c>
      <c r="C26" s="20">
        <v>1.9076068417692387</v>
      </c>
      <c r="D26">
        <v>3.5373226747692317</v>
      </c>
      <c r="E26">
        <v>10.811947705295095</v>
      </c>
      <c r="J26">
        <v>1171</v>
      </c>
      <c r="K26">
        <f t="shared" si="0"/>
        <v>7.0656133635977172</v>
      </c>
      <c r="V26" t="s">
        <v>119</v>
      </c>
    </row>
    <row r="27" spans="1:29" x14ac:dyDescent="0.25">
      <c r="A27">
        <v>2003.375</v>
      </c>
      <c r="B27">
        <v>5</v>
      </c>
      <c r="C27" s="20">
        <v>2.2880968023692252</v>
      </c>
      <c r="D27">
        <v>2.8748315578692294</v>
      </c>
      <c r="E27">
        <v>10.578750763997512</v>
      </c>
      <c r="J27">
        <v>458</v>
      </c>
      <c r="K27">
        <f t="shared" si="0"/>
        <v>6.1268691841141854</v>
      </c>
    </row>
    <row r="28" spans="1:29" x14ac:dyDescent="0.25">
      <c r="A28">
        <v>2004.375</v>
      </c>
      <c r="B28">
        <v>5</v>
      </c>
      <c r="C28" s="20">
        <v>1.3046613783592229</v>
      </c>
      <c r="D28">
        <v>1.9076068417692387</v>
      </c>
      <c r="E28">
        <v>11.72230269378761</v>
      </c>
      <c r="G28">
        <v>0.4385</v>
      </c>
      <c r="J28">
        <v>9713</v>
      </c>
      <c r="K28">
        <f t="shared" si="0"/>
        <v>9.1812204734023304</v>
      </c>
      <c r="V28" t="s">
        <v>123</v>
      </c>
      <c r="W28" t="s">
        <v>120</v>
      </c>
      <c r="X28" t="s">
        <v>121</v>
      </c>
      <c r="Y28" t="s">
        <v>122</v>
      </c>
      <c r="Z28" t="s">
        <v>150</v>
      </c>
      <c r="AB28" t="s">
        <v>124</v>
      </c>
    </row>
    <row r="29" spans="1:29" ht="15.75" thickBot="1" x14ac:dyDescent="0.3">
      <c r="A29">
        <v>2005.375</v>
      </c>
      <c r="B29">
        <v>5</v>
      </c>
      <c r="C29" s="20">
        <v>-0.5079246517307725</v>
      </c>
      <c r="D29">
        <v>2.2880968023692252</v>
      </c>
      <c r="E29">
        <v>11.197817380927789</v>
      </c>
      <c r="G29">
        <v>11.566000000000001</v>
      </c>
      <c r="J29">
        <v>1218</v>
      </c>
      <c r="K29">
        <f t="shared" si="0"/>
        <v>7.1049654482698426</v>
      </c>
      <c r="V29">
        <v>2008</v>
      </c>
      <c r="W29">
        <v>12.271893157066783</v>
      </c>
      <c r="X29">
        <v>2.1628221249392339</v>
      </c>
      <c r="Y29">
        <v>9.1833801903934003</v>
      </c>
      <c r="Z29">
        <f>$AC$44+$AC$45*X29+$AC$46*Y29</f>
        <v>12.51898871065104</v>
      </c>
    </row>
    <row r="30" spans="1:29" x14ac:dyDescent="0.25">
      <c r="A30">
        <v>2006.375</v>
      </c>
      <c r="B30">
        <v>5</v>
      </c>
      <c r="C30" s="20">
        <v>2.1628221249392339</v>
      </c>
      <c r="D30">
        <v>1.3046613783592229</v>
      </c>
      <c r="E30">
        <v>10.520455386357256</v>
      </c>
      <c r="G30" t="s">
        <v>14</v>
      </c>
      <c r="H30" t="s">
        <v>106</v>
      </c>
      <c r="J30">
        <v>804</v>
      </c>
      <c r="K30">
        <f t="shared" si="0"/>
        <v>6.6895992691789665</v>
      </c>
      <c r="V30">
        <v>2009</v>
      </c>
      <c r="W30">
        <v>12.088543952525956</v>
      </c>
      <c r="X30">
        <v>2.2741382218892316</v>
      </c>
      <c r="Y30">
        <v>9.6329903048384473</v>
      </c>
      <c r="Z30">
        <f t="shared" ref="Z30:Z46" si="1">$AC$44+$AC$45*X30+$AC$46*Y30</f>
        <v>12.673495607099548</v>
      </c>
      <c r="AB30" s="24" t="s">
        <v>125</v>
      </c>
      <c r="AC30" s="24"/>
    </row>
    <row r="31" spans="1:29" x14ac:dyDescent="0.25">
      <c r="A31" s="21">
        <v>2007.375</v>
      </c>
      <c r="B31" s="21">
        <v>5</v>
      </c>
      <c r="C31" s="22">
        <v>2.2741382218892316</v>
      </c>
      <c r="D31" s="21">
        <v>-0.5079246517307725</v>
      </c>
      <c r="E31" s="21">
        <v>10.101354320665545</v>
      </c>
      <c r="F31" s="21"/>
      <c r="J31">
        <v>201</v>
      </c>
      <c r="K31">
        <f t="shared" si="0"/>
        <v>5.3033049080590757</v>
      </c>
      <c r="V31">
        <v>2010</v>
      </c>
      <c r="W31">
        <v>12.864951827970796</v>
      </c>
      <c r="X31">
        <v>3.1445083440692292</v>
      </c>
      <c r="Y31">
        <v>9.8057093296174234</v>
      </c>
      <c r="Z31">
        <f t="shared" si="1"/>
        <v>12.864365105582049</v>
      </c>
      <c r="AB31" t="s">
        <v>126</v>
      </c>
      <c r="AC31">
        <v>0.78725987945023801</v>
      </c>
    </row>
    <row r="32" spans="1:29" x14ac:dyDescent="0.25">
      <c r="A32">
        <v>2008.375</v>
      </c>
      <c r="B32">
        <v>5</v>
      </c>
      <c r="C32" s="20">
        <v>3.1445083440692292</v>
      </c>
      <c r="D32">
        <v>2.1628221249392339</v>
      </c>
      <c r="E32">
        <v>12.271893157066783</v>
      </c>
      <c r="G32">
        <f t="shared" ref="G32:G49" si="2">$G$29+$G$28*D32</f>
        <v>12.514397501785854</v>
      </c>
      <c r="H32">
        <f t="shared" ref="H32:H48" si="3">E32-G32</f>
        <v>-0.24250434471907134</v>
      </c>
      <c r="J32">
        <v>9734</v>
      </c>
      <c r="K32">
        <f>LN(J32)</f>
        <v>9.1833801903934003</v>
      </c>
      <c r="V32">
        <v>2011</v>
      </c>
      <c r="W32">
        <v>12.132404576604838</v>
      </c>
      <c r="X32">
        <v>2.8559780762592273</v>
      </c>
      <c r="Y32">
        <v>8.7287498734785274</v>
      </c>
      <c r="Z32">
        <f t="shared" si="1"/>
        <v>12.490792887681772</v>
      </c>
      <c r="AB32" t="s">
        <v>127</v>
      </c>
      <c r="AC32">
        <v>0.61977811779200331</v>
      </c>
    </row>
    <row r="33" spans="1:36" x14ac:dyDescent="0.25">
      <c r="A33">
        <v>2009.375</v>
      </c>
      <c r="B33">
        <v>5</v>
      </c>
      <c r="C33" s="20">
        <v>2.8559780762592273</v>
      </c>
      <c r="D33">
        <v>2.2741382218892316</v>
      </c>
      <c r="E33">
        <v>12.088543952525956</v>
      </c>
      <c r="G33">
        <f t="shared" si="2"/>
        <v>12.563209610298429</v>
      </c>
      <c r="H33">
        <f t="shared" si="3"/>
        <v>-0.47466565777247283</v>
      </c>
      <c r="J33">
        <v>15260</v>
      </c>
      <c r="K33">
        <f t="shared" si="0"/>
        <v>9.6329903048384473</v>
      </c>
      <c r="V33">
        <v>2012</v>
      </c>
      <c r="W33">
        <v>13.153228122647484</v>
      </c>
      <c r="X33">
        <v>2.1367981933692386</v>
      </c>
      <c r="Y33">
        <v>10.396016814019003</v>
      </c>
      <c r="Z33">
        <f t="shared" si="1"/>
        <v>12.883862038782933</v>
      </c>
      <c r="AB33" t="s">
        <v>128</v>
      </c>
      <c r="AC33">
        <v>0.5654607060480038</v>
      </c>
    </row>
    <row r="34" spans="1:36" x14ac:dyDescent="0.25">
      <c r="A34">
        <v>2010.375</v>
      </c>
      <c r="B34">
        <v>5</v>
      </c>
      <c r="C34" s="20">
        <v>2.1367981933692386</v>
      </c>
      <c r="D34">
        <v>3.1445083440692292</v>
      </c>
      <c r="E34">
        <v>12.864951827970796</v>
      </c>
      <c r="G34">
        <f t="shared" si="2"/>
        <v>12.944866908874358</v>
      </c>
      <c r="H34">
        <f t="shared" si="3"/>
        <v>-7.9915080903562696E-2</v>
      </c>
      <c r="J34">
        <v>18137</v>
      </c>
      <c r="K34">
        <f t="shared" si="0"/>
        <v>9.8057093296174234</v>
      </c>
      <c r="V34">
        <v>2013</v>
      </c>
      <c r="W34">
        <v>12.130837114844267</v>
      </c>
      <c r="X34">
        <v>2.994733051169236</v>
      </c>
      <c r="Y34">
        <v>8.8004153331459243</v>
      </c>
      <c r="Z34">
        <f t="shared" si="1"/>
        <v>12.534650459335282</v>
      </c>
      <c r="AB34" t="s">
        <v>129</v>
      </c>
      <c r="AC34">
        <v>0.46543718113099086</v>
      </c>
    </row>
    <row r="35" spans="1:36" ht="15.75" thickBot="1" x14ac:dyDescent="0.3">
      <c r="A35">
        <v>2011.375</v>
      </c>
      <c r="B35">
        <v>5</v>
      </c>
      <c r="C35" s="20">
        <v>2.994733051169236</v>
      </c>
      <c r="D35">
        <v>2.8559780762592273</v>
      </c>
      <c r="E35">
        <v>12.132404576604838</v>
      </c>
      <c r="G35">
        <f t="shared" si="2"/>
        <v>12.818346386439671</v>
      </c>
      <c r="H35">
        <f t="shared" si="3"/>
        <v>-0.68594180983483355</v>
      </c>
      <c r="J35">
        <v>6178</v>
      </c>
      <c r="K35">
        <f t="shared" si="0"/>
        <v>8.7287498734785274</v>
      </c>
      <c r="V35">
        <v>2014</v>
      </c>
      <c r="W35">
        <v>13.328041695587016</v>
      </c>
      <c r="X35">
        <v>3.3148665312692316</v>
      </c>
      <c r="Y35">
        <v>10.37965961780224</v>
      </c>
      <c r="Z35">
        <f t="shared" si="1"/>
        <v>13.066091457219063</v>
      </c>
      <c r="AB35" s="18" t="s">
        <v>130</v>
      </c>
      <c r="AC35" s="18">
        <v>17</v>
      </c>
    </row>
    <row r="36" spans="1:36" x14ac:dyDescent="0.25">
      <c r="A36">
        <v>2012.375</v>
      </c>
      <c r="B36">
        <v>5</v>
      </c>
      <c r="C36" s="20">
        <v>3.3148665312692316</v>
      </c>
      <c r="D36">
        <v>2.1367981933692386</v>
      </c>
      <c r="E36">
        <v>13.153228122647484</v>
      </c>
      <c r="G36">
        <f t="shared" si="2"/>
        <v>12.502986007792412</v>
      </c>
      <c r="H36">
        <f t="shared" si="3"/>
        <v>0.65024211485507166</v>
      </c>
      <c r="J36">
        <v>32729</v>
      </c>
      <c r="K36">
        <f t="shared" si="0"/>
        <v>10.396016814019003</v>
      </c>
      <c r="N36" t="s">
        <v>107</v>
      </c>
      <c r="V36">
        <v>2015</v>
      </c>
      <c r="W36">
        <v>13.143549361147102</v>
      </c>
      <c r="X36">
        <v>2.6100064923692252</v>
      </c>
      <c r="Y36">
        <v>11.379359786043652</v>
      </c>
      <c r="Z36">
        <f t="shared" si="1"/>
        <v>13.25829369756403</v>
      </c>
    </row>
    <row r="37" spans="1:36" ht="15.75" thickBot="1" x14ac:dyDescent="0.3">
      <c r="A37">
        <v>2013.375</v>
      </c>
      <c r="B37">
        <v>5</v>
      </c>
      <c r="C37" s="20">
        <v>2.6100064923692252</v>
      </c>
      <c r="D37">
        <v>2.994733051169236</v>
      </c>
      <c r="E37">
        <v>12.130837114844267</v>
      </c>
      <c r="G37">
        <f t="shared" si="2"/>
        <v>12.879190442937711</v>
      </c>
      <c r="H37">
        <f t="shared" si="3"/>
        <v>-0.74835332809344379</v>
      </c>
      <c r="J37">
        <v>6637</v>
      </c>
      <c r="K37">
        <f t="shared" si="0"/>
        <v>8.8004153331459243</v>
      </c>
      <c r="N37" t="s">
        <v>108</v>
      </c>
      <c r="V37">
        <v>2016</v>
      </c>
      <c r="W37">
        <v>12.744021097251309</v>
      </c>
      <c r="X37">
        <v>1.4034630548992453</v>
      </c>
      <c r="Y37">
        <v>6.5395859556176692</v>
      </c>
      <c r="Z37">
        <f t="shared" si="1"/>
        <v>11.593804734001402</v>
      </c>
      <c r="AB37" t="s">
        <v>131</v>
      </c>
    </row>
    <row r="38" spans="1:36" x14ac:dyDescent="0.25">
      <c r="A38">
        <v>2014.375</v>
      </c>
      <c r="B38">
        <v>5</v>
      </c>
      <c r="C38" s="20">
        <v>1.4034630548992453</v>
      </c>
      <c r="D38">
        <v>3.3148665312692316</v>
      </c>
      <c r="E38">
        <v>13.328041695587016</v>
      </c>
      <c r="G38">
        <f t="shared" si="2"/>
        <v>13.019568973961558</v>
      </c>
      <c r="H38">
        <f t="shared" si="3"/>
        <v>0.30847272162545814</v>
      </c>
      <c r="J38">
        <v>32198</v>
      </c>
      <c r="K38">
        <f t="shared" si="0"/>
        <v>10.37965961780224</v>
      </c>
      <c r="V38">
        <v>2017</v>
      </c>
      <c r="W38">
        <v>11.381597357614821</v>
      </c>
      <c r="X38">
        <v>-3.0684870940772491E-2</v>
      </c>
      <c r="Y38">
        <v>7.81237820598861</v>
      </c>
      <c r="Z38">
        <f t="shared" si="1"/>
        <v>11.753218463529999</v>
      </c>
      <c r="AB38" s="23"/>
      <c r="AC38" s="23" t="s">
        <v>136</v>
      </c>
      <c r="AD38" s="23" t="s">
        <v>137</v>
      </c>
      <c r="AE38" s="23" t="s">
        <v>138</v>
      </c>
      <c r="AF38" s="23" t="s">
        <v>139</v>
      </c>
      <c r="AG38" s="23" t="s">
        <v>140</v>
      </c>
    </row>
    <row r="39" spans="1:36" x14ac:dyDescent="0.25">
      <c r="A39">
        <v>2015.375</v>
      </c>
      <c r="B39">
        <v>5</v>
      </c>
      <c r="C39" s="20">
        <v>-3.0684870940772491E-2</v>
      </c>
      <c r="D39">
        <v>2.6100064923692252</v>
      </c>
      <c r="E39">
        <v>13.143549361147102</v>
      </c>
      <c r="G39">
        <f t="shared" si="2"/>
        <v>12.710487846903906</v>
      </c>
      <c r="H39">
        <f t="shared" si="3"/>
        <v>0.43306151424319594</v>
      </c>
      <c r="J39">
        <v>87497</v>
      </c>
      <c r="K39">
        <f t="shared" si="0"/>
        <v>11.379359786043652</v>
      </c>
      <c r="V39">
        <v>2018</v>
      </c>
      <c r="W39">
        <v>12.174664534370493</v>
      </c>
      <c r="X39">
        <v>-3.6238594620772724E-2</v>
      </c>
      <c r="Y39">
        <v>9.3413686343825866</v>
      </c>
      <c r="Z39">
        <f t="shared" si="1"/>
        <v>12.217612082327406</v>
      </c>
      <c r="AB39" t="s">
        <v>132</v>
      </c>
      <c r="AC39">
        <v>2</v>
      </c>
      <c r="AD39">
        <v>4.943668193783429</v>
      </c>
      <c r="AE39">
        <v>2.4718340968917145</v>
      </c>
      <c r="AF39">
        <v>11.410302845670303</v>
      </c>
      <c r="AG39">
        <v>1.148840538242449E-3</v>
      </c>
    </row>
    <row r="40" spans="1:36" x14ac:dyDescent="0.25">
      <c r="A40">
        <v>2016.375</v>
      </c>
      <c r="B40">
        <v>5</v>
      </c>
      <c r="C40" s="20">
        <v>-3.6238594620772724E-2</v>
      </c>
      <c r="D40">
        <v>1.4034630548992453</v>
      </c>
      <c r="E40">
        <v>12.744021097251309</v>
      </c>
      <c r="G40">
        <f t="shared" si="2"/>
        <v>12.181418549573319</v>
      </c>
      <c r="H40">
        <f t="shared" si="3"/>
        <v>0.56260254767799012</v>
      </c>
      <c r="J40">
        <v>692</v>
      </c>
      <c r="K40">
        <f t="shared" si="0"/>
        <v>6.5395859556176692</v>
      </c>
      <c r="V40">
        <v>2019</v>
      </c>
      <c r="W40">
        <v>11.05161989766763</v>
      </c>
      <c r="X40">
        <v>0.6355308827592252</v>
      </c>
      <c r="Y40">
        <v>6.5453496603344199</v>
      </c>
      <c r="Z40">
        <f t="shared" si="1"/>
        <v>11.473526465835203</v>
      </c>
      <c r="AB40" t="s">
        <v>133</v>
      </c>
      <c r="AC40">
        <v>14</v>
      </c>
      <c r="AD40">
        <v>3.0328447741082787</v>
      </c>
      <c r="AE40">
        <v>0.21663176957916278</v>
      </c>
    </row>
    <row r="41" spans="1:36" ht="15.75" thickBot="1" x14ac:dyDescent="0.3">
      <c r="A41">
        <v>2017.375</v>
      </c>
      <c r="B41">
        <v>5</v>
      </c>
      <c r="C41" s="20">
        <v>0.6355308827592252</v>
      </c>
      <c r="D41">
        <v>-3.0684870940772491E-2</v>
      </c>
      <c r="E41">
        <v>11.381597357614821</v>
      </c>
      <c r="G41">
        <f t="shared" si="2"/>
        <v>11.552544684092473</v>
      </c>
      <c r="H41">
        <f t="shared" si="3"/>
        <v>-0.17094732647765198</v>
      </c>
      <c r="J41">
        <v>2471</v>
      </c>
      <c r="K41">
        <f t="shared" si="0"/>
        <v>7.81237820598861</v>
      </c>
      <c r="V41">
        <v>2020</v>
      </c>
      <c r="W41">
        <v>12.741802566796778</v>
      </c>
      <c r="X41">
        <v>2.0574152523692271</v>
      </c>
      <c r="Y41">
        <v>10.44386226975867</v>
      </c>
      <c r="Z41">
        <f t="shared" si="1"/>
        <v>12.885806796572179</v>
      </c>
      <c r="AB41" s="18" t="s">
        <v>134</v>
      </c>
      <c r="AC41" s="18">
        <v>16</v>
      </c>
      <c r="AD41" s="18">
        <v>7.9765129678917077</v>
      </c>
      <c r="AE41" s="18"/>
      <c r="AF41" s="18"/>
      <c r="AG41" s="18"/>
    </row>
    <row r="42" spans="1:36" ht="15.75" thickBot="1" x14ac:dyDescent="0.3">
      <c r="A42">
        <v>2018.375</v>
      </c>
      <c r="B42">
        <v>5</v>
      </c>
      <c r="C42" s="20">
        <v>2.0574152523692271</v>
      </c>
      <c r="D42">
        <v>-3.6238594620772724E-2</v>
      </c>
      <c r="E42">
        <v>12.174664534370493</v>
      </c>
      <c r="G42">
        <f t="shared" si="2"/>
        <v>11.550109376258792</v>
      </c>
      <c r="H42">
        <f t="shared" si="3"/>
        <v>0.62455515811170059</v>
      </c>
      <c r="J42">
        <v>11400</v>
      </c>
      <c r="K42">
        <f t="shared" si="0"/>
        <v>9.3413686343825866</v>
      </c>
      <c r="V42">
        <v>2021</v>
      </c>
      <c r="W42">
        <v>11.930088550824202</v>
      </c>
      <c r="X42">
        <v>0.16846339816923617</v>
      </c>
      <c r="Y42">
        <v>7.9871847482334726</v>
      </c>
      <c r="Z42">
        <f t="shared" si="1"/>
        <v>11.838059266241448</v>
      </c>
    </row>
    <row r="43" spans="1:36" x14ac:dyDescent="0.25">
      <c r="A43">
        <v>2019.375</v>
      </c>
      <c r="B43">
        <v>5</v>
      </c>
      <c r="C43" s="20">
        <v>0.16846339816923617</v>
      </c>
      <c r="D43">
        <v>0.6355308827592252</v>
      </c>
      <c r="E43">
        <v>11.05161989766763</v>
      </c>
      <c r="G43">
        <f t="shared" si="2"/>
        <v>11.844680292089921</v>
      </c>
      <c r="H43">
        <f t="shared" si="3"/>
        <v>-0.79306039442229093</v>
      </c>
      <c r="J43">
        <v>696</v>
      </c>
      <c r="K43">
        <f t="shared" si="0"/>
        <v>6.5453496603344199</v>
      </c>
      <c r="V43">
        <v>2022</v>
      </c>
      <c r="W43">
        <v>13.40491179517106</v>
      </c>
      <c r="X43">
        <v>0.94188844476923839</v>
      </c>
      <c r="Y43">
        <v>10.630867063391808</v>
      </c>
      <c r="Z43">
        <f t="shared" si="1"/>
        <v>12.765444411204811</v>
      </c>
      <c r="AB43" s="23"/>
      <c r="AC43" s="23" t="s">
        <v>141</v>
      </c>
      <c r="AD43" s="23" t="s">
        <v>129</v>
      </c>
      <c r="AE43" s="23" t="s">
        <v>142</v>
      </c>
      <c r="AF43" s="23" t="s">
        <v>143</v>
      </c>
      <c r="AG43" s="23" t="s">
        <v>144</v>
      </c>
      <c r="AH43" s="23" t="s">
        <v>145</v>
      </c>
      <c r="AI43" s="23" t="s">
        <v>146</v>
      </c>
      <c r="AJ43" s="23" t="s">
        <v>147</v>
      </c>
    </row>
    <row r="44" spans="1:36" x14ac:dyDescent="0.25">
      <c r="A44">
        <v>2020.375</v>
      </c>
      <c r="B44">
        <v>5</v>
      </c>
      <c r="C44" s="20">
        <v>0.94188844476923839</v>
      </c>
      <c r="D44">
        <v>2.0574152523692271</v>
      </c>
      <c r="E44">
        <v>12.741802566796778</v>
      </c>
      <c r="G44">
        <f t="shared" si="2"/>
        <v>12.468176588163907</v>
      </c>
      <c r="H44">
        <f t="shared" si="3"/>
        <v>0.27362597863287164</v>
      </c>
      <c r="J44">
        <v>34333</v>
      </c>
      <c r="K44">
        <f t="shared" si="0"/>
        <v>10.44386226975867</v>
      </c>
      <c r="V44">
        <v>2023</v>
      </c>
      <c r="W44">
        <v>12.699548630961051</v>
      </c>
      <c r="X44">
        <v>3.013470621229243</v>
      </c>
      <c r="Y44">
        <v>9.4791453886582744</v>
      </c>
      <c r="Z44">
        <f t="shared" si="1"/>
        <v>12.744167546156934</v>
      </c>
      <c r="AB44" t="s">
        <v>135</v>
      </c>
      <c r="AC44">
        <v>9.3807655612681806</v>
      </c>
      <c r="AD44">
        <v>0.82028591727905609</v>
      </c>
      <c r="AE44">
        <v>11.435970511824481</v>
      </c>
      <c r="AF44">
        <v>1.7308224848976369E-8</v>
      </c>
      <c r="AG44">
        <v>7.6214272456016161</v>
      </c>
      <c r="AH44">
        <v>11.140103876934745</v>
      </c>
      <c r="AI44">
        <v>7.6214272456016161</v>
      </c>
      <c r="AJ44">
        <v>11.140103876934745</v>
      </c>
    </row>
    <row r="45" spans="1:36" x14ac:dyDescent="0.25">
      <c r="A45">
        <v>2021.375</v>
      </c>
      <c r="B45">
        <v>5</v>
      </c>
      <c r="C45" s="20">
        <v>3.013470621229243</v>
      </c>
      <c r="D45">
        <v>0.16846339816923617</v>
      </c>
      <c r="E45">
        <v>11.930088550824202</v>
      </c>
      <c r="G45">
        <f t="shared" si="2"/>
        <v>11.639871200097211</v>
      </c>
      <c r="H45">
        <f t="shared" si="3"/>
        <v>0.29021735072699073</v>
      </c>
      <c r="J45">
        <v>2943</v>
      </c>
      <c r="K45">
        <f t="shared" si="0"/>
        <v>7.9871847482334726</v>
      </c>
      <c r="V45">
        <v>2024</v>
      </c>
      <c r="W45">
        <v>13.535676277546205</v>
      </c>
      <c r="X45">
        <v>4.3843827266992443</v>
      </c>
      <c r="Y45">
        <v>10.311150244187779</v>
      </c>
      <c r="Z45">
        <f t="shared" si="1"/>
        <v>13.215200786812694</v>
      </c>
      <c r="AB45" t="s">
        <v>148</v>
      </c>
      <c r="AC45">
        <v>0.15891010225631785</v>
      </c>
      <c r="AD45">
        <v>0.1037502880452882</v>
      </c>
      <c r="AE45">
        <v>1.5316593837980648</v>
      </c>
      <c r="AF45">
        <v>0.14788711734340551</v>
      </c>
      <c r="AG45">
        <v>-6.3612134410854004E-2</v>
      </c>
      <c r="AH45">
        <v>0.38143233892348971</v>
      </c>
      <c r="AI45">
        <v>-6.3612134410854004E-2</v>
      </c>
      <c r="AJ45">
        <v>0.38143233892348971</v>
      </c>
    </row>
    <row r="46" spans="1:36" ht="15.75" thickBot="1" x14ac:dyDescent="0.3">
      <c r="A46">
        <v>2022.375</v>
      </c>
      <c r="B46">
        <v>5</v>
      </c>
      <c r="C46" s="20">
        <v>4.3843827266992443</v>
      </c>
      <c r="D46">
        <v>0.94188844476923839</v>
      </c>
      <c r="E46">
        <v>13.40491179517106</v>
      </c>
      <c r="G46">
        <f t="shared" si="2"/>
        <v>11.979018083031312</v>
      </c>
      <c r="H46">
        <f t="shared" si="3"/>
        <v>1.4258937121397484</v>
      </c>
      <c r="J46">
        <v>41393</v>
      </c>
      <c r="K46">
        <f t="shared" si="0"/>
        <v>10.630867063391808</v>
      </c>
      <c r="V46">
        <v>2025</v>
      </c>
      <c r="X46">
        <v>2.5315232330692252</v>
      </c>
      <c r="Y46">
        <v>9.3662323919331563</v>
      </c>
      <c r="Z46" s="2">
        <f t="shared" si="1"/>
        <v>12.633221489489983</v>
      </c>
      <c r="AB46" s="18" t="s">
        <v>149</v>
      </c>
      <c r="AC46" s="18">
        <v>0.30430286086487562</v>
      </c>
      <c r="AD46" s="18">
        <v>9.6860832474240335E-2</v>
      </c>
      <c r="AE46" s="18">
        <v>3.1416502738173708</v>
      </c>
      <c r="AF46" s="18">
        <v>7.2103142135486404E-3</v>
      </c>
      <c r="AG46" s="18">
        <v>9.6557036793488399E-2</v>
      </c>
      <c r="AH46" s="18">
        <v>0.51204868493626288</v>
      </c>
      <c r="AI46" s="18">
        <v>9.6557036793488399E-2</v>
      </c>
      <c r="AJ46" s="18">
        <v>0.51204868493626288</v>
      </c>
    </row>
    <row r="47" spans="1:36" x14ac:dyDescent="0.25">
      <c r="A47">
        <v>2023.375</v>
      </c>
      <c r="B47">
        <v>5</v>
      </c>
      <c r="C47" s="20">
        <v>2.5315232330692252</v>
      </c>
      <c r="D47">
        <v>3.013470621229243</v>
      </c>
      <c r="E47">
        <v>12.699548630961051</v>
      </c>
      <c r="G47">
        <f t="shared" si="2"/>
        <v>12.887406867409023</v>
      </c>
      <c r="H47">
        <f t="shared" si="3"/>
        <v>-0.18785823644797262</v>
      </c>
      <c r="J47">
        <v>13084</v>
      </c>
      <c r="K47">
        <f t="shared" si="0"/>
        <v>9.4791453886582744</v>
      </c>
      <c r="V47" t="s">
        <v>156</v>
      </c>
      <c r="W47">
        <v>12.76</v>
      </c>
      <c r="Z47" t="s">
        <v>151</v>
      </c>
    </row>
    <row r="48" spans="1:36" x14ac:dyDescent="0.25">
      <c r="A48">
        <v>2024.375</v>
      </c>
      <c r="D48">
        <v>4.3843827266992443</v>
      </c>
      <c r="E48">
        <v>13.535676277546205</v>
      </c>
      <c r="G48">
        <f t="shared" si="2"/>
        <v>13.48855182565762</v>
      </c>
      <c r="H48">
        <f t="shared" si="3"/>
        <v>4.7124451888585384E-2</v>
      </c>
      <c r="J48">
        <v>30066</v>
      </c>
      <c r="K48">
        <f t="shared" si="0"/>
        <v>10.311150244187779</v>
      </c>
      <c r="Z48" s="7">
        <f>EXP(Z46)</f>
        <v>306576.16095872811</v>
      </c>
    </row>
    <row r="49" spans="1:14" x14ac:dyDescent="0.25">
      <c r="A49" t="s">
        <v>109</v>
      </c>
      <c r="D49">
        <v>2.5315232330692252</v>
      </c>
      <c r="G49" s="2">
        <f t="shared" si="2"/>
        <v>12.676072937700855</v>
      </c>
      <c r="J49">
        <v>11687</v>
      </c>
      <c r="K49">
        <f t="shared" si="0"/>
        <v>9.3662323919331563</v>
      </c>
    </row>
    <row r="51" spans="1:14" x14ac:dyDescent="0.25">
      <c r="G51" t="s">
        <v>110</v>
      </c>
    </row>
    <row r="52" spans="1:14" x14ac:dyDescent="0.25">
      <c r="G52" s="7">
        <f>EXP(G49)</f>
        <v>319998.93213776447</v>
      </c>
    </row>
    <row r="54" spans="1:14" x14ac:dyDescent="0.25">
      <c r="N54" t="s">
        <v>116</v>
      </c>
    </row>
    <row r="55" spans="1:14" x14ac:dyDescent="0.25">
      <c r="N55" t="s">
        <v>117</v>
      </c>
    </row>
    <row r="65" spans="24:24" x14ac:dyDescent="0.25">
      <c r="X65" t="s">
        <v>157</v>
      </c>
    </row>
    <row r="66" spans="24:24" x14ac:dyDescent="0.25">
      <c r="X66" t="s">
        <v>158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9B89-E50A-4BC0-93A1-54980BA272BF}">
  <dimension ref="A1:AD92"/>
  <sheetViews>
    <sheetView tabSelected="1" topLeftCell="P52" workbookViewId="0">
      <selection activeCell="AC90" sqref="AC90"/>
    </sheetView>
  </sheetViews>
  <sheetFormatPr defaultRowHeight="15" x14ac:dyDescent="0.25"/>
  <cols>
    <col min="23" max="23" width="10.42578125" customWidth="1"/>
    <col min="24" max="24" width="11.5703125" bestFit="1" customWidth="1"/>
  </cols>
  <sheetData>
    <row r="1" spans="1:19" x14ac:dyDescent="0.25">
      <c r="A1" t="s">
        <v>0</v>
      </c>
      <c r="B1" t="s">
        <v>1</v>
      </c>
      <c r="D1" t="s">
        <v>2</v>
      </c>
    </row>
    <row r="2" spans="1:19" x14ac:dyDescent="0.25">
      <c r="B2" t="s">
        <v>3</v>
      </c>
    </row>
    <row r="3" spans="1:19" x14ac:dyDescent="0.25">
      <c r="B3" t="s">
        <v>4</v>
      </c>
    </row>
    <row r="4" spans="1:19" x14ac:dyDescent="0.25">
      <c r="B4" t="s">
        <v>5</v>
      </c>
    </row>
    <row r="6" spans="1:19" x14ac:dyDescent="0.25">
      <c r="G6" t="s">
        <v>63</v>
      </c>
    </row>
    <row r="7" spans="1:19" x14ac:dyDescent="0.25">
      <c r="A7" t="s">
        <v>7</v>
      </c>
      <c r="B7" s="1">
        <v>2025</v>
      </c>
      <c r="C7" s="1"/>
      <c r="D7" s="1"/>
      <c r="G7">
        <v>0.83612764658515459</v>
      </c>
      <c r="H7">
        <v>-0.70536316421000933</v>
      </c>
      <c r="I7">
        <v>1.4748232443468581</v>
      </c>
      <c r="J7">
        <v>-0.81171401597257642</v>
      </c>
      <c r="K7">
        <v>1.6901826691291486</v>
      </c>
    </row>
    <row r="8" spans="1:19" x14ac:dyDescent="0.25">
      <c r="A8" t="s">
        <v>8</v>
      </c>
    </row>
    <row r="13" spans="1:19" x14ac:dyDescent="0.25">
      <c r="B13" s="1" t="s">
        <v>9</v>
      </c>
      <c r="C13" s="1"/>
      <c r="D13" s="1"/>
      <c r="F13" t="s">
        <v>10</v>
      </c>
      <c r="G13" s="2" t="s">
        <v>11</v>
      </c>
      <c r="S13" t="s">
        <v>12</v>
      </c>
    </row>
    <row r="14" spans="1:19" x14ac:dyDescent="0.25">
      <c r="B14" s="1"/>
      <c r="C14" s="1"/>
      <c r="D14" s="1"/>
      <c r="F14" t="s">
        <v>13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</row>
    <row r="15" spans="1:19" x14ac:dyDescent="0.25">
      <c r="A15" t="s">
        <v>49</v>
      </c>
      <c r="B15" s="1"/>
      <c r="C15" s="1"/>
      <c r="D15" s="1"/>
      <c r="F15" t="s">
        <v>14</v>
      </c>
      <c r="M15" t="s">
        <v>15</v>
      </c>
      <c r="R15" t="s">
        <v>16</v>
      </c>
    </row>
    <row r="16" spans="1:19" x14ac:dyDescent="0.25">
      <c r="A16" t="s">
        <v>50</v>
      </c>
      <c r="B16" s="1" t="s">
        <v>17</v>
      </c>
      <c r="C16" s="1"/>
      <c r="D16" s="1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M16" t="s">
        <v>21</v>
      </c>
      <c r="N16" t="s">
        <v>22</v>
      </c>
      <c r="O16" t="s">
        <v>23</v>
      </c>
      <c r="P16" t="s">
        <v>24</v>
      </c>
      <c r="Q16" t="s">
        <v>25</v>
      </c>
      <c r="R16" t="s">
        <v>26</v>
      </c>
    </row>
    <row r="17" spans="1:18" x14ac:dyDescent="0.25">
      <c r="A17" t="s">
        <v>51</v>
      </c>
      <c r="B17" s="1">
        <v>1985</v>
      </c>
      <c r="C17" s="1"/>
      <c r="D17" s="1">
        <v>166340</v>
      </c>
      <c r="E17">
        <f t="shared" ref="E17:E56" si="0">LN(D17)</f>
        <v>12.021789165422678</v>
      </c>
      <c r="R17" t="s">
        <v>27</v>
      </c>
    </row>
    <row r="18" spans="1:18" x14ac:dyDescent="0.25">
      <c r="A18" t="s">
        <v>52</v>
      </c>
      <c r="B18" s="1">
        <v>1986</v>
      </c>
      <c r="C18" s="1"/>
      <c r="D18" s="1">
        <v>58123</v>
      </c>
      <c r="E18">
        <f t="shared" si="0"/>
        <v>10.970316733695517</v>
      </c>
      <c r="F18">
        <f>E18-E17</f>
        <v>-1.0514724317271611</v>
      </c>
    </row>
    <row r="19" spans="1:18" x14ac:dyDescent="0.25">
      <c r="A19" t="s">
        <v>53</v>
      </c>
      <c r="B19" s="1">
        <v>1987</v>
      </c>
      <c r="C19" s="1"/>
      <c r="D19" s="1">
        <v>116993</v>
      </c>
      <c r="E19">
        <f t="shared" si="0"/>
        <v>11.669869382930235</v>
      </c>
      <c r="F19">
        <f t="shared" ref="F19:F56" si="1">E19-E18</f>
        <v>0.69955264923471816</v>
      </c>
      <c r="G19">
        <f>F18</f>
        <v>-1.0514724317271611</v>
      </c>
    </row>
    <row r="20" spans="1:18" x14ac:dyDescent="0.25">
      <c r="B20" s="1">
        <v>1988</v>
      </c>
      <c r="C20" s="1"/>
      <c r="D20" s="1">
        <v>79714</v>
      </c>
      <c r="E20">
        <f t="shared" si="0"/>
        <v>11.286200508072321</v>
      </c>
      <c r="F20">
        <f t="shared" si="1"/>
        <v>-0.38366887485791423</v>
      </c>
      <c r="G20">
        <f t="shared" ref="G20:G56" si="2">F19</f>
        <v>0.69955264923471816</v>
      </c>
      <c r="H20">
        <f>F18</f>
        <v>-1.0514724317271611</v>
      </c>
    </row>
    <row r="21" spans="1:18" x14ac:dyDescent="0.25">
      <c r="B21" s="1">
        <v>1989</v>
      </c>
      <c r="C21" s="1"/>
      <c r="D21" s="1">
        <v>41884</v>
      </c>
      <c r="E21">
        <f t="shared" si="0"/>
        <v>10.642659171407352</v>
      </c>
      <c r="F21">
        <f t="shared" si="1"/>
        <v>-0.64354133666496871</v>
      </c>
      <c r="G21">
        <f t="shared" si="2"/>
        <v>-0.38366887485791423</v>
      </c>
      <c r="H21">
        <f t="shared" ref="H21:H56" si="3">F19</f>
        <v>0.69955264923471816</v>
      </c>
      <c r="I21">
        <f>F18</f>
        <v>-1.0514724317271611</v>
      </c>
    </row>
    <row r="22" spans="1:18" x14ac:dyDescent="0.25">
      <c r="B22" s="1">
        <v>1990</v>
      </c>
      <c r="C22" s="1"/>
      <c r="D22" s="1">
        <v>49581</v>
      </c>
      <c r="E22">
        <f t="shared" si="0"/>
        <v>10.811362974808937</v>
      </c>
      <c r="F22">
        <f t="shared" si="1"/>
        <v>0.1687038034015842</v>
      </c>
      <c r="G22">
        <f t="shared" si="2"/>
        <v>-0.64354133666496871</v>
      </c>
      <c r="H22">
        <f t="shared" si="3"/>
        <v>-0.38366887485791423</v>
      </c>
      <c r="I22">
        <f t="shared" ref="I22:I56" si="4">F19</f>
        <v>0.69955264923471816</v>
      </c>
      <c r="J22">
        <f>F18</f>
        <v>-1.0514724317271611</v>
      </c>
    </row>
    <row r="23" spans="1:18" x14ac:dyDescent="0.25">
      <c r="A23" s="3" t="s">
        <v>28</v>
      </c>
      <c r="B23" s="4">
        <v>1991</v>
      </c>
      <c r="C23" s="4"/>
      <c r="D23" s="4">
        <v>76481</v>
      </c>
      <c r="E23" s="3">
        <f t="shared" si="0"/>
        <v>11.244797622953609</v>
      </c>
      <c r="F23" s="3">
        <f t="shared" si="1"/>
        <v>0.43343464814467225</v>
      </c>
      <c r="G23" s="3">
        <f t="shared" si="2"/>
        <v>0.1687038034015842</v>
      </c>
      <c r="H23" s="3">
        <f t="shared" si="3"/>
        <v>-0.64354133666496871</v>
      </c>
      <c r="I23" s="3">
        <f t="shared" si="4"/>
        <v>-0.38366887485791423</v>
      </c>
      <c r="J23" s="3">
        <f t="shared" ref="J23:J56" si="5">F19</f>
        <v>0.69955264923471816</v>
      </c>
      <c r="K23" s="3">
        <f>F18</f>
        <v>-1.0514724317271611</v>
      </c>
    </row>
    <row r="24" spans="1:18" x14ac:dyDescent="0.25">
      <c r="A24" t="s">
        <v>29</v>
      </c>
      <c r="B24" s="1">
        <v>1992</v>
      </c>
      <c r="C24" s="1"/>
      <c r="D24" s="1">
        <v>84992</v>
      </c>
      <c r="E24">
        <f t="shared" si="0"/>
        <v>11.35031241339605</v>
      </c>
      <c r="F24">
        <f t="shared" si="1"/>
        <v>0.10551479044244161</v>
      </c>
      <c r="G24">
        <f t="shared" si="2"/>
        <v>0.43343464814467225</v>
      </c>
      <c r="H24">
        <f t="shared" si="3"/>
        <v>0.1687038034015842</v>
      </c>
      <c r="I24">
        <f t="shared" si="4"/>
        <v>-0.64354133666496871</v>
      </c>
      <c r="J24">
        <f t="shared" si="5"/>
        <v>-0.38366887485791423</v>
      </c>
      <c r="K24">
        <f t="shared" ref="K24:K56" si="6">F19</f>
        <v>0.69955264923471816</v>
      </c>
    </row>
    <row r="25" spans="1:18" x14ac:dyDescent="0.25">
      <c r="A25" t="s">
        <v>30</v>
      </c>
      <c r="B25" s="1">
        <v>1993</v>
      </c>
      <c r="C25" s="1"/>
      <c r="D25" s="1">
        <v>80178</v>
      </c>
      <c r="E25">
        <f t="shared" si="0"/>
        <v>11.292004442009116</v>
      </c>
      <c r="F25">
        <f t="shared" si="1"/>
        <v>-5.8307971386934554E-2</v>
      </c>
      <c r="G25">
        <f t="shared" si="2"/>
        <v>0.10551479044244161</v>
      </c>
      <c r="H25">
        <f t="shared" si="3"/>
        <v>0.43343464814467225</v>
      </c>
      <c r="I25">
        <f t="shared" si="4"/>
        <v>0.1687038034015842</v>
      </c>
      <c r="J25">
        <f t="shared" si="5"/>
        <v>-0.64354133666496871</v>
      </c>
      <c r="K25">
        <f t="shared" si="6"/>
        <v>-0.38366887485791423</v>
      </c>
    </row>
    <row r="26" spans="1:18" x14ac:dyDescent="0.25">
      <c r="A26" t="s">
        <v>31</v>
      </c>
      <c r="B26" s="1">
        <v>1994</v>
      </c>
      <c r="C26" s="1"/>
      <c r="D26" s="1">
        <v>12678</v>
      </c>
      <c r="E26">
        <f t="shared" si="0"/>
        <v>9.4476234868441118</v>
      </c>
      <c r="F26">
        <f t="shared" si="1"/>
        <v>-1.8443809551650041</v>
      </c>
      <c r="G26">
        <f t="shared" si="2"/>
        <v>-5.8307971386934554E-2</v>
      </c>
      <c r="H26">
        <f t="shared" si="3"/>
        <v>0.10551479044244161</v>
      </c>
      <c r="I26">
        <f t="shared" si="4"/>
        <v>0.43343464814467225</v>
      </c>
      <c r="J26">
        <f t="shared" si="5"/>
        <v>0.1687038034015842</v>
      </c>
      <c r="K26">
        <f t="shared" si="6"/>
        <v>-0.64354133666496871</v>
      </c>
    </row>
    <row r="27" spans="1:18" x14ac:dyDescent="0.25">
      <c r="A27" t="s">
        <v>32</v>
      </c>
      <c r="B27" s="1">
        <v>1995</v>
      </c>
      <c r="C27" s="1"/>
      <c r="D27" s="1">
        <v>8774</v>
      </c>
      <c r="E27">
        <f t="shared" si="0"/>
        <v>9.0795480817261591</v>
      </c>
      <c r="F27">
        <f t="shared" si="1"/>
        <v>-0.36807540511795267</v>
      </c>
      <c r="G27">
        <f t="shared" si="2"/>
        <v>-1.8443809551650041</v>
      </c>
      <c r="H27">
        <f t="shared" si="3"/>
        <v>-5.8307971386934554E-2</v>
      </c>
      <c r="I27">
        <f t="shared" si="4"/>
        <v>0.10551479044244161</v>
      </c>
      <c r="J27">
        <f t="shared" si="5"/>
        <v>0.43343464814467225</v>
      </c>
      <c r="K27">
        <f t="shared" si="6"/>
        <v>0.1687038034015842</v>
      </c>
    </row>
    <row r="28" spans="1:18" x14ac:dyDescent="0.25">
      <c r="A28" t="s">
        <v>33</v>
      </c>
      <c r="B28" s="1">
        <v>1996</v>
      </c>
      <c r="C28" s="1"/>
      <c r="D28" s="1">
        <v>30232</v>
      </c>
      <c r="E28">
        <f t="shared" si="0"/>
        <v>10.316656245029325</v>
      </c>
      <c r="F28">
        <f t="shared" si="1"/>
        <v>1.2371081633031658</v>
      </c>
      <c r="G28">
        <f t="shared" si="2"/>
        <v>-0.36807540511795267</v>
      </c>
      <c r="H28">
        <f t="shared" si="3"/>
        <v>-1.8443809551650041</v>
      </c>
      <c r="I28">
        <f t="shared" si="4"/>
        <v>-5.8307971386934554E-2</v>
      </c>
      <c r="J28">
        <f t="shared" si="5"/>
        <v>0.10551479044244161</v>
      </c>
      <c r="K28">
        <f t="shared" si="6"/>
        <v>0.43343464814467225</v>
      </c>
    </row>
    <row r="29" spans="1:18" x14ac:dyDescent="0.25">
      <c r="B29" s="1">
        <v>1997</v>
      </c>
      <c r="C29" s="1"/>
      <c r="D29" s="1">
        <v>47008</v>
      </c>
      <c r="E29">
        <f t="shared" si="0"/>
        <v>10.758073078973604</v>
      </c>
      <c r="F29">
        <f t="shared" si="1"/>
        <v>0.44141683394427922</v>
      </c>
      <c r="G29">
        <f t="shared" si="2"/>
        <v>1.2371081633031658</v>
      </c>
      <c r="H29">
        <f t="shared" si="3"/>
        <v>-0.36807540511795267</v>
      </c>
      <c r="I29">
        <f t="shared" si="4"/>
        <v>-1.8443809551650041</v>
      </c>
      <c r="J29">
        <f t="shared" si="5"/>
        <v>-5.8307971386934554E-2</v>
      </c>
      <c r="K29">
        <f t="shared" si="6"/>
        <v>0.10551479044244161</v>
      </c>
    </row>
    <row r="30" spans="1:18" x14ac:dyDescent="0.25">
      <c r="B30" s="1">
        <v>1998</v>
      </c>
      <c r="C30" s="1"/>
      <c r="D30" s="1">
        <v>13218</v>
      </c>
      <c r="E30">
        <f t="shared" si="0"/>
        <v>9.4893348160303983</v>
      </c>
      <c r="F30">
        <f t="shared" si="1"/>
        <v>-1.2687382629432058</v>
      </c>
      <c r="G30">
        <f t="shared" si="2"/>
        <v>0.44141683394427922</v>
      </c>
      <c r="H30">
        <f t="shared" si="3"/>
        <v>1.2371081633031658</v>
      </c>
      <c r="I30">
        <f t="shared" si="4"/>
        <v>-0.36807540511795267</v>
      </c>
      <c r="J30">
        <f t="shared" si="5"/>
        <v>-1.8443809551650041</v>
      </c>
      <c r="K30">
        <f t="shared" si="6"/>
        <v>-5.8307971386934554E-2</v>
      </c>
    </row>
    <row r="31" spans="1:18" x14ac:dyDescent="0.25">
      <c r="B31" s="1">
        <v>1999</v>
      </c>
      <c r="C31" s="1"/>
      <c r="D31" s="1">
        <v>17877</v>
      </c>
      <c r="E31">
        <f t="shared" si="0"/>
        <v>9.7912702494150885</v>
      </c>
      <c r="F31">
        <f t="shared" si="1"/>
        <v>0.3019354333846902</v>
      </c>
      <c r="G31">
        <f t="shared" si="2"/>
        <v>-1.2687382629432058</v>
      </c>
      <c r="H31">
        <f t="shared" si="3"/>
        <v>0.44141683394427922</v>
      </c>
      <c r="I31">
        <f t="shared" si="4"/>
        <v>1.2371081633031658</v>
      </c>
      <c r="J31">
        <f t="shared" si="5"/>
        <v>-0.36807540511795267</v>
      </c>
      <c r="K31">
        <f t="shared" si="6"/>
        <v>-1.8443809551650041</v>
      </c>
    </row>
    <row r="32" spans="1:18" x14ac:dyDescent="0.25">
      <c r="B32" s="1">
        <v>2000</v>
      </c>
      <c r="C32" s="1"/>
      <c r="D32" s="1">
        <v>93398</v>
      </c>
      <c r="E32">
        <f t="shared" si="0"/>
        <v>11.444625210711436</v>
      </c>
      <c r="F32">
        <f t="shared" si="1"/>
        <v>1.6533549612963476</v>
      </c>
      <c r="G32">
        <f t="shared" si="2"/>
        <v>0.3019354333846902</v>
      </c>
      <c r="H32">
        <f t="shared" si="3"/>
        <v>-1.2687382629432058</v>
      </c>
      <c r="I32">
        <f t="shared" si="4"/>
        <v>0.44141683394427922</v>
      </c>
      <c r="J32">
        <f t="shared" si="5"/>
        <v>1.2371081633031658</v>
      </c>
      <c r="K32">
        <f t="shared" si="6"/>
        <v>-0.36807540511795267</v>
      </c>
    </row>
    <row r="33" spans="1:18" x14ac:dyDescent="0.25">
      <c r="B33" s="1">
        <v>2001</v>
      </c>
      <c r="C33" s="1"/>
      <c r="D33" s="1">
        <v>114934</v>
      </c>
      <c r="E33">
        <f t="shared" si="0"/>
        <v>11.652113329550779</v>
      </c>
      <c r="F33">
        <f t="shared" si="1"/>
        <v>0.20748811883934337</v>
      </c>
      <c r="G33">
        <f t="shared" si="2"/>
        <v>1.6533549612963476</v>
      </c>
      <c r="H33">
        <f t="shared" si="3"/>
        <v>0.3019354333846902</v>
      </c>
      <c r="I33">
        <f t="shared" si="4"/>
        <v>-1.2687382629432058</v>
      </c>
      <c r="J33">
        <f t="shared" si="5"/>
        <v>0.44141683394427922</v>
      </c>
      <c r="K33">
        <f t="shared" si="6"/>
        <v>1.2371081633031658</v>
      </c>
    </row>
    <row r="34" spans="1:18" x14ac:dyDescent="0.25">
      <c r="B34" s="1">
        <v>2002</v>
      </c>
      <c r="C34" s="1"/>
      <c r="D34" s="1">
        <v>49610</v>
      </c>
      <c r="E34">
        <f t="shared" si="0"/>
        <v>10.811947705295095</v>
      </c>
      <c r="F34">
        <f t="shared" si="1"/>
        <v>-0.84016562425568431</v>
      </c>
      <c r="G34">
        <f t="shared" si="2"/>
        <v>0.20748811883934337</v>
      </c>
      <c r="H34">
        <f t="shared" si="3"/>
        <v>1.6533549612963476</v>
      </c>
      <c r="I34">
        <f t="shared" si="4"/>
        <v>0.3019354333846902</v>
      </c>
      <c r="J34">
        <f t="shared" si="5"/>
        <v>-1.2687382629432058</v>
      </c>
      <c r="K34">
        <f t="shared" si="6"/>
        <v>0.44141683394427922</v>
      </c>
    </row>
    <row r="35" spans="1:18" x14ac:dyDescent="0.25">
      <c r="B35" s="1">
        <v>2003</v>
      </c>
      <c r="C35" s="1"/>
      <c r="D35" s="1">
        <v>39291</v>
      </c>
      <c r="E35">
        <f t="shared" si="0"/>
        <v>10.578750763997512</v>
      </c>
      <c r="F35">
        <f t="shared" si="1"/>
        <v>-0.23319694129758339</v>
      </c>
      <c r="G35">
        <f t="shared" si="2"/>
        <v>-0.84016562425568431</v>
      </c>
      <c r="H35">
        <f t="shared" si="3"/>
        <v>0.20748811883934337</v>
      </c>
      <c r="I35">
        <f t="shared" si="4"/>
        <v>1.6533549612963476</v>
      </c>
      <c r="J35">
        <f t="shared" si="5"/>
        <v>0.3019354333846902</v>
      </c>
      <c r="K35">
        <f t="shared" si="6"/>
        <v>-1.2687382629432058</v>
      </c>
    </row>
    <row r="36" spans="1:18" x14ac:dyDescent="0.25">
      <c r="B36" s="1">
        <v>2004</v>
      </c>
      <c r="C36" s="1"/>
      <c r="D36" s="1">
        <v>123291</v>
      </c>
      <c r="E36">
        <f t="shared" si="0"/>
        <v>11.72230269378761</v>
      </c>
      <c r="F36">
        <f t="shared" si="1"/>
        <v>1.1435519297900978</v>
      </c>
      <c r="G36">
        <f t="shared" si="2"/>
        <v>-0.23319694129758339</v>
      </c>
      <c r="H36">
        <f t="shared" si="3"/>
        <v>-0.84016562425568431</v>
      </c>
      <c r="I36">
        <f t="shared" si="4"/>
        <v>0.20748811883934337</v>
      </c>
      <c r="J36">
        <f t="shared" si="5"/>
        <v>1.6533549612963476</v>
      </c>
      <c r="K36">
        <f t="shared" si="6"/>
        <v>0.3019354333846902</v>
      </c>
    </row>
    <row r="37" spans="1:18" x14ac:dyDescent="0.25">
      <c r="B37" s="1">
        <v>2005</v>
      </c>
      <c r="C37" s="1"/>
      <c r="D37" s="1">
        <v>72971</v>
      </c>
      <c r="E37">
        <f t="shared" si="0"/>
        <v>11.197817380927789</v>
      </c>
      <c r="F37">
        <f t="shared" si="1"/>
        <v>-0.52448531285982014</v>
      </c>
      <c r="G37">
        <f t="shared" si="2"/>
        <v>1.1435519297900978</v>
      </c>
      <c r="H37">
        <f t="shared" si="3"/>
        <v>-0.23319694129758339</v>
      </c>
      <c r="I37">
        <f t="shared" si="4"/>
        <v>-0.84016562425568431</v>
      </c>
      <c r="J37">
        <f t="shared" si="5"/>
        <v>0.20748811883934337</v>
      </c>
      <c r="K37">
        <f t="shared" si="6"/>
        <v>1.6533549612963476</v>
      </c>
      <c r="M37" t="s">
        <v>59</v>
      </c>
      <c r="R37" t="s">
        <v>62</v>
      </c>
    </row>
    <row r="38" spans="1:18" x14ac:dyDescent="0.25">
      <c r="B38" s="1">
        <v>2006</v>
      </c>
      <c r="C38" s="1"/>
      <c r="D38" s="1">
        <v>37066</v>
      </c>
      <c r="E38">
        <f t="shared" si="0"/>
        <v>10.520455386357256</v>
      </c>
      <c r="F38">
        <f t="shared" si="1"/>
        <v>-0.67736199457053381</v>
      </c>
      <c r="G38">
        <f t="shared" si="2"/>
        <v>-0.52448531285982014</v>
      </c>
      <c r="H38">
        <f t="shared" si="3"/>
        <v>1.1435519297900978</v>
      </c>
      <c r="I38">
        <f t="shared" si="4"/>
        <v>-0.23319694129758339</v>
      </c>
      <c r="J38">
        <f t="shared" si="5"/>
        <v>-0.84016562425568431</v>
      </c>
      <c r="K38">
        <f t="shared" si="6"/>
        <v>0.20748811883934337</v>
      </c>
      <c r="R38" t="s">
        <v>61</v>
      </c>
    </row>
    <row r="39" spans="1:18" x14ac:dyDescent="0.25">
      <c r="B39" s="1">
        <v>2007</v>
      </c>
      <c r="C39" s="1"/>
      <c r="D39" s="1">
        <v>24376</v>
      </c>
      <c r="E39">
        <f t="shared" si="0"/>
        <v>10.101354320665545</v>
      </c>
      <c r="F39">
        <f t="shared" si="1"/>
        <v>-0.41910106569171113</v>
      </c>
      <c r="G39">
        <f t="shared" si="2"/>
        <v>-0.67736199457053381</v>
      </c>
      <c r="H39">
        <f t="shared" si="3"/>
        <v>-0.52448531285982014</v>
      </c>
      <c r="I39">
        <f t="shared" si="4"/>
        <v>1.1435519297900978</v>
      </c>
      <c r="J39">
        <f t="shared" si="5"/>
        <v>-0.23319694129758339</v>
      </c>
      <c r="K39">
        <f t="shared" si="6"/>
        <v>-0.84016562425568431</v>
      </c>
      <c r="M39">
        <f t="shared" ref="M39:Q55" si="7">G$7-G39</f>
        <v>1.5134896411556884</v>
      </c>
      <c r="N39">
        <f t="shared" si="7"/>
        <v>-0.18087785135018919</v>
      </c>
      <c r="O39">
        <f t="shared" si="7"/>
        <v>0.33127131455676029</v>
      </c>
      <c r="P39">
        <f t="shared" si="7"/>
        <v>-0.57851707467499303</v>
      </c>
      <c r="Q39">
        <f t="shared" si="7"/>
        <v>2.5303482933848329</v>
      </c>
      <c r="R39">
        <f t="shared" ref="R39:R55" si="8">SQRT(SUMPRODUCT(M39:Q39,M39:Q39,$G$14:$K$14))</f>
        <v>1.5598424198754179</v>
      </c>
    </row>
    <row r="40" spans="1:18" x14ac:dyDescent="0.25">
      <c r="B40" s="1">
        <v>2008</v>
      </c>
      <c r="C40" s="1"/>
      <c r="D40" s="1">
        <v>213607</v>
      </c>
      <c r="E40">
        <f t="shared" si="0"/>
        <v>12.271893157066783</v>
      </c>
      <c r="F40">
        <f t="shared" si="1"/>
        <v>2.1705388364012386</v>
      </c>
      <c r="G40">
        <f t="shared" si="2"/>
        <v>-0.41910106569171113</v>
      </c>
      <c r="H40">
        <f t="shared" si="3"/>
        <v>-0.67736199457053381</v>
      </c>
      <c r="I40">
        <f t="shared" si="4"/>
        <v>-0.52448531285982014</v>
      </c>
      <c r="J40">
        <f t="shared" si="5"/>
        <v>1.1435519297900978</v>
      </c>
      <c r="K40">
        <f t="shared" si="6"/>
        <v>-0.23319694129758339</v>
      </c>
      <c r="M40">
        <f t="shared" si="7"/>
        <v>1.2552287122768657</v>
      </c>
      <c r="N40">
        <f t="shared" si="7"/>
        <v>-2.8001169639475521E-2</v>
      </c>
      <c r="O40">
        <f t="shared" si="7"/>
        <v>1.9993085572066782</v>
      </c>
      <c r="P40">
        <f t="shared" si="7"/>
        <v>-1.9552659457626742</v>
      </c>
      <c r="Q40">
        <f t="shared" si="7"/>
        <v>1.923379610426732</v>
      </c>
      <c r="R40">
        <f t="shared" si="8"/>
        <v>2.3608510949539503</v>
      </c>
    </row>
    <row r="41" spans="1:18" x14ac:dyDescent="0.25">
      <c r="B41" s="1">
        <v>2009</v>
      </c>
      <c r="C41" s="1"/>
      <c r="D41" s="1">
        <v>177823</v>
      </c>
      <c r="E41">
        <f t="shared" si="0"/>
        <v>12.088543952525956</v>
      </c>
      <c r="F41">
        <f t="shared" si="1"/>
        <v>-0.1833492045408267</v>
      </c>
      <c r="G41">
        <f t="shared" si="2"/>
        <v>2.1705388364012386</v>
      </c>
      <c r="H41">
        <f t="shared" si="3"/>
        <v>-0.41910106569171113</v>
      </c>
      <c r="I41">
        <f t="shared" si="4"/>
        <v>-0.67736199457053381</v>
      </c>
      <c r="J41">
        <f t="shared" si="5"/>
        <v>-0.52448531285982014</v>
      </c>
      <c r="K41">
        <f t="shared" si="6"/>
        <v>1.1435519297900978</v>
      </c>
      <c r="M41">
        <f t="shared" si="7"/>
        <v>-1.334411189816084</v>
      </c>
      <c r="N41">
        <f t="shared" si="7"/>
        <v>-0.2862620985182982</v>
      </c>
      <c r="O41">
        <f t="shared" si="7"/>
        <v>2.1521852389173919</v>
      </c>
      <c r="P41">
        <f t="shared" si="7"/>
        <v>-0.28722870311275628</v>
      </c>
      <c r="Q41">
        <f t="shared" si="7"/>
        <v>0.54663073933905082</v>
      </c>
      <c r="R41">
        <f t="shared" si="8"/>
        <v>2.5484309908585687</v>
      </c>
    </row>
    <row r="42" spans="1:18" x14ac:dyDescent="0.25">
      <c r="B42" s="1">
        <v>2010</v>
      </c>
      <c r="C42" s="1"/>
      <c r="D42" s="1">
        <v>386525</v>
      </c>
      <c r="E42">
        <f t="shared" si="0"/>
        <v>12.864951827970796</v>
      </c>
      <c r="F42">
        <f t="shared" si="1"/>
        <v>0.77640787544483914</v>
      </c>
      <c r="G42">
        <f t="shared" si="2"/>
        <v>-0.1833492045408267</v>
      </c>
      <c r="H42">
        <f t="shared" si="3"/>
        <v>2.1705388364012386</v>
      </c>
      <c r="I42">
        <f t="shared" si="4"/>
        <v>-0.41910106569171113</v>
      </c>
      <c r="J42">
        <f t="shared" si="5"/>
        <v>-0.67736199457053381</v>
      </c>
      <c r="K42">
        <f t="shared" si="6"/>
        <v>-0.52448531285982014</v>
      </c>
      <c r="M42">
        <f t="shared" si="7"/>
        <v>1.0194768511259813</v>
      </c>
      <c r="N42">
        <f t="shared" si="7"/>
        <v>-2.8759020006112479</v>
      </c>
      <c r="O42">
        <f t="shared" si="7"/>
        <v>1.8939243100385692</v>
      </c>
      <c r="P42">
        <f t="shared" si="7"/>
        <v>-0.13435202140204261</v>
      </c>
      <c r="Q42">
        <f t="shared" si="7"/>
        <v>2.2146679819889687</v>
      </c>
      <c r="R42">
        <f t="shared" si="8"/>
        <v>3.5912525195614684</v>
      </c>
    </row>
    <row r="43" spans="1:18" x14ac:dyDescent="0.25">
      <c r="A43">
        <f>F43</f>
        <v>-0.73254725136595766</v>
      </c>
      <c r="B43" s="1">
        <v>2011</v>
      </c>
      <c r="C43" s="1"/>
      <c r="D43" s="1">
        <v>185796</v>
      </c>
      <c r="E43">
        <f t="shared" si="0"/>
        <v>12.132404576604838</v>
      </c>
      <c r="F43">
        <f t="shared" si="1"/>
        <v>-0.73254725136595766</v>
      </c>
      <c r="G43">
        <f t="shared" si="2"/>
        <v>0.77640787544483914</v>
      </c>
      <c r="H43">
        <f t="shared" si="3"/>
        <v>-0.1833492045408267</v>
      </c>
      <c r="I43">
        <f t="shared" si="4"/>
        <v>2.1705388364012386</v>
      </c>
      <c r="J43">
        <f t="shared" si="5"/>
        <v>-0.41910106569171113</v>
      </c>
      <c r="K43">
        <f t="shared" si="6"/>
        <v>-0.67736199457053381</v>
      </c>
      <c r="M43">
        <f t="shared" si="7"/>
        <v>5.9719771140315459E-2</v>
      </c>
      <c r="N43">
        <f t="shared" si="7"/>
        <v>-0.52201395966918263</v>
      </c>
      <c r="O43">
        <f t="shared" si="7"/>
        <v>-0.69571559205438049</v>
      </c>
      <c r="P43">
        <f t="shared" si="7"/>
        <v>-0.39261295028086529</v>
      </c>
      <c r="Q43">
        <f t="shared" si="7"/>
        <v>2.3675446636996824</v>
      </c>
      <c r="R43">
        <f t="shared" si="8"/>
        <v>0.87182865872952797</v>
      </c>
    </row>
    <row r="44" spans="1:18" x14ac:dyDescent="0.25">
      <c r="B44" s="1">
        <v>2012</v>
      </c>
      <c r="C44" s="1"/>
      <c r="D44" s="1">
        <v>515673</v>
      </c>
      <c r="E44">
        <f t="shared" si="0"/>
        <v>13.153228122647484</v>
      </c>
      <c r="F44">
        <f t="shared" si="1"/>
        <v>1.0208235460426458</v>
      </c>
      <c r="G44">
        <f t="shared" si="2"/>
        <v>-0.73254725136595766</v>
      </c>
      <c r="H44">
        <f t="shared" si="3"/>
        <v>0.77640787544483914</v>
      </c>
      <c r="I44">
        <f t="shared" si="4"/>
        <v>-0.1833492045408267</v>
      </c>
      <c r="J44">
        <f t="shared" si="5"/>
        <v>2.1705388364012386</v>
      </c>
      <c r="K44">
        <f t="shared" si="6"/>
        <v>-0.41910106569171113</v>
      </c>
      <c r="M44">
        <f t="shared" si="7"/>
        <v>1.5686748979511123</v>
      </c>
      <c r="N44">
        <f t="shared" si="7"/>
        <v>-1.4817710396548485</v>
      </c>
      <c r="O44">
        <f t="shared" si="7"/>
        <v>1.6581724488876848</v>
      </c>
      <c r="P44">
        <f t="shared" si="7"/>
        <v>-2.982252852373815</v>
      </c>
      <c r="Q44">
        <f t="shared" si="7"/>
        <v>2.1092837348208597</v>
      </c>
      <c r="R44">
        <f t="shared" si="8"/>
        <v>2.7213824096719526</v>
      </c>
    </row>
    <row r="45" spans="1:18" x14ac:dyDescent="0.25">
      <c r="A45">
        <f>F45</f>
        <v>-1.0223910078032166</v>
      </c>
      <c r="B45" s="1">
        <v>2013</v>
      </c>
      <c r="C45" s="1"/>
      <c r="D45" s="1">
        <v>185505</v>
      </c>
      <c r="E45">
        <f t="shared" si="0"/>
        <v>12.130837114844267</v>
      </c>
      <c r="F45">
        <f t="shared" si="1"/>
        <v>-1.0223910078032166</v>
      </c>
      <c r="G45">
        <f t="shared" si="2"/>
        <v>1.0208235460426458</v>
      </c>
      <c r="H45">
        <f t="shared" si="3"/>
        <v>-0.73254725136595766</v>
      </c>
      <c r="I45">
        <f t="shared" si="4"/>
        <v>0.77640787544483914</v>
      </c>
      <c r="J45">
        <f t="shared" si="5"/>
        <v>-0.1833492045408267</v>
      </c>
      <c r="K45">
        <f t="shared" si="6"/>
        <v>2.1705388364012386</v>
      </c>
      <c r="M45">
        <f t="shared" si="7"/>
        <v>-0.18469589945749121</v>
      </c>
      <c r="N45">
        <f t="shared" si="7"/>
        <v>2.7184087155948333E-2</v>
      </c>
      <c r="O45">
        <f t="shared" si="7"/>
        <v>0.69841536890201894</v>
      </c>
      <c r="P45">
        <f t="shared" si="7"/>
        <v>-0.62836481143174971</v>
      </c>
      <c r="Q45">
        <f t="shared" si="7"/>
        <v>-0.48035616727208996</v>
      </c>
      <c r="R45">
        <f t="shared" si="8"/>
        <v>0.7229353894985755</v>
      </c>
    </row>
    <row r="46" spans="1:18" ht="15.75" thickBot="1" x14ac:dyDescent="0.3">
      <c r="B46" s="5">
        <v>2014</v>
      </c>
      <c r="C46" s="5"/>
      <c r="D46" s="5">
        <v>614179</v>
      </c>
      <c r="E46">
        <f t="shared" si="0"/>
        <v>13.328041695587016</v>
      </c>
      <c r="F46">
        <f t="shared" si="1"/>
        <v>1.1972045807427492</v>
      </c>
      <c r="G46">
        <f t="shared" si="2"/>
        <v>-1.0223910078032166</v>
      </c>
      <c r="H46">
        <f t="shared" si="3"/>
        <v>1.0208235460426458</v>
      </c>
      <c r="I46">
        <f t="shared" si="4"/>
        <v>-0.73254725136595766</v>
      </c>
      <c r="J46">
        <f t="shared" si="5"/>
        <v>0.77640787544483914</v>
      </c>
      <c r="K46">
        <f t="shared" si="6"/>
        <v>-0.1833492045408267</v>
      </c>
      <c r="M46">
        <f t="shared" si="7"/>
        <v>1.8585186543883712</v>
      </c>
      <c r="N46">
        <f t="shared" si="7"/>
        <v>-1.7261867102526551</v>
      </c>
      <c r="O46">
        <f t="shared" si="7"/>
        <v>2.2073704957128157</v>
      </c>
      <c r="P46">
        <f t="shared" si="7"/>
        <v>-1.5881218914174156</v>
      </c>
      <c r="Q46">
        <f t="shared" si="7"/>
        <v>1.8735318736699753</v>
      </c>
      <c r="R46">
        <f t="shared" si="8"/>
        <v>3.3624837029650996</v>
      </c>
    </row>
    <row r="47" spans="1:18" x14ac:dyDescent="0.25">
      <c r="A47">
        <f>F47</f>
        <v>-0.18449233443991453</v>
      </c>
      <c r="B47" s="1">
        <v>2015</v>
      </c>
      <c r="C47" s="1"/>
      <c r="D47" s="1">
        <v>510706</v>
      </c>
      <c r="E47">
        <f t="shared" si="0"/>
        <v>13.143549361147102</v>
      </c>
      <c r="F47">
        <f t="shared" si="1"/>
        <v>-0.18449233443991453</v>
      </c>
      <c r="G47">
        <f t="shared" si="2"/>
        <v>1.1972045807427492</v>
      </c>
      <c r="H47">
        <f t="shared" si="3"/>
        <v>-1.0223910078032166</v>
      </c>
      <c r="I47">
        <f t="shared" si="4"/>
        <v>1.0208235460426458</v>
      </c>
      <c r="J47">
        <f t="shared" si="5"/>
        <v>-0.73254725136595766</v>
      </c>
      <c r="K47">
        <f t="shared" si="6"/>
        <v>0.77640787544483914</v>
      </c>
      <c r="M47">
        <f t="shared" si="7"/>
        <v>-0.36107693415759456</v>
      </c>
      <c r="N47">
        <f t="shared" si="7"/>
        <v>0.31702784359320724</v>
      </c>
      <c r="O47">
        <f t="shared" si="7"/>
        <v>0.45399969830421227</v>
      </c>
      <c r="P47">
        <f t="shared" si="7"/>
        <v>-7.9166764606618756E-2</v>
      </c>
      <c r="Q47">
        <f t="shared" si="7"/>
        <v>0.91377479368430947</v>
      </c>
      <c r="R47">
        <f t="shared" si="8"/>
        <v>0.66105894748828775</v>
      </c>
    </row>
    <row r="48" spans="1:18" x14ac:dyDescent="0.25">
      <c r="B48" s="1">
        <v>2016</v>
      </c>
      <c r="C48" s="1"/>
      <c r="D48" s="1">
        <v>342498</v>
      </c>
      <c r="E48">
        <f t="shared" si="0"/>
        <v>12.744021097251309</v>
      </c>
      <c r="F48">
        <f t="shared" si="1"/>
        <v>-0.39952826389579243</v>
      </c>
      <c r="G48">
        <f t="shared" si="2"/>
        <v>-0.18449233443991453</v>
      </c>
      <c r="H48">
        <f t="shared" si="3"/>
        <v>1.1972045807427492</v>
      </c>
      <c r="I48">
        <f t="shared" si="4"/>
        <v>-1.0223910078032166</v>
      </c>
      <c r="J48">
        <f t="shared" si="5"/>
        <v>1.0208235460426458</v>
      </c>
      <c r="K48">
        <f t="shared" si="6"/>
        <v>-0.73254725136595766</v>
      </c>
      <c r="M48">
        <f t="shared" si="7"/>
        <v>1.0206199810250691</v>
      </c>
      <c r="N48">
        <f t="shared" si="7"/>
        <v>-1.9025677449527585</v>
      </c>
      <c r="O48">
        <f t="shared" si="7"/>
        <v>2.4972142521500746</v>
      </c>
      <c r="P48">
        <f t="shared" si="7"/>
        <v>-1.8325375620152222</v>
      </c>
      <c r="Q48">
        <f t="shared" si="7"/>
        <v>2.4227299204951063</v>
      </c>
      <c r="R48">
        <f t="shared" si="8"/>
        <v>3.3011374086735157</v>
      </c>
    </row>
    <row r="49" spans="1:22" x14ac:dyDescent="0.25">
      <c r="B49" s="1">
        <v>2017</v>
      </c>
      <c r="C49" s="1"/>
      <c r="D49" s="1">
        <v>87693</v>
      </c>
      <c r="E49">
        <f t="shared" si="0"/>
        <v>11.381597357614821</v>
      </c>
      <c r="F49">
        <f t="shared" si="1"/>
        <v>-1.3624237396364887</v>
      </c>
      <c r="G49">
        <f t="shared" si="2"/>
        <v>-0.39952826389579243</v>
      </c>
      <c r="H49">
        <f t="shared" si="3"/>
        <v>-0.18449233443991453</v>
      </c>
      <c r="I49">
        <f t="shared" si="4"/>
        <v>1.1972045807427492</v>
      </c>
      <c r="J49">
        <f t="shared" si="5"/>
        <v>-1.0223910078032166</v>
      </c>
      <c r="K49">
        <f t="shared" si="6"/>
        <v>1.0208235460426458</v>
      </c>
      <c r="M49">
        <f t="shared" si="7"/>
        <v>1.235655910480947</v>
      </c>
      <c r="N49">
        <f t="shared" si="7"/>
        <v>-0.5208708297700948</v>
      </c>
      <c r="O49">
        <f t="shared" si="7"/>
        <v>0.27761866360410892</v>
      </c>
      <c r="P49">
        <f t="shared" si="7"/>
        <v>0.21067699183064015</v>
      </c>
      <c r="Q49">
        <f t="shared" si="7"/>
        <v>0.66935912308650281</v>
      </c>
      <c r="R49">
        <f t="shared" si="8"/>
        <v>1.3693882111341606</v>
      </c>
    </row>
    <row r="50" spans="1:22" x14ac:dyDescent="0.25">
      <c r="B50" s="1">
        <v>2018</v>
      </c>
      <c r="C50" s="1"/>
      <c r="D50" s="1">
        <v>193816</v>
      </c>
      <c r="E50">
        <f t="shared" si="0"/>
        <v>12.174664534370493</v>
      </c>
      <c r="F50">
        <f t="shared" si="1"/>
        <v>0.79306717675567207</v>
      </c>
      <c r="G50">
        <f t="shared" si="2"/>
        <v>-1.3624237396364887</v>
      </c>
      <c r="H50">
        <f t="shared" si="3"/>
        <v>-0.39952826389579243</v>
      </c>
      <c r="I50">
        <f t="shared" si="4"/>
        <v>-0.18449233443991453</v>
      </c>
      <c r="J50">
        <f t="shared" si="5"/>
        <v>1.1972045807427492</v>
      </c>
      <c r="K50">
        <f t="shared" si="6"/>
        <v>-1.0223910078032166</v>
      </c>
      <c r="M50">
        <f t="shared" si="7"/>
        <v>2.1985513862216433</v>
      </c>
      <c r="N50">
        <f t="shared" si="7"/>
        <v>-0.3058349003142169</v>
      </c>
      <c r="O50">
        <f t="shared" si="7"/>
        <v>1.6593155787867726</v>
      </c>
      <c r="P50">
        <f t="shared" si="7"/>
        <v>-2.0089185967153256</v>
      </c>
      <c r="Q50">
        <f t="shared" si="7"/>
        <v>2.7125736769323652</v>
      </c>
      <c r="R50">
        <f t="shared" si="8"/>
        <v>2.7713699453721077</v>
      </c>
    </row>
    <row r="51" spans="1:22" x14ac:dyDescent="0.25">
      <c r="B51" s="1">
        <v>2019</v>
      </c>
      <c r="C51" s="1"/>
      <c r="D51" s="1">
        <v>63046</v>
      </c>
      <c r="E51">
        <f t="shared" si="0"/>
        <v>11.05161989766763</v>
      </c>
      <c r="F51">
        <f t="shared" si="1"/>
        <v>-1.123044636702863</v>
      </c>
      <c r="G51">
        <f t="shared" si="2"/>
        <v>0.79306717675567207</v>
      </c>
      <c r="H51">
        <f t="shared" si="3"/>
        <v>-1.3624237396364887</v>
      </c>
      <c r="I51">
        <f t="shared" si="4"/>
        <v>-0.39952826389579243</v>
      </c>
      <c r="J51">
        <f t="shared" si="5"/>
        <v>-0.18449233443991453</v>
      </c>
      <c r="K51">
        <f t="shared" si="6"/>
        <v>1.1972045807427492</v>
      </c>
      <c r="M51">
        <f t="shared" si="7"/>
        <v>4.3060469829482528E-2</v>
      </c>
      <c r="N51">
        <f t="shared" si="7"/>
        <v>0.65706057542647933</v>
      </c>
      <c r="O51">
        <f t="shared" si="7"/>
        <v>1.8743515082426505</v>
      </c>
      <c r="P51">
        <f t="shared" si="7"/>
        <v>-0.62722168153266189</v>
      </c>
      <c r="Q51">
        <f t="shared" si="7"/>
        <v>0.49297808838639945</v>
      </c>
      <c r="R51">
        <f t="shared" si="8"/>
        <v>1.9866495363534078</v>
      </c>
    </row>
    <row r="52" spans="1:22" x14ac:dyDescent="0.25">
      <c r="B52" s="1">
        <v>2020</v>
      </c>
      <c r="C52" s="1"/>
      <c r="D52" s="1">
        <v>341739</v>
      </c>
      <c r="E52">
        <f t="shared" si="0"/>
        <v>12.741802566796778</v>
      </c>
      <c r="F52">
        <f t="shared" si="1"/>
        <v>1.6901826691291486</v>
      </c>
      <c r="G52">
        <f t="shared" si="2"/>
        <v>-1.123044636702863</v>
      </c>
      <c r="H52">
        <f t="shared" si="3"/>
        <v>0.79306717675567207</v>
      </c>
      <c r="I52">
        <f t="shared" si="4"/>
        <v>-1.3624237396364887</v>
      </c>
      <c r="J52">
        <f t="shared" si="5"/>
        <v>-0.39952826389579243</v>
      </c>
      <c r="K52">
        <f t="shared" si="6"/>
        <v>-0.18449233443991453</v>
      </c>
      <c r="M52">
        <f t="shared" si="7"/>
        <v>1.9591722832880176</v>
      </c>
      <c r="N52">
        <f t="shared" si="7"/>
        <v>-1.4984303409656814</v>
      </c>
      <c r="O52">
        <f t="shared" si="7"/>
        <v>2.8372469839833467</v>
      </c>
      <c r="P52">
        <f t="shared" si="7"/>
        <v>-0.41218575207678398</v>
      </c>
      <c r="Q52">
        <f t="shared" si="7"/>
        <v>1.8746750035690631</v>
      </c>
      <c r="R52">
        <f t="shared" si="8"/>
        <v>3.7594707034971173</v>
      </c>
    </row>
    <row r="53" spans="1:22" x14ac:dyDescent="0.25">
      <c r="B53" s="1">
        <v>2021</v>
      </c>
      <c r="C53" s="1"/>
      <c r="D53" s="1">
        <v>151765</v>
      </c>
      <c r="E53">
        <f t="shared" si="0"/>
        <v>11.930088550824202</v>
      </c>
      <c r="F53">
        <f t="shared" si="1"/>
        <v>-0.81171401597257642</v>
      </c>
      <c r="G53">
        <f t="shared" si="2"/>
        <v>1.6901826691291486</v>
      </c>
      <c r="H53">
        <f t="shared" si="3"/>
        <v>-1.123044636702863</v>
      </c>
      <c r="I53">
        <f t="shared" si="4"/>
        <v>0.79306717675567207</v>
      </c>
      <c r="J53">
        <f t="shared" si="5"/>
        <v>-1.3624237396364887</v>
      </c>
      <c r="K53">
        <f t="shared" si="6"/>
        <v>-0.39952826389579243</v>
      </c>
      <c r="M53">
        <f t="shared" si="7"/>
        <v>-0.85405502254399401</v>
      </c>
      <c r="N53">
        <f t="shared" si="7"/>
        <v>0.4176814724928537</v>
      </c>
      <c r="O53">
        <f t="shared" si="7"/>
        <v>0.68175606759118601</v>
      </c>
      <c r="P53">
        <f t="shared" si="7"/>
        <v>0.55070972366391224</v>
      </c>
      <c r="Q53">
        <f t="shared" si="7"/>
        <v>2.089710933024941</v>
      </c>
      <c r="R53">
        <f t="shared" si="8"/>
        <v>1.1698970594431881</v>
      </c>
      <c r="U53" s="2"/>
    </row>
    <row r="54" spans="1:22" x14ac:dyDescent="0.25">
      <c r="B54" s="1">
        <v>2022</v>
      </c>
      <c r="C54" s="1"/>
      <c r="D54" s="1">
        <v>663253</v>
      </c>
      <c r="E54">
        <f t="shared" si="0"/>
        <v>13.40491179517106</v>
      </c>
      <c r="F54">
        <f t="shared" si="1"/>
        <v>1.4748232443468581</v>
      </c>
      <c r="G54">
        <f t="shared" si="2"/>
        <v>-0.81171401597257642</v>
      </c>
      <c r="H54">
        <f t="shared" si="3"/>
        <v>1.6901826691291486</v>
      </c>
      <c r="I54">
        <f t="shared" si="4"/>
        <v>-1.123044636702863</v>
      </c>
      <c r="J54">
        <f t="shared" si="5"/>
        <v>0.79306717675567207</v>
      </c>
      <c r="K54">
        <f t="shared" si="6"/>
        <v>-1.3624237396364887</v>
      </c>
      <c r="M54">
        <f t="shared" si="7"/>
        <v>1.647841662557731</v>
      </c>
      <c r="N54">
        <f t="shared" si="7"/>
        <v>-2.3955458333391579</v>
      </c>
      <c r="O54">
        <f t="shared" si="7"/>
        <v>2.5978678810497211</v>
      </c>
      <c r="P54">
        <f t="shared" si="7"/>
        <v>-1.6047811927282485</v>
      </c>
      <c r="Q54">
        <f t="shared" si="7"/>
        <v>3.0526064087656373</v>
      </c>
      <c r="R54">
        <f t="shared" si="8"/>
        <v>3.8990947041434372</v>
      </c>
      <c r="U54" s="2"/>
    </row>
    <row r="55" spans="1:22" x14ac:dyDescent="0.25">
      <c r="A55">
        <f>F55</f>
        <v>-0.70536316421000933</v>
      </c>
      <c r="B55" s="1">
        <v>2023</v>
      </c>
      <c r="C55" s="1"/>
      <c r="D55" s="1">
        <v>327600</v>
      </c>
      <c r="E55">
        <f t="shared" si="0"/>
        <v>12.699548630961051</v>
      </c>
      <c r="F55">
        <f t="shared" si="1"/>
        <v>-0.70536316421000933</v>
      </c>
      <c r="G55">
        <f t="shared" si="2"/>
        <v>1.4748232443468581</v>
      </c>
      <c r="H55">
        <f t="shared" si="3"/>
        <v>-0.81171401597257642</v>
      </c>
      <c r="I55">
        <f t="shared" si="4"/>
        <v>1.6901826691291486</v>
      </c>
      <c r="J55">
        <f t="shared" si="5"/>
        <v>-1.123044636702863</v>
      </c>
      <c r="K55">
        <f t="shared" si="6"/>
        <v>0.79306717675567207</v>
      </c>
      <c r="M55">
        <f t="shared" si="7"/>
        <v>-0.63869559776170348</v>
      </c>
      <c r="N55">
        <f t="shared" si="7"/>
        <v>0.10635085176256709</v>
      </c>
      <c r="O55">
        <f t="shared" si="7"/>
        <v>-0.21535942478229053</v>
      </c>
      <c r="P55">
        <f t="shared" si="7"/>
        <v>0.31133062073028661</v>
      </c>
      <c r="Q55">
        <f t="shared" si="7"/>
        <v>0.89711549237347654</v>
      </c>
      <c r="R55">
        <f t="shared" si="8"/>
        <v>0.68236518969930049</v>
      </c>
    </row>
    <row r="56" spans="1:22" x14ac:dyDescent="0.25">
      <c r="B56" s="1">
        <v>2024</v>
      </c>
      <c r="D56" s="1">
        <v>755909</v>
      </c>
      <c r="E56">
        <f t="shared" si="0"/>
        <v>13.535676277546205</v>
      </c>
      <c r="F56">
        <f t="shared" si="1"/>
        <v>0.83612764658515459</v>
      </c>
      <c r="G56">
        <f t="shared" si="2"/>
        <v>-0.70536316421000933</v>
      </c>
      <c r="H56">
        <f t="shared" si="3"/>
        <v>1.4748232443468581</v>
      </c>
      <c r="I56">
        <f t="shared" si="4"/>
        <v>-0.81171401597257642</v>
      </c>
      <c r="J56">
        <f t="shared" si="5"/>
        <v>1.6901826691291486</v>
      </c>
      <c r="K56">
        <f t="shared" si="6"/>
        <v>-1.123044636702863</v>
      </c>
      <c r="M56">
        <f t="shared" ref="M56" si="9">G$7-G56</f>
        <v>1.5414908107951639</v>
      </c>
      <c r="N56">
        <f t="shared" ref="N56" si="10">H$7-H56</f>
        <v>-2.1801864085568674</v>
      </c>
      <c r="O56">
        <f t="shared" ref="O56" si="11">I$7-I56</f>
        <v>2.2865372603194345</v>
      </c>
      <c r="P56">
        <f t="shared" ref="P56" si="12">J$7-J56</f>
        <v>-2.501896685101725</v>
      </c>
      <c r="Q56">
        <f t="shared" ref="Q56" si="13">K$7-K56</f>
        <v>2.8132273058320116</v>
      </c>
      <c r="R56">
        <f t="shared" ref="R56" si="14">SQRT(SUMPRODUCT(M56:Q56,M56:Q56,$G$14:$K$14))</f>
        <v>3.5153462615581881</v>
      </c>
    </row>
    <row r="57" spans="1:22" x14ac:dyDescent="0.25">
      <c r="B57" s="1">
        <v>2025</v>
      </c>
      <c r="C57" s="1"/>
      <c r="D57" s="1"/>
      <c r="G57">
        <v>0.83612764658515459</v>
      </c>
      <c r="H57">
        <v>-0.70536316421000933</v>
      </c>
      <c r="I57">
        <v>1.4748232443468581</v>
      </c>
      <c r="J57">
        <v>-0.81171401597257642</v>
      </c>
      <c r="K57">
        <v>1.6901826691291486</v>
      </c>
    </row>
    <row r="58" spans="1:22" x14ac:dyDescent="0.25">
      <c r="B58" s="1"/>
      <c r="C58" s="1"/>
      <c r="D58" s="1"/>
    </row>
    <row r="59" spans="1:22" x14ac:dyDescent="0.25">
      <c r="B59" s="1"/>
      <c r="C59" s="1"/>
      <c r="D59" s="1"/>
    </row>
    <row r="60" spans="1:22" x14ac:dyDescent="0.25">
      <c r="B60" s="1"/>
      <c r="C60" s="1"/>
      <c r="D60" s="1"/>
      <c r="U60" t="s">
        <v>60</v>
      </c>
    </row>
    <row r="61" spans="1:22" x14ac:dyDescent="0.25">
      <c r="B61" s="1"/>
      <c r="C61" s="1"/>
      <c r="D61" s="1"/>
      <c r="U61" t="s">
        <v>58</v>
      </c>
    </row>
    <row r="62" spans="1:22" x14ac:dyDescent="0.25">
      <c r="B62" s="1"/>
      <c r="C62" s="1"/>
      <c r="D62" s="1"/>
      <c r="U62">
        <v>2011</v>
      </c>
      <c r="V62">
        <v>-0.73254725136595766</v>
      </c>
    </row>
    <row r="63" spans="1:22" x14ac:dyDescent="0.25">
      <c r="B63" s="1"/>
      <c r="C63" s="1"/>
      <c r="D63" s="1"/>
      <c r="E63" s="1"/>
      <c r="U63">
        <v>2013</v>
      </c>
      <c r="V63">
        <v>-1.0223910078032166</v>
      </c>
    </row>
    <row r="64" spans="1:22" x14ac:dyDescent="0.25">
      <c r="B64" s="1"/>
      <c r="C64" s="1"/>
      <c r="D64" s="1"/>
      <c r="U64">
        <v>2015</v>
      </c>
      <c r="V64">
        <v>-0.18449233443991453</v>
      </c>
    </row>
    <row r="65" spans="2:30" x14ac:dyDescent="0.25">
      <c r="B65" s="1"/>
      <c r="C65" s="1"/>
      <c r="D65" s="1"/>
      <c r="U65">
        <v>2023</v>
      </c>
      <c r="V65">
        <v>-0.70536316421000933</v>
      </c>
    </row>
    <row r="66" spans="2:30" x14ac:dyDescent="0.25">
      <c r="B66" s="1"/>
      <c r="C66" s="1"/>
      <c r="D66" s="1"/>
    </row>
    <row r="67" spans="2:30" x14ac:dyDescent="0.25">
      <c r="B67" s="1"/>
      <c r="C67" s="1"/>
      <c r="D67" s="1"/>
      <c r="T67" t="s">
        <v>57</v>
      </c>
      <c r="V67">
        <f>AVERAGE(V62:V65)</f>
        <v>-0.66119843945477452</v>
      </c>
    </row>
    <row r="68" spans="2:30" x14ac:dyDescent="0.25">
      <c r="B68" s="1"/>
      <c r="C68" s="1"/>
      <c r="D68" s="1"/>
    </row>
    <row r="69" spans="2:30" x14ac:dyDescent="0.25">
      <c r="B69" s="1"/>
      <c r="C69" s="1"/>
      <c r="D69" s="1"/>
      <c r="U69" t="s">
        <v>54</v>
      </c>
      <c r="X69">
        <v>-0.66</v>
      </c>
    </row>
    <row r="70" spans="2:30" x14ac:dyDescent="0.25">
      <c r="B70" s="1"/>
      <c r="C70" s="1"/>
      <c r="D70" s="1"/>
      <c r="U70" t="s">
        <v>55</v>
      </c>
      <c r="X70" s="6">
        <f>E56+V67</f>
        <v>12.87447783809143</v>
      </c>
    </row>
    <row r="71" spans="2:30" x14ac:dyDescent="0.25">
      <c r="B71" s="1"/>
      <c r="C71" s="1"/>
      <c r="D71" s="1"/>
      <c r="U71" t="s">
        <v>56</v>
      </c>
      <c r="X71" s="7">
        <f>EXP(X70)</f>
        <v>390224.63446268393</v>
      </c>
      <c r="Z71" t="s">
        <v>111</v>
      </c>
    </row>
    <row r="72" spans="2:30" x14ac:dyDescent="0.25">
      <c r="B72" s="1"/>
      <c r="C72" s="1"/>
      <c r="D72" s="1"/>
    </row>
    <row r="73" spans="2:30" x14ac:dyDescent="0.25">
      <c r="B73" s="1"/>
      <c r="C73" s="1"/>
      <c r="D73" s="1"/>
    </row>
    <row r="74" spans="2:30" x14ac:dyDescent="0.25">
      <c r="B74" s="1"/>
      <c r="C74" s="1"/>
      <c r="D74" s="1"/>
    </row>
    <row r="75" spans="2:30" x14ac:dyDescent="0.25">
      <c r="B75" s="1"/>
      <c r="C75" s="1"/>
      <c r="D75" s="1"/>
      <c r="U75" t="s">
        <v>87</v>
      </c>
    </row>
    <row r="76" spans="2:30" x14ac:dyDescent="0.25">
      <c r="B76" s="1"/>
      <c r="C76" s="1"/>
      <c r="D76" s="1"/>
      <c r="X76" s="7">
        <v>276626.37202035275</v>
      </c>
      <c r="Y76">
        <f>LN(X76)</f>
        <v>12.530423037197727</v>
      </c>
    </row>
    <row r="77" spans="2:30" x14ac:dyDescent="0.25">
      <c r="B77" s="1"/>
      <c r="C77" s="1"/>
      <c r="D77" s="1"/>
    </row>
    <row r="78" spans="2:30" x14ac:dyDescent="0.25">
      <c r="B78" s="1"/>
      <c r="C78" s="1"/>
      <c r="D78" s="1"/>
    </row>
    <row r="79" spans="2:30" x14ac:dyDescent="0.25">
      <c r="B79" s="1"/>
      <c r="C79" s="1"/>
      <c r="D79" s="1"/>
      <c r="U79" t="s">
        <v>88</v>
      </c>
      <c r="X79" s="7">
        <v>319998.93213776447</v>
      </c>
      <c r="Y79" t="s">
        <v>90</v>
      </c>
    </row>
    <row r="80" spans="2:30" x14ac:dyDescent="0.25">
      <c r="B80" s="1"/>
      <c r="C80" s="1"/>
      <c r="D80" s="1"/>
      <c r="U80" t="s">
        <v>89</v>
      </c>
      <c r="Y80" t="s">
        <v>91</v>
      </c>
      <c r="AD80">
        <f>LN(350200)</f>
        <v>12.766259698833888</v>
      </c>
    </row>
    <row r="81" spans="2:30" ht="15.75" thickBot="1" x14ac:dyDescent="0.3">
      <c r="B81" s="1"/>
      <c r="C81" s="1"/>
      <c r="D81" s="1"/>
    </row>
    <row r="82" spans="2:30" x14ac:dyDescent="0.25">
      <c r="B82" s="1"/>
      <c r="C82" s="1"/>
      <c r="D82" s="1"/>
      <c r="U82" s="15" t="s">
        <v>153</v>
      </c>
      <c r="V82" s="16"/>
      <c r="W82" s="16"/>
      <c r="X82" s="16"/>
      <c r="Y82" s="16"/>
      <c r="Z82" s="26"/>
    </row>
    <row r="83" spans="2:30" ht="15.75" thickBot="1" x14ac:dyDescent="0.3">
      <c r="B83" s="1"/>
      <c r="C83" s="1"/>
      <c r="D83" s="1"/>
      <c r="U83" s="17"/>
      <c r="V83" s="18"/>
      <c r="W83" s="18"/>
      <c r="X83" s="27">
        <v>306576.16095872811</v>
      </c>
      <c r="Y83" s="18" t="s">
        <v>152</v>
      </c>
      <c r="Z83" s="19"/>
      <c r="AD83" s="25">
        <f>AVERAGE(X76,X79)</f>
        <v>298312.65207905858</v>
      </c>
    </row>
    <row r="84" spans="2:30" x14ac:dyDescent="0.25">
      <c r="B84" s="1"/>
      <c r="C84" s="1"/>
      <c r="D84" s="1"/>
      <c r="X84" s="6">
        <f>LN(X83)</f>
        <v>12.633221489489983</v>
      </c>
      <c r="Y84" t="s">
        <v>154</v>
      </c>
    </row>
    <row r="85" spans="2:30" x14ac:dyDescent="0.25">
      <c r="B85" s="1"/>
      <c r="C85" s="1"/>
      <c r="D85" s="1"/>
      <c r="Y85" t="s">
        <v>155</v>
      </c>
    </row>
    <row r="86" spans="2:30" x14ac:dyDescent="0.25">
      <c r="B86" s="1"/>
      <c r="C86" s="1"/>
      <c r="D86" s="1"/>
    </row>
    <row r="87" spans="2:30" x14ac:dyDescent="0.25">
      <c r="B87" s="1"/>
      <c r="C87" s="1"/>
      <c r="D87" s="1"/>
    </row>
    <row r="88" spans="2:30" x14ac:dyDescent="0.25">
      <c r="B88" s="1"/>
      <c r="C88" s="1"/>
      <c r="D88" s="1"/>
    </row>
    <row r="89" spans="2:30" x14ac:dyDescent="0.25">
      <c r="B89" s="1"/>
      <c r="C89" s="1"/>
      <c r="D89" s="1"/>
    </row>
    <row r="90" spans="2:30" x14ac:dyDescent="0.25">
      <c r="B90" s="1"/>
      <c r="C90" s="1"/>
      <c r="D90" s="1"/>
    </row>
    <row r="91" spans="2:30" x14ac:dyDescent="0.25">
      <c r="B91" s="1"/>
      <c r="C91" s="1"/>
      <c r="D91" s="1"/>
    </row>
    <row r="92" spans="2:30" x14ac:dyDescent="0.25">
      <c r="B92" s="1"/>
      <c r="C92" s="1"/>
      <c r="D9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Review2024</vt:lpstr>
      <vt:lpstr>ColRetTbl</vt:lpstr>
      <vt:lpstr>Enviro</vt:lpstr>
      <vt:lpstr>Pred2025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2025-05-21T22:48:54Z</dcterms:modified>
</cp:coreProperties>
</file>