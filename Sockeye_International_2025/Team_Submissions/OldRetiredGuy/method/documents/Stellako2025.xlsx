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ec&amp;BarbsFiles\Alec\AlecScience\SalmonPrize\2025Prize\ORG2025spreadsheets\"/>
    </mc:Choice>
  </mc:AlternateContent>
  <xr:revisionPtr revIDLastSave="0" documentId="8_{FCA1F21E-FC25-4FD7-9CF4-B35074519027}" xr6:coauthVersionLast="47" xr6:coauthVersionMax="47" xr10:uidLastSave="{00000000-0000-0000-0000-000000000000}"/>
  <bookViews>
    <workbookView xWindow="-120" yWindow="-120" windowWidth="29040" windowHeight="15720" xr2:uid="{48EC75D3-31D2-4051-8384-87EB0A9466FF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43" i="1" l="1"/>
  <c r="H241" i="1"/>
  <c r="H242" i="1" s="1"/>
  <c r="G241" i="1"/>
  <c r="G242" i="1" s="1"/>
  <c r="F241" i="1"/>
  <c r="F242" i="1" s="1"/>
  <c r="H238" i="1"/>
  <c r="H239" i="1" s="1"/>
  <c r="G238" i="1"/>
  <c r="G239" i="1" s="1"/>
  <c r="F238" i="1"/>
  <c r="F239" i="1" s="1"/>
  <c r="K236" i="1"/>
  <c r="J236" i="1"/>
  <c r="K235" i="1"/>
  <c r="J235" i="1"/>
  <c r="K234" i="1"/>
  <c r="J234" i="1"/>
  <c r="K233" i="1"/>
  <c r="J233" i="1"/>
  <c r="K232" i="1"/>
  <c r="J232" i="1"/>
  <c r="K231" i="1"/>
  <c r="J231" i="1"/>
  <c r="K230" i="1"/>
  <c r="J230" i="1"/>
  <c r="K229" i="1"/>
  <c r="J229" i="1"/>
  <c r="K228" i="1"/>
  <c r="J228" i="1"/>
  <c r="K227" i="1"/>
  <c r="J227" i="1"/>
  <c r="K226" i="1"/>
  <c r="J226" i="1"/>
  <c r="K225" i="1"/>
  <c r="J225" i="1"/>
  <c r="K224" i="1"/>
  <c r="J224" i="1"/>
  <c r="K223" i="1"/>
  <c r="J223" i="1"/>
  <c r="K222" i="1"/>
  <c r="J222" i="1"/>
  <c r="K221" i="1"/>
  <c r="J221" i="1"/>
  <c r="K220" i="1"/>
  <c r="J220" i="1"/>
  <c r="K219" i="1"/>
  <c r="J219" i="1"/>
  <c r="Q218" i="1"/>
  <c r="R218" i="1" s="1"/>
  <c r="T218" i="1" s="1"/>
  <c r="K218" i="1"/>
  <c r="J218" i="1"/>
  <c r="T217" i="1"/>
  <c r="K217" i="1"/>
  <c r="J217" i="1"/>
  <c r="T216" i="1"/>
  <c r="K216" i="1"/>
  <c r="J216" i="1"/>
  <c r="T215" i="1"/>
  <c r="Q215" i="1"/>
  <c r="R215" i="1" s="1"/>
  <c r="K215" i="1"/>
  <c r="J215" i="1"/>
  <c r="T214" i="1"/>
  <c r="Q214" i="1"/>
  <c r="R214" i="1" s="1"/>
  <c r="K214" i="1"/>
  <c r="J214" i="1"/>
  <c r="T213" i="1"/>
  <c r="Q213" i="1"/>
  <c r="R213" i="1" s="1"/>
  <c r="K213" i="1"/>
  <c r="J213" i="1"/>
  <c r="T212" i="1"/>
  <c r="Q212" i="1"/>
  <c r="R212" i="1" s="1"/>
  <c r="K212" i="1"/>
  <c r="J212" i="1"/>
  <c r="T211" i="1"/>
  <c r="R211" i="1"/>
  <c r="Q211" i="1"/>
  <c r="K211" i="1"/>
  <c r="J211" i="1"/>
  <c r="T210" i="1"/>
  <c r="Q210" i="1"/>
  <c r="R210" i="1" s="1"/>
  <c r="K210" i="1"/>
  <c r="J210" i="1"/>
  <c r="T209" i="1"/>
  <c r="Q209" i="1"/>
  <c r="R209" i="1" s="1"/>
  <c r="K209" i="1"/>
  <c r="J209" i="1"/>
  <c r="T208" i="1"/>
  <c r="Q208" i="1"/>
  <c r="R208" i="1" s="1"/>
  <c r="K208" i="1"/>
  <c r="J208" i="1"/>
  <c r="T207" i="1"/>
  <c r="Q207" i="1"/>
  <c r="R207" i="1" s="1"/>
  <c r="K207" i="1"/>
  <c r="J207" i="1"/>
  <c r="T206" i="1"/>
  <c r="Q206" i="1"/>
  <c r="R206" i="1" s="1"/>
  <c r="K206" i="1"/>
  <c r="J206" i="1"/>
  <c r="T205" i="1"/>
  <c r="Q205" i="1"/>
  <c r="R205" i="1" s="1"/>
  <c r="K205" i="1"/>
  <c r="J205" i="1"/>
  <c r="T204" i="1"/>
  <c r="Q204" i="1"/>
  <c r="R204" i="1" s="1"/>
  <c r="K204" i="1"/>
  <c r="J204" i="1"/>
  <c r="T203" i="1"/>
  <c r="Q203" i="1"/>
  <c r="R203" i="1" s="1"/>
  <c r="K203" i="1"/>
  <c r="J203" i="1"/>
  <c r="T202" i="1"/>
  <c r="Q202" i="1"/>
  <c r="R202" i="1" s="1"/>
  <c r="K202" i="1"/>
  <c r="J202" i="1"/>
  <c r="K201" i="1"/>
  <c r="J201" i="1"/>
  <c r="K200" i="1"/>
  <c r="J200" i="1"/>
  <c r="K199" i="1"/>
  <c r="J199" i="1"/>
  <c r="K198" i="1"/>
  <c r="J198" i="1"/>
  <c r="K197" i="1"/>
  <c r="J197" i="1"/>
  <c r="P196" i="1"/>
  <c r="K196" i="1"/>
  <c r="J196" i="1"/>
  <c r="K195" i="1"/>
  <c r="J195" i="1"/>
  <c r="K194" i="1"/>
  <c r="J194" i="1"/>
  <c r="K193" i="1"/>
  <c r="J193" i="1"/>
  <c r="K192" i="1"/>
  <c r="J192" i="1"/>
  <c r="K191" i="1"/>
  <c r="J191" i="1"/>
  <c r="K190" i="1"/>
  <c r="J190" i="1"/>
  <c r="K189" i="1"/>
  <c r="J189" i="1"/>
  <c r="K188" i="1"/>
  <c r="J188" i="1"/>
  <c r="K187" i="1"/>
  <c r="J187" i="1"/>
  <c r="K186" i="1"/>
  <c r="J186" i="1"/>
  <c r="K185" i="1"/>
  <c r="J185" i="1"/>
  <c r="K184" i="1"/>
  <c r="J184" i="1"/>
  <c r="K183" i="1"/>
  <c r="J183" i="1"/>
  <c r="K182" i="1"/>
  <c r="J182" i="1"/>
  <c r="K181" i="1"/>
  <c r="J181" i="1"/>
  <c r="K180" i="1"/>
  <c r="J180" i="1"/>
  <c r="K179" i="1"/>
  <c r="J179" i="1"/>
  <c r="K178" i="1"/>
  <c r="J178" i="1"/>
  <c r="K177" i="1"/>
  <c r="J177" i="1"/>
  <c r="K176" i="1"/>
  <c r="J176" i="1"/>
  <c r="K175" i="1"/>
  <c r="J175" i="1"/>
  <c r="K174" i="1"/>
  <c r="J174" i="1"/>
  <c r="K173" i="1"/>
  <c r="J173" i="1"/>
  <c r="K172" i="1"/>
  <c r="J172" i="1"/>
  <c r="K171" i="1"/>
  <c r="J171" i="1"/>
  <c r="K170" i="1"/>
  <c r="J170" i="1"/>
  <c r="K169" i="1"/>
  <c r="J169" i="1"/>
  <c r="K168" i="1"/>
  <c r="J168" i="1"/>
  <c r="K167" i="1"/>
  <c r="J167" i="1"/>
  <c r="K166" i="1"/>
  <c r="J166" i="1"/>
  <c r="K165" i="1"/>
  <c r="J165" i="1"/>
  <c r="K164" i="1"/>
  <c r="J164" i="1"/>
  <c r="L148" i="1"/>
  <c r="M133" i="1"/>
  <c r="M132" i="1"/>
  <c r="N132" i="1" s="1"/>
  <c r="M131" i="1"/>
  <c r="N131" i="1" s="1"/>
  <c r="N133" i="1" s="1"/>
  <c r="L133" i="1" s="1"/>
  <c r="R133" i="1" s="1"/>
  <c r="M119" i="1"/>
  <c r="M120" i="1" s="1"/>
  <c r="M118" i="1"/>
  <c r="M113" i="1"/>
  <c r="M112" i="1"/>
  <c r="M114" i="1" s="1"/>
  <c r="O114" i="1" s="1"/>
  <c r="M108" i="1"/>
  <c r="M107" i="1"/>
  <c r="M109" i="1" s="1"/>
  <c r="Q106" i="1"/>
  <c r="D79" i="1"/>
  <c r="E79" i="1" s="1"/>
  <c r="D78" i="1"/>
  <c r="N150" i="1" s="1"/>
  <c r="P150" i="1" s="1"/>
  <c r="D77" i="1"/>
  <c r="E77" i="1" s="1"/>
  <c r="D76" i="1"/>
  <c r="E76" i="1" s="1"/>
  <c r="D75" i="1"/>
  <c r="E75" i="1" s="1"/>
  <c r="D74" i="1"/>
  <c r="E74" i="1" s="1"/>
  <c r="D73" i="1"/>
  <c r="E73" i="1" s="1"/>
  <c r="D72" i="1"/>
  <c r="E72" i="1" s="1"/>
  <c r="E71" i="1"/>
  <c r="D71" i="1"/>
  <c r="D70" i="1"/>
  <c r="E70" i="1" s="1"/>
  <c r="D69" i="1"/>
  <c r="E69" i="1" s="1"/>
  <c r="D68" i="1"/>
  <c r="E68" i="1" s="1"/>
  <c r="D67" i="1"/>
  <c r="E67" i="1" s="1"/>
  <c r="D66" i="1"/>
  <c r="E66" i="1" s="1"/>
  <c r="D65" i="1"/>
  <c r="E65" i="1" s="1"/>
  <c r="D64" i="1"/>
  <c r="E64" i="1" s="1"/>
  <c r="D63" i="1"/>
  <c r="E63" i="1" s="1"/>
  <c r="D62" i="1"/>
  <c r="E62" i="1" s="1"/>
  <c r="D61" i="1"/>
  <c r="E61" i="1" s="1"/>
  <c r="D60" i="1"/>
  <c r="E60" i="1" s="1"/>
  <c r="D59" i="1"/>
  <c r="E59" i="1" s="1"/>
  <c r="D58" i="1"/>
  <c r="E58" i="1" s="1"/>
  <c r="E57" i="1"/>
  <c r="D57" i="1"/>
  <c r="D56" i="1"/>
  <c r="E56" i="1" s="1"/>
  <c r="D55" i="1"/>
  <c r="E55" i="1" s="1"/>
  <c r="D54" i="1"/>
  <c r="E54" i="1" s="1"/>
  <c r="D53" i="1"/>
  <c r="E53" i="1" s="1"/>
  <c r="D52" i="1"/>
  <c r="E52" i="1" s="1"/>
  <c r="D51" i="1"/>
  <c r="E51" i="1" s="1"/>
  <c r="D50" i="1"/>
  <c r="E50" i="1" s="1"/>
  <c r="D49" i="1"/>
  <c r="E49" i="1" s="1"/>
  <c r="D48" i="1"/>
  <c r="E48" i="1" s="1"/>
  <c r="D47" i="1"/>
  <c r="E47" i="1" s="1"/>
  <c r="D46" i="1"/>
  <c r="E46" i="1" s="1"/>
  <c r="D45" i="1"/>
  <c r="E45" i="1" s="1"/>
  <c r="D44" i="1"/>
  <c r="E44" i="1" s="1"/>
  <c r="E43" i="1"/>
  <c r="D43" i="1"/>
  <c r="D42" i="1"/>
  <c r="E42" i="1" s="1"/>
  <c r="D41" i="1"/>
  <c r="E41" i="1" s="1"/>
  <c r="D40" i="1"/>
  <c r="E40" i="1" s="1"/>
  <c r="D39" i="1"/>
  <c r="E39" i="1" s="1"/>
  <c r="D38" i="1"/>
  <c r="E38" i="1" s="1"/>
  <c r="D37" i="1"/>
  <c r="E37" i="1" s="1"/>
  <c r="D36" i="1"/>
  <c r="E36" i="1" s="1"/>
  <c r="D35" i="1"/>
  <c r="E35" i="1" s="1"/>
  <c r="D34" i="1"/>
  <c r="E34" i="1" s="1"/>
  <c r="D33" i="1"/>
  <c r="E33" i="1" s="1"/>
  <c r="D32" i="1"/>
  <c r="E32" i="1" s="1"/>
  <c r="D31" i="1"/>
  <c r="E31" i="1" s="1"/>
  <c r="D30" i="1"/>
  <c r="E30" i="1" s="1"/>
  <c r="E29" i="1"/>
  <c r="D29" i="1"/>
  <c r="D28" i="1"/>
  <c r="E28" i="1" s="1"/>
  <c r="D27" i="1"/>
  <c r="E27" i="1" s="1"/>
  <c r="D26" i="1"/>
  <c r="E26" i="1" s="1"/>
  <c r="D25" i="1"/>
  <c r="E25" i="1" s="1"/>
  <c r="D24" i="1"/>
  <c r="E24" i="1" s="1"/>
  <c r="D23" i="1"/>
  <c r="E23" i="1" s="1"/>
  <c r="D22" i="1"/>
  <c r="E22" i="1" s="1"/>
  <c r="D21" i="1"/>
  <c r="E21" i="1" s="1"/>
  <c r="D20" i="1"/>
  <c r="E20" i="1" s="1"/>
  <c r="D19" i="1"/>
  <c r="E19" i="1" s="1"/>
  <c r="D18" i="1"/>
  <c r="E18" i="1" s="1"/>
  <c r="D17" i="1"/>
  <c r="E17" i="1" s="1"/>
  <c r="D16" i="1"/>
  <c r="E16" i="1" s="1"/>
  <c r="E15" i="1"/>
  <c r="D15" i="1"/>
  <c r="D14" i="1"/>
  <c r="E14" i="1" s="1"/>
  <c r="D13" i="1"/>
  <c r="E13" i="1" s="1"/>
  <c r="D12" i="1"/>
  <c r="E12" i="1" s="1"/>
  <c r="D11" i="1"/>
  <c r="E11" i="1" s="1"/>
  <c r="D10" i="1"/>
  <c r="E10" i="1" s="1"/>
  <c r="D9" i="1"/>
  <c r="E9" i="1" s="1"/>
  <c r="D8" i="1"/>
  <c r="E8" i="1" s="1"/>
  <c r="D7" i="1"/>
  <c r="E7" i="1" s="1"/>
  <c r="D6" i="1"/>
  <c r="M122" i="1" l="1"/>
  <c r="N122" i="1" s="1"/>
  <c r="U220" i="1"/>
  <c r="U218" i="1"/>
  <c r="O109" i="1"/>
  <c r="O116" i="1" s="1"/>
  <c r="E78" i="1"/>
</calcChain>
</file>

<file path=xl/sharedStrings.xml><?xml version="1.0" encoding="utf-8"?>
<sst xmlns="http://schemas.openxmlformats.org/spreadsheetml/2006/main" count="266" uniqueCount="109">
  <si>
    <t>Case:</t>
  </si>
  <si>
    <t>Stellako</t>
  </si>
  <si>
    <t>Data</t>
  </si>
  <si>
    <t>observations</t>
  </si>
  <si>
    <t>Year</t>
  </si>
  <si>
    <t>Xt</t>
  </si>
  <si>
    <t>ln Rects</t>
  </si>
  <si>
    <t>deltaLnR</t>
  </si>
  <si>
    <t>my pred</t>
  </si>
  <si>
    <t>red dot is my prediction for 2025</t>
  </si>
  <si>
    <t>WHAT I DID IN 2024</t>
  </si>
  <si>
    <t>Comment on patterns:</t>
  </si>
  <si>
    <t xml:space="preserve">Overall periodicity is about 5 years peak to peak, i.e., compare value with t-4 </t>
  </si>
  <si>
    <t>Looking mainly at years since 2005, which appear to be stationary</t>
  </si>
  <si>
    <t>Looking at recent lows (2024 seems to resemble 2016 and 2020 so far)</t>
  </si>
  <si>
    <t>2016 case  (with El Nino)</t>
  </si>
  <si>
    <t>mean</t>
  </si>
  <si>
    <t>change</t>
  </si>
  <si>
    <t>includes El Nino</t>
  </si>
  <si>
    <t>2020 case</t>
  </si>
  <si>
    <t>not an El Nino year</t>
  </si>
  <si>
    <t>is the mean of the two changes</t>
  </si>
  <si>
    <t>2024 case</t>
  </si>
  <si>
    <t>prediction</t>
  </si>
  <si>
    <t>ACTUAL</t>
  </si>
  <si>
    <t>MISSED BY A LOT!</t>
  </si>
  <si>
    <t>STILL SHOWS A DECLINE, BUT A much SMALLER ONE THAN I ANTICIPATED</t>
  </si>
  <si>
    <t>PREDICTION FOR 2025</t>
  </si>
  <si>
    <t>Patterns still seem to be present--but don't look reliable</t>
  </si>
  <si>
    <t>lnR has a trend if we start in 2010</t>
  </si>
  <si>
    <t>trend</t>
  </si>
  <si>
    <t>lnR</t>
  </si>
  <si>
    <t>dev from trend</t>
  </si>
  <si>
    <t>average of above</t>
  </si>
  <si>
    <t>antilog</t>
  </si>
  <si>
    <t>but the pattern suggests a rise (weak evidence)</t>
  </si>
  <si>
    <t>my final prediction from mult reg (shown) is well above the trend</t>
  </si>
  <si>
    <t>DeltaLnR looks like we should get an increase--but it went down in 2013 under similar conditions--unreliable</t>
  </si>
  <si>
    <t>2016-17</t>
  </si>
  <si>
    <t>2020-21</t>
  </si>
  <si>
    <t>avg</t>
  </si>
  <si>
    <t>prediction is 11.232+0.807</t>
  </si>
  <si>
    <t>antilog is</t>
  </si>
  <si>
    <t>Does brood table help?</t>
  </si>
  <si>
    <t>ln run</t>
  </si>
  <si>
    <t>System</t>
  </si>
  <si>
    <t>River</t>
  </si>
  <si>
    <t>ReturnYear</t>
  </si>
  <si>
    <t>Total_Returns</t>
  </si>
  <si>
    <t>AC_1.1</t>
  </si>
  <si>
    <t>AC_1.2</t>
  </si>
  <si>
    <t>AC_1.3</t>
  </si>
  <si>
    <t>prev year 1.1</t>
  </si>
  <si>
    <t>Fraser River</t>
  </si>
  <si>
    <t>since 2005</t>
  </si>
  <si>
    <t>looks promising</t>
  </si>
  <si>
    <t>delete zero values and one outlier</t>
  </si>
  <si>
    <t>r-squared is weak</t>
  </si>
  <si>
    <t>predicted 2025 run is</t>
  </si>
  <si>
    <t>pred</t>
  </si>
  <si>
    <t>this is a bit higher than the pattern predictions is very imprecise, and similar to official</t>
  </si>
  <si>
    <t>SUMMARY OUTPUT</t>
  </si>
  <si>
    <t>run</t>
  </si>
  <si>
    <t>AC1.1</t>
  </si>
  <si>
    <t>PC1-21</t>
  </si>
  <si>
    <t>predfromAC1</t>
  </si>
  <si>
    <t>lnAC1.1</t>
  </si>
  <si>
    <t>Regression Statistics</t>
  </si>
  <si>
    <t>Multiple R</t>
  </si>
  <si>
    <t>R Square</t>
  </si>
  <si>
    <t>r square is terrible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</si>
  <si>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</si>
  <si>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</si>
  <si>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</si>
  <si>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</si>
  <si>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</si>
  <si>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</si>
  <si>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</si>
  <si>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</si>
  <si>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</si>
  <si>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</si>
  <si>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</si>
  <si>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</si>
  <si>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</si>
  <si>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</si>
  <si>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</si>
  <si>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</si>
  <si>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</si>
  <si>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</si>
  <si>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</si>
  <si>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</si>
  <si>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</si>
  <si>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X Variable 2</t>
  </si>
  <si>
    <t>mult reg discounts 1.1s and trusts PC1 much more</t>
  </si>
  <si>
    <t>from mult reg</t>
  </si>
  <si>
    <t>This is very close to the official prediction of 277680</t>
  </si>
  <si>
    <t>also consistent with the patterns, expecting an increase</t>
  </si>
  <si>
    <t>Combined evidence is very weak and imprecise--could be almost anything</t>
  </si>
  <si>
    <t>average</t>
  </si>
  <si>
    <t>percent</t>
  </si>
  <si>
    <t>since 2010</t>
  </si>
  <si>
    <t>1.3 from previous 1.2 give a useful prediction, but 1.3 average 12% of the total</t>
  </si>
  <si>
    <t>2024s 1.2s</t>
  </si>
  <si>
    <t>is at the upper end of the distribution (only 2014 is larger)</t>
  </si>
  <si>
    <t>predicted 1.3 are</t>
  </si>
  <si>
    <t>which is about half the recent average, and not much influence on total run size</t>
  </si>
  <si>
    <t>correls of ln run vs PC1 (lag)</t>
  </si>
  <si>
    <t>the old pattern (blue) had some useful correlations</t>
  </si>
  <si>
    <t>but the new pattern (red) doesn't have 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</si>
</sst>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1" xfId="0" applyBorder="1"/>
    <xf numFmtId="0" fontId="4" fillId="0" borderId="0" xfId="0" applyFont="1"/>
    <xf numFmtId="1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0" fontId="5" fillId="0" borderId="2" xfId="0" applyFont="1" applyBorder="1" applyAlignment="1">
      <alignment horizontal="centerContinuous"/>
    </xf>
    <xf numFmtId="0" fontId="5" fillId="0" borderId="2" xfId="0" applyFont="1" applyBorder="1" applyAlignment="1">
      <alignment horizontal="center"/>
    </xf>
    <xf numFmtId="0" fontId="0" fillId="2" borderId="1" xfId="0" applyFill="1" applyBorder="1"/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5" fontId="0" fillId="0" borderId="0" xfId="1" applyNumberFormat="1" applyFont="1"/>
    <xf numFmtId="0" fontId="0" fillId="0" borderId="0" xfId="0" quotePrefix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[1]Stellako!$B$6:$B$77</c:f>
              <c:numCache>
                <c:formatCode>General</c:formatCode>
                <c:ptCount val="72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</c:numCache>
            </c:numRef>
          </c:xVal>
          <c:yVal>
            <c:numRef>
              <c:f>[1]Stellako!$C$6:$C$77</c:f>
              <c:numCache>
                <c:formatCode>General</c:formatCode>
                <c:ptCount val="72"/>
                <c:pt idx="0">
                  <c:v>185308</c:v>
                </c:pt>
                <c:pt idx="1">
                  <c:v>200034</c:v>
                </c:pt>
                <c:pt idx="2">
                  <c:v>910135</c:v>
                </c:pt>
                <c:pt idx="3">
                  <c:v>384791</c:v>
                </c:pt>
                <c:pt idx="4">
                  <c:v>195306</c:v>
                </c:pt>
                <c:pt idx="5">
                  <c:v>176197</c:v>
                </c:pt>
                <c:pt idx="6">
                  <c:v>1158256</c:v>
                </c:pt>
                <c:pt idx="7">
                  <c:v>670552</c:v>
                </c:pt>
                <c:pt idx="8">
                  <c:v>247499</c:v>
                </c:pt>
                <c:pt idx="9">
                  <c:v>171234</c:v>
                </c:pt>
                <c:pt idx="10">
                  <c:v>331106</c:v>
                </c:pt>
                <c:pt idx="11">
                  <c:v>531152</c:v>
                </c:pt>
                <c:pt idx="12">
                  <c:v>170113</c:v>
                </c:pt>
                <c:pt idx="13">
                  <c:v>158301</c:v>
                </c:pt>
                <c:pt idx="14">
                  <c:v>583074</c:v>
                </c:pt>
                <c:pt idx="15">
                  <c:v>731057</c:v>
                </c:pt>
                <c:pt idx="16">
                  <c:v>184315</c:v>
                </c:pt>
                <c:pt idx="17">
                  <c:v>238902</c:v>
                </c:pt>
                <c:pt idx="18">
                  <c:v>348976</c:v>
                </c:pt>
                <c:pt idx="19">
                  <c:v>554728</c:v>
                </c:pt>
                <c:pt idx="20">
                  <c:v>144381</c:v>
                </c:pt>
                <c:pt idx="21">
                  <c:v>240736</c:v>
                </c:pt>
                <c:pt idx="22">
                  <c:v>246689</c:v>
                </c:pt>
                <c:pt idx="23">
                  <c:v>513105</c:v>
                </c:pt>
                <c:pt idx="24">
                  <c:v>711237</c:v>
                </c:pt>
                <c:pt idx="25">
                  <c:v>122420</c:v>
                </c:pt>
                <c:pt idx="26">
                  <c:v>295694</c:v>
                </c:pt>
                <c:pt idx="27">
                  <c:v>1852392</c:v>
                </c:pt>
                <c:pt idx="28">
                  <c:v>284339</c:v>
                </c:pt>
                <c:pt idx="29">
                  <c:v>237504</c:v>
                </c:pt>
                <c:pt idx="30">
                  <c:v>445024</c:v>
                </c:pt>
                <c:pt idx="31">
                  <c:v>526984</c:v>
                </c:pt>
                <c:pt idx="32">
                  <c:v>681128</c:v>
                </c:pt>
                <c:pt idx="33">
                  <c:v>455291</c:v>
                </c:pt>
                <c:pt idx="34">
                  <c:v>362232</c:v>
                </c:pt>
                <c:pt idx="35">
                  <c:v>1144418</c:v>
                </c:pt>
                <c:pt idx="36">
                  <c:v>903283</c:v>
                </c:pt>
                <c:pt idx="37">
                  <c:v>364112</c:v>
                </c:pt>
                <c:pt idx="38">
                  <c:v>476408</c:v>
                </c:pt>
                <c:pt idx="39">
                  <c:v>470053</c:v>
                </c:pt>
                <c:pt idx="40">
                  <c:v>648446</c:v>
                </c:pt>
                <c:pt idx="41">
                  <c:v>553471</c:v>
                </c:pt>
                <c:pt idx="42">
                  <c:v>956333</c:v>
                </c:pt>
                <c:pt idx="43">
                  <c:v>388978</c:v>
                </c:pt>
                <c:pt idx="44">
                  <c:v>771677</c:v>
                </c:pt>
                <c:pt idx="45">
                  <c:v>202078</c:v>
                </c:pt>
                <c:pt idx="46">
                  <c:v>835157</c:v>
                </c:pt>
                <c:pt idx="47">
                  <c:v>216713</c:v>
                </c:pt>
                <c:pt idx="48">
                  <c:v>692039</c:v>
                </c:pt>
                <c:pt idx="49">
                  <c:v>245067</c:v>
                </c:pt>
                <c:pt idx="50">
                  <c:v>561079</c:v>
                </c:pt>
                <c:pt idx="51">
                  <c:v>277491</c:v>
                </c:pt>
                <c:pt idx="52">
                  <c:v>678056</c:v>
                </c:pt>
                <c:pt idx="53">
                  <c:v>273546</c:v>
                </c:pt>
                <c:pt idx="54">
                  <c:v>307985</c:v>
                </c:pt>
                <c:pt idx="55">
                  <c:v>59073</c:v>
                </c:pt>
                <c:pt idx="56">
                  <c:v>228384</c:v>
                </c:pt>
                <c:pt idx="57">
                  <c:v>40724</c:v>
                </c:pt>
                <c:pt idx="58">
                  <c:v>406365</c:v>
                </c:pt>
                <c:pt idx="59">
                  <c:v>196347</c:v>
                </c:pt>
                <c:pt idx="60">
                  <c:v>285866</c:v>
                </c:pt>
                <c:pt idx="61">
                  <c:v>181922</c:v>
                </c:pt>
                <c:pt idx="62">
                  <c:v>1551968</c:v>
                </c:pt>
                <c:pt idx="63">
                  <c:v>171903</c:v>
                </c:pt>
                <c:pt idx="64">
                  <c:v>54728</c:v>
                </c:pt>
                <c:pt idx="65">
                  <c:v>115634</c:v>
                </c:pt>
                <c:pt idx="66">
                  <c:v>398667</c:v>
                </c:pt>
                <c:pt idx="67">
                  <c:v>85526</c:v>
                </c:pt>
                <c:pt idx="68">
                  <c:v>57307</c:v>
                </c:pt>
                <c:pt idx="69">
                  <c:v>137357</c:v>
                </c:pt>
                <c:pt idx="70">
                  <c:v>227922</c:v>
                </c:pt>
                <c:pt idx="71">
                  <c:v>84000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B3-4F85-8504-6F93610404B0}"/>
            </c:ext>
          </c:extLst>
        </c:ser>
        <c:ser>
          <c:idx val="1"/>
          <c:order val="1"/>
          <c:xVal>
            <c:numRef>
              <c:f>[2]Stellako!$B$79</c:f>
              <c:numCache>
                <c:formatCode>General</c:formatCode>
                <c:ptCount val="1"/>
                <c:pt idx="0">
                  <c:v>2025</c:v>
                </c:pt>
              </c:numCache>
            </c:numRef>
          </c:xVal>
          <c:yVal>
            <c:numRef>
              <c:f>[2]Stellako!$C$79</c:f>
              <c:numCache>
                <c:formatCode>General</c:formatCode>
                <c:ptCount val="1"/>
                <c:pt idx="0">
                  <c:v>259596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B3-4F85-8504-6F9361040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101184"/>
        <c:axId val="257219584"/>
      </c:scatterChart>
      <c:valAx>
        <c:axId val="257101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7219584"/>
        <c:crosses val="autoZero"/>
        <c:crossBetween val="midCat"/>
      </c:valAx>
      <c:valAx>
        <c:axId val="257219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71011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Stellako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[1]Stellako!$B$59:$B$77</c:f>
              <c:numCache>
                <c:formatCode>General</c:formatCod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numCache>
            </c:numRef>
          </c:xVal>
          <c:yVal>
            <c:numRef>
              <c:f>[1]Stellako!$D$59:$D$77</c:f>
              <c:numCache>
                <c:formatCode>General</c:formatCode>
                <c:ptCount val="19"/>
                <c:pt idx="0">
                  <c:v>12.51922507682977</c:v>
                </c:pt>
                <c:pt idx="1">
                  <c:v>12.637806359471064</c:v>
                </c:pt>
                <c:pt idx="2">
                  <c:v>10.98652924621328</c:v>
                </c:pt>
                <c:pt idx="3">
                  <c:v>12.338783701770794</c:v>
                </c:pt>
                <c:pt idx="4">
                  <c:v>10.614572878227087</c:v>
                </c:pt>
                <c:pt idx="5">
                  <c:v>12.915007049490448</c:v>
                </c:pt>
                <c:pt idx="6">
                  <c:v>12.187638781050625</c:v>
                </c:pt>
                <c:pt idx="7">
                  <c:v>12.563278448538293</c:v>
                </c:pt>
                <c:pt idx="8">
                  <c:v>12.111333302767379</c:v>
                </c:pt>
                <c:pt idx="9">
                  <c:v>14.255034360956035</c:v>
                </c:pt>
                <c:pt idx="10">
                  <c:v>12.054685643225637</c:v>
                </c:pt>
                <c:pt idx="11">
                  <c:v>10.910130740440835</c:v>
                </c:pt>
                <c:pt idx="12">
                  <c:v>11.658185309623358</c:v>
                </c:pt>
                <c:pt idx="13">
                  <c:v>12.895881760944656</c:v>
                </c:pt>
                <c:pt idx="14">
                  <c:v>11.356575702265026</c:v>
                </c:pt>
                <c:pt idx="15">
                  <c:v>10.956178059290277</c:v>
                </c:pt>
                <c:pt idx="16">
                  <c:v>11.830338654913515</c:v>
                </c:pt>
                <c:pt idx="17">
                  <c:v>12.336758744142065</c:v>
                </c:pt>
                <c:pt idx="18">
                  <c:v>11.33857207782545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B4-42AF-813A-641A1EE1EFE2}"/>
            </c:ext>
          </c:extLst>
        </c:ser>
        <c:ser>
          <c:idx val="1"/>
          <c:order val="1"/>
          <c:xVal>
            <c:numRef>
              <c:f>[2]Stellako!$B$78</c:f>
              <c:numCache>
                <c:formatCode>General</c:formatCode>
                <c:ptCount val="1"/>
                <c:pt idx="0">
                  <c:v>2024</c:v>
                </c:pt>
              </c:numCache>
            </c:numRef>
          </c:xVal>
          <c:yVal>
            <c:numRef>
              <c:f>[2]Stellako!$N$122</c:f>
              <c:numCache>
                <c:formatCode>0</c:formatCode>
                <c:ptCount val="1"/>
                <c:pt idx="0">
                  <c:v>25091.274720823454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B4-42AF-813A-641A1EE1E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880064"/>
        <c:axId val="257913600"/>
      </c:scatterChart>
      <c:valAx>
        <c:axId val="257880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7913600"/>
        <c:crosses val="autoZero"/>
        <c:crossBetween val="midCat"/>
      </c:valAx>
      <c:valAx>
        <c:axId val="257913600"/>
        <c:scaling>
          <c:orientation val="minMax"/>
          <c:max val="15"/>
          <c:min val="1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ln run size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578800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[1]Stellako!$B$6:$B$77</c:f>
              <c:numCache>
                <c:formatCode>General</c:formatCode>
                <c:ptCount val="72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</c:numCache>
            </c:numRef>
          </c:xVal>
          <c:yVal>
            <c:numRef>
              <c:f>[1]Stellako!$C$6:$C$77</c:f>
              <c:numCache>
                <c:formatCode>General</c:formatCode>
                <c:ptCount val="72"/>
                <c:pt idx="0">
                  <c:v>185308</c:v>
                </c:pt>
                <c:pt idx="1">
                  <c:v>200034</c:v>
                </c:pt>
                <c:pt idx="2">
                  <c:v>910135</c:v>
                </c:pt>
                <c:pt idx="3">
                  <c:v>384791</c:v>
                </c:pt>
                <c:pt idx="4">
                  <c:v>195306</c:v>
                </c:pt>
                <c:pt idx="5">
                  <c:v>176197</c:v>
                </c:pt>
                <c:pt idx="6">
                  <c:v>1158256</c:v>
                </c:pt>
                <c:pt idx="7">
                  <c:v>670552</c:v>
                </c:pt>
                <c:pt idx="8">
                  <c:v>247499</c:v>
                </c:pt>
                <c:pt idx="9">
                  <c:v>171234</c:v>
                </c:pt>
                <c:pt idx="10">
                  <c:v>331106</c:v>
                </c:pt>
                <c:pt idx="11">
                  <c:v>531152</c:v>
                </c:pt>
                <c:pt idx="12">
                  <c:v>170113</c:v>
                </c:pt>
                <c:pt idx="13">
                  <c:v>158301</c:v>
                </c:pt>
                <c:pt idx="14">
                  <c:v>583074</c:v>
                </c:pt>
                <c:pt idx="15">
                  <c:v>731057</c:v>
                </c:pt>
                <c:pt idx="16">
                  <c:v>184315</c:v>
                </c:pt>
                <c:pt idx="17">
                  <c:v>238902</c:v>
                </c:pt>
                <c:pt idx="18">
                  <c:v>348976</c:v>
                </c:pt>
                <c:pt idx="19">
                  <c:v>554728</c:v>
                </c:pt>
                <c:pt idx="20">
                  <c:v>144381</c:v>
                </c:pt>
                <c:pt idx="21">
                  <c:v>240736</c:v>
                </c:pt>
                <c:pt idx="22">
                  <c:v>246689</c:v>
                </c:pt>
                <c:pt idx="23">
                  <c:v>513105</c:v>
                </c:pt>
                <c:pt idx="24">
                  <c:v>711237</c:v>
                </c:pt>
                <c:pt idx="25">
                  <c:v>122420</c:v>
                </c:pt>
                <c:pt idx="26">
                  <c:v>295694</c:v>
                </c:pt>
                <c:pt idx="27">
                  <c:v>1852392</c:v>
                </c:pt>
                <c:pt idx="28">
                  <c:v>284339</c:v>
                </c:pt>
                <c:pt idx="29">
                  <c:v>237504</c:v>
                </c:pt>
                <c:pt idx="30">
                  <c:v>445024</c:v>
                </c:pt>
                <c:pt idx="31">
                  <c:v>526984</c:v>
                </c:pt>
                <c:pt idx="32">
                  <c:v>681128</c:v>
                </c:pt>
                <c:pt idx="33">
                  <c:v>455291</c:v>
                </c:pt>
                <c:pt idx="34">
                  <c:v>362232</c:v>
                </c:pt>
                <c:pt idx="35">
                  <c:v>1144418</c:v>
                </c:pt>
                <c:pt idx="36">
                  <c:v>903283</c:v>
                </c:pt>
                <c:pt idx="37">
                  <c:v>364112</c:v>
                </c:pt>
                <c:pt idx="38">
                  <c:v>476408</c:v>
                </c:pt>
                <c:pt idx="39">
                  <c:v>470053</c:v>
                </c:pt>
                <c:pt idx="40">
                  <c:v>648446</c:v>
                </c:pt>
                <c:pt idx="41">
                  <c:v>553471</c:v>
                </c:pt>
                <c:pt idx="42">
                  <c:v>956333</c:v>
                </c:pt>
                <c:pt idx="43">
                  <c:v>388978</c:v>
                </c:pt>
                <c:pt idx="44">
                  <c:v>771677</c:v>
                </c:pt>
                <c:pt idx="45">
                  <c:v>202078</c:v>
                </c:pt>
                <c:pt idx="46">
                  <c:v>835157</c:v>
                </c:pt>
                <c:pt idx="47">
                  <c:v>216713</c:v>
                </c:pt>
                <c:pt idx="48">
                  <c:v>692039</c:v>
                </c:pt>
                <c:pt idx="49">
                  <c:v>245067</c:v>
                </c:pt>
                <c:pt idx="50">
                  <c:v>561079</c:v>
                </c:pt>
                <c:pt idx="51">
                  <c:v>277491</c:v>
                </c:pt>
                <c:pt idx="52">
                  <c:v>678056</c:v>
                </c:pt>
                <c:pt idx="53">
                  <c:v>273546</c:v>
                </c:pt>
                <c:pt idx="54">
                  <c:v>307985</c:v>
                </c:pt>
                <c:pt idx="55">
                  <c:v>59073</c:v>
                </c:pt>
                <c:pt idx="56">
                  <c:v>228384</c:v>
                </c:pt>
                <c:pt idx="57">
                  <c:v>40724</c:v>
                </c:pt>
                <c:pt idx="58">
                  <c:v>406365</c:v>
                </c:pt>
                <c:pt idx="59">
                  <c:v>196347</c:v>
                </c:pt>
                <c:pt idx="60">
                  <c:v>285866</c:v>
                </c:pt>
                <c:pt idx="61">
                  <c:v>181922</c:v>
                </c:pt>
                <c:pt idx="62">
                  <c:v>1551968</c:v>
                </c:pt>
                <c:pt idx="63">
                  <c:v>171903</c:v>
                </c:pt>
                <c:pt idx="64">
                  <c:v>54728</c:v>
                </c:pt>
                <c:pt idx="65">
                  <c:v>115634</c:v>
                </c:pt>
                <c:pt idx="66">
                  <c:v>398667</c:v>
                </c:pt>
                <c:pt idx="67">
                  <c:v>85526</c:v>
                </c:pt>
                <c:pt idx="68">
                  <c:v>57307</c:v>
                </c:pt>
                <c:pt idx="69">
                  <c:v>137357</c:v>
                </c:pt>
                <c:pt idx="70">
                  <c:v>227922</c:v>
                </c:pt>
                <c:pt idx="71">
                  <c:v>84000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6B-4CBA-A7AC-9F1B1229180C}"/>
            </c:ext>
          </c:extLst>
        </c:ser>
        <c:ser>
          <c:idx val="1"/>
          <c:order val="1"/>
          <c:xVal>
            <c:numRef>
              <c:f>[2]Stellako!$B$79</c:f>
              <c:numCache>
                <c:formatCode>General</c:formatCode>
                <c:ptCount val="1"/>
                <c:pt idx="0">
                  <c:v>2025</c:v>
                </c:pt>
              </c:numCache>
            </c:numRef>
          </c:xVal>
          <c:yVal>
            <c:numRef>
              <c:f>[2]Stellako!$C$79</c:f>
              <c:numCache>
                <c:formatCode>General</c:formatCode>
                <c:ptCount val="1"/>
                <c:pt idx="0">
                  <c:v>259596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6B-4CBA-A7AC-9F1B12291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637184"/>
        <c:axId val="180089984"/>
      </c:scatterChart>
      <c:valAx>
        <c:axId val="258637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0089984"/>
        <c:crosses val="autoZero"/>
        <c:crossBetween val="midCat"/>
      </c:valAx>
      <c:valAx>
        <c:axId val="180089984"/>
        <c:scaling>
          <c:logBase val="10"/>
          <c:orientation val="minMax"/>
          <c:min val="1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86371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Stellako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0"/>
            <c:dispEq val="1"/>
            <c:trendlineLbl>
              <c:layout>
                <c:manualLayout>
                  <c:x val="-2.414851268591426E-2"/>
                  <c:y val="0.13627016622922133"/>
                </c:manualLayout>
              </c:layout>
              <c:numFmt formatCode="General" sourceLinked="0"/>
            </c:trendlineLbl>
          </c:trendline>
          <c:xVal>
            <c:numRef>
              <c:f>[2]Stellako!$B$64:$B$78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xVal>
          <c:yVal>
            <c:numRef>
              <c:f>[2]Stellako!$D$64:$D$78</c:f>
              <c:numCache>
                <c:formatCode>General</c:formatCode>
                <c:ptCount val="15"/>
                <c:pt idx="0">
                  <c:v>12.915007049490448</c:v>
                </c:pt>
                <c:pt idx="1">
                  <c:v>12.187638781050625</c:v>
                </c:pt>
                <c:pt idx="2">
                  <c:v>12.563278448538293</c:v>
                </c:pt>
                <c:pt idx="3">
                  <c:v>12.111333302767379</c:v>
                </c:pt>
                <c:pt idx="4">
                  <c:v>14.255034360956035</c:v>
                </c:pt>
                <c:pt idx="5">
                  <c:v>12.054685643225637</c:v>
                </c:pt>
                <c:pt idx="6">
                  <c:v>10.910130740440835</c:v>
                </c:pt>
                <c:pt idx="7">
                  <c:v>11.658185309623358</c:v>
                </c:pt>
                <c:pt idx="8">
                  <c:v>12.895881760944656</c:v>
                </c:pt>
                <c:pt idx="9">
                  <c:v>11.356575702265026</c:v>
                </c:pt>
                <c:pt idx="10">
                  <c:v>10.964467199730683</c:v>
                </c:pt>
                <c:pt idx="11">
                  <c:v>11.830338654913515</c:v>
                </c:pt>
                <c:pt idx="12">
                  <c:v>12.336758744142065</c:v>
                </c:pt>
                <c:pt idx="13">
                  <c:v>11.33857207782545</c:v>
                </c:pt>
                <c:pt idx="14">
                  <c:v>11.232444071955149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6D-49B0-8BF8-980F1FC3EA2E}"/>
            </c:ext>
          </c:extLst>
        </c:ser>
        <c:ser>
          <c:idx val="1"/>
          <c:order val="1"/>
          <c:xVal>
            <c:numRef>
              <c:f>[2]Stellako!$B$79</c:f>
              <c:numCache>
                <c:formatCode>General</c:formatCode>
                <c:ptCount val="1"/>
                <c:pt idx="0">
                  <c:v>2025</c:v>
                </c:pt>
              </c:numCache>
            </c:numRef>
          </c:xVal>
          <c:yVal>
            <c:numRef>
              <c:f>[2]Stellako!$T$218</c:f>
              <c:numCache>
                <c:formatCode>General</c:formatCode>
                <c:ptCount val="1"/>
                <c:pt idx="0">
                  <c:v>12.46688196164453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6D-49B0-8BF8-980F1FC3E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880064"/>
        <c:axId val="257913600"/>
      </c:scatterChart>
      <c:valAx>
        <c:axId val="257880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7913600"/>
        <c:crosses val="autoZero"/>
        <c:crossBetween val="midCat"/>
      </c:valAx>
      <c:valAx>
        <c:axId val="257913600"/>
        <c:scaling>
          <c:orientation val="minMax"/>
          <c:max val="15"/>
          <c:min val="1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ln run size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578800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Stellako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[2]Stellako!$B$59:$B$78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xVal>
          <c:yVal>
            <c:numRef>
              <c:f>[2]Stellako!$E$59:$E$78</c:f>
              <c:numCache>
                <c:formatCode>General</c:formatCode>
                <c:ptCount val="20"/>
                <c:pt idx="0">
                  <c:v>-0.90776008255211771</c:v>
                </c:pt>
                <c:pt idx="1">
                  <c:v>0.11858128264129419</c:v>
                </c:pt>
                <c:pt idx="2">
                  <c:v>-1.6512771132577839</c:v>
                </c:pt>
                <c:pt idx="3">
                  <c:v>1.3522544555575138</c:v>
                </c:pt>
                <c:pt idx="4">
                  <c:v>-1.7242108235437072</c:v>
                </c:pt>
                <c:pt idx="5">
                  <c:v>2.3004341712633618</c:v>
                </c:pt>
                <c:pt idx="6">
                  <c:v>-0.7273682684398235</c:v>
                </c:pt>
                <c:pt idx="7">
                  <c:v>0.37563966748766831</c:v>
                </c:pt>
                <c:pt idx="8">
                  <c:v>-0.45194514577091383</c:v>
                </c:pt>
                <c:pt idx="9">
                  <c:v>2.1437010581886558</c:v>
                </c:pt>
                <c:pt idx="10">
                  <c:v>-2.2003487177303978</c:v>
                </c:pt>
                <c:pt idx="11">
                  <c:v>-1.1445549027848028</c:v>
                </c:pt>
                <c:pt idx="12">
                  <c:v>0.74805456918252311</c:v>
                </c:pt>
                <c:pt idx="13">
                  <c:v>1.2376964513212982</c:v>
                </c:pt>
                <c:pt idx="14">
                  <c:v>-1.5393060586796299</c:v>
                </c:pt>
                <c:pt idx="15">
                  <c:v>-0.39210850253434337</c:v>
                </c:pt>
                <c:pt idx="16">
                  <c:v>0.86587145518283215</c:v>
                </c:pt>
                <c:pt idx="17">
                  <c:v>0.5064200892285502</c:v>
                </c:pt>
                <c:pt idx="18">
                  <c:v>-0.99818666631661479</c:v>
                </c:pt>
                <c:pt idx="19">
                  <c:v>-0.10612800587030158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BC-44D6-9C6B-9ECA8F536772}"/>
            </c:ext>
          </c:extLst>
        </c:ser>
        <c:ser>
          <c:idx val="1"/>
          <c:order val="1"/>
          <c:xVal>
            <c:numRef>
              <c:f>[2]Stellako!$B$79</c:f>
              <c:numCache>
                <c:formatCode>General</c:formatCode>
                <c:ptCount val="1"/>
                <c:pt idx="0">
                  <c:v>2025</c:v>
                </c:pt>
              </c:numCache>
            </c:numRef>
          </c:xVal>
          <c:yVal>
            <c:numRef>
              <c:f>[2]Stellako!$E$79</c:f>
              <c:numCache>
                <c:formatCode>General</c:formatCode>
                <c:ptCount val="1"/>
                <c:pt idx="0">
                  <c:v>1.2344377834177216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BC-44D6-9C6B-9ECA8F536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880064"/>
        <c:axId val="257913600"/>
      </c:scatterChart>
      <c:valAx>
        <c:axId val="257880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7913600"/>
        <c:crosses val="autoZero"/>
        <c:crossBetween val="midCat"/>
      </c:valAx>
      <c:valAx>
        <c:axId val="2579136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ln run size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578800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totrun from 1.1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[2]Stellako!$J$217:$J$236</c:f>
              <c:numCache>
                <c:formatCode>General</c:formatCode>
                <c:ptCount val="20"/>
                <c:pt idx="0">
                  <c:v>0</c:v>
                </c:pt>
                <c:pt idx="1">
                  <c:v>47</c:v>
                </c:pt>
                <c:pt idx="2">
                  <c:v>5</c:v>
                </c:pt>
                <c:pt idx="3">
                  <c:v>153</c:v>
                </c:pt>
                <c:pt idx="4">
                  <c:v>12</c:v>
                </c:pt>
                <c:pt idx="5">
                  <c:v>109</c:v>
                </c:pt>
                <c:pt idx="6">
                  <c:v>22</c:v>
                </c:pt>
                <c:pt idx="7">
                  <c:v>504</c:v>
                </c:pt>
                <c:pt idx="8">
                  <c:v>0</c:v>
                </c:pt>
                <c:pt idx="9">
                  <c:v>16411</c:v>
                </c:pt>
                <c:pt idx="10">
                  <c:v>0</c:v>
                </c:pt>
                <c:pt idx="11">
                  <c:v>67</c:v>
                </c:pt>
                <c:pt idx="12">
                  <c:v>235</c:v>
                </c:pt>
                <c:pt idx="13">
                  <c:v>462</c:v>
                </c:pt>
                <c:pt idx="14">
                  <c:v>66</c:v>
                </c:pt>
                <c:pt idx="15">
                  <c:v>63</c:v>
                </c:pt>
                <c:pt idx="16">
                  <c:v>47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[2]Stellako!$E$217:$E$236</c:f>
              <c:numCache>
                <c:formatCode>General</c:formatCode>
                <c:ptCount val="20"/>
                <c:pt idx="0">
                  <c:v>273546</c:v>
                </c:pt>
                <c:pt idx="1">
                  <c:v>307985</c:v>
                </c:pt>
                <c:pt idx="2">
                  <c:v>59073</c:v>
                </c:pt>
                <c:pt idx="3">
                  <c:v>228384</c:v>
                </c:pt>
                <c:pt idx="4">
                  <c:v>40724</c:v>
                </c:pt>
                <c:pt idx="5">
                  <c:v>406365</c:v>
                </c:pt>
                <c:pt idx="6">
                  <c:v>196347</c:v>
                </c:pt>
                <c:pt idx="7">
                  <c:v>285866</c:v>
                </c:pt>
                <c:pt idx="8">
                  <c:v>181922</c:v>
                </c:pt>
                <c:pt idx="9">
                  <c:v>1551968</c:v>
                </c:pt>
                <c:pt idx="10">
                  <c:v>171903</c:v>
                </c:pt>
                <c:pt idx="11">
                  <c:v>54728</c:v>
                </c:pt>
                <c:pt idx="12">
                  <c:v>115634</c:v>
                </c:pt>
                <c:pt idx="13">
                  <c:v>398667</c:v>
                </c:pt>
                <c:pt idx="14">
                  <c:v>85526</c:v>
                </c:pt>
                <c:pt idx="15">
                  <c:v>57784</c:v>
                </c:pt>
                <c:pt idx="16">
                  <c:v>137357</c:v>
                </c:pt>
                <c:pt idx="17">
                  <c:v>227922</c:v>
                </c:pt>
                <c:pt idx="18">
                  <c:v>84000</c:v>
                </c:pt>
                <c:pt idx="19">
                  <c:v>75542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59-4E55-9E99-C5F7374AE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2753087"/>
        <c:axId val="1777121343"/>
      </c:scatterChart>
      <c:valAx>
        <c:axId val="170275308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121343"/>
        <c:crosses val="autoZero"/>
        <c:crossBetween val="midCat"/>
      </c:valAx>
      <c:valAx>
        <c:axId val="177712134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753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8.982283464566929E-3"/>
                  <c:y val="0.3685305482648003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[2]Stellako!$O$202:$O$215</c:f>
              <c:numCache>
                <c:formatCode>General</c:formatCode>
                <c:ptCount val="14"/>
                <c:pt idx="0">
                  <c:v>47</c:v>
                </c:pt>
                <c:pt idx="1">
                  <c:v>5</c:v>
                </c:pt>
                <c:pt idx="2">
                  <c:v>153</c:v>
                </c:pt>
                <c:pt idx="3">
                  <c:v>12</c:v>
                </c:pt>
                <c:pt idx="4">
                  <c:v>109</c:v>
                </c:pt>
                <c:pt idx="5">
                  <c:v>22</c:v>
                </c:pt>
                <c:pt idx="6">
                  <c:v>504</c:v>
                </c:pt>
                <c:pt idx="7">
                  <c:v>67</c:v>
                </c:pt>
                <c:pt idx="8">
                  <c:v>235</c:v>
                </c:pt>
                <c:pt idx="9">
                  <c:v>462</c:v>
                </c:pt>
                <c:pt idx="10">
                  <c:v>66</c:v>
                </c:pt>
                <c:pt idx="11">
                  <c:v>63</c:v>
                </c:pt>
                <c:pt idx="12">
                  <c:v>47</c:v>
                </c:pt>
                <c:pt idx="13">
                  <c:v>9</c:v>
                </c:pt>
              </c:numCache>
            </c:numRef>
          </c:xVal>
          <c:yVal>
            <c:numRef>
              <c:f>[2]Stellako!$N$202:$N$215</c:f>
              <c:numCache>
                <c:formatCode>General</c:formatCode>
                <c:ptCount val="14"/>
                <c:pt idx="0">
                  <c:v>307985</c:v>
                </c:pt>
                <c:pt idx="1">
                  <c:v>59073</c:v>
                </c:pt>
                <c:pt idx="2">
                  <c:v>228384</c:v>
                </c:pt>
                <c:pt idx="3">
                  <c:v>40724</c:v>
                </c:pt>
                <c:pt idx="4">
                  <c:v>406365</c:v>
                </c:pt>
                <c:pt idx="5">
                  <c:v>196347</c:v>
                </c:pt>
                <c:pt idx="6">
                  <c:v>285866</c:v>
                </c:pt>
                <c:pt idx="7">
                  <c:v>54728</c:v>
                </c:pt>
                <c:pt idx="8">
                  <c:v>115634</c:v>
                </c:pt>
                <c:pt idx="9">
                  <c:v>398667</c:v>
                </c:pt>
                <c:pt idx="10">
                  <c:v>85526</c:v>
                </c:pt>
                <c:pt idx="11">
                  <c:v>57784</c:v>
                </c:pt>
                <c:pt idx="12">
                  <c:v>137357</c:v>
                </c:pt>
                <c:pt idx="13">
                  <c:v>227922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5B-407B-AD38-32BA43659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2753087"/>
        <c:axId val="1777121343"/>
      </c:scatterChart>
      <c:valAx>
        <c:axId val="170275308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121343"/>
        <c:crosses val="autoZero"/>
        <c:crossBetween val="midCat"/>
      </c:valAx>
      <c:valAx>
        <c:axId val="1777121343"/>
        <c:scaling>
          <c:logBase val="10"/>
          <c:orientation val="minMax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753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1.3 from 1.2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5764829396325458"/>
                  <c:y val="0.379212962962962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[2]Stellako!$G$216:$G$235</c:f>
              <c:numCache>
                <c:formatCode>General</c:formatCode>
                <c:ptCount val="20"/>
                <c:pt idx="0">
                  <c:v>647582</c:v>
                </c:pt>
                <c:pt idx="1">
                  <c:v>203410</c:v>
                </c:pt>
                <c:pt idx="2">
                  <c:v>224262</c:v>
                </c:pt>
                <c:pt idx="3">
                  <c:v>34522</c:v>
                </c:pt>
                <c:pt idx="4">
                  <c:v>213103</c:v>
                </c:pt>
                <c:pt idx="5">
                  <c:v>6840</c:v>
                </c:pt>
                <c:pt idx="6">
                  <c:v>401589</c:v>
                </c:pt>
                <c:pt idx="7">
                  <c:v>108541</c:v>
                </c:pt>
                <c:pt idx="8">
                  <c:v>265964</c:v>
                </c:pt>
                <c:pt idx="9">
                  <c:v>151762</c:v>
                </c:pt>
                <c:pt idx="10">
                  <c:v>1501102</c:v>
                </c:pt>
                <c:pt idx="11">
                  <c:v>41761</c:v>
                </c:pt>
                <c:pt idx="12">
                  <c:v>42553</c:v>
                </c:pt>
                <c:pt idx="13">
                  <c:v>108178</c:v>
                </c:pt>
                <c:pt idx="14">
                  <c:v>360512</c:v>
                </c:pt>
                <c:pt idx="15">
                  <c:v>53671</c:v>
                </c:pt>
                <c:pt idx="16">
                  <c:v>37097</c:v>
                </c:pt>
                <c:pt idx="17">
                  <c:v>132511</c:v>
                </c:pt>
                <c:pt idx="18">
                  <c:v>200344</c:v>
                </c:pt>
                <c:pt idx="19">
                  <c:v>47000</c:v>
                </c:pt>
              </c:numCache>
            </c:numRef>
          </c:xVal>
          <c:yVal>
            <c:numRef>
              <c:f>[2]Stellako!$H$217:$H$236</c:f>
              <c:numCache>
                <c:formatCode>General</c:formatCode>
                <c:ptCount val="20"/>
                <c:pt idx="0">
                  <c:v>70089</c:v>
                </c:pt>
                <c:pt idx="1">
                  <c:v>83718</c:v>
                </c:pt>
                <c:pt idx="2">
                  <c:v>24066</c:v>
                </c:pt>
                <c:pt idx="3">
                  <c:v>14605</c:v>
                </c:pt>
                <c:pt idx="4">
                  <c:v>33547</c:v>
                </c:pt>
                <c:pt idx="5">
                  <c:v>4754</c:v>
                </c:pt>
                <c:pt idx="6">
                  <c:v>87302</c:v>
                </c:pt>
                <c:pt idx="7">
                  <c:v>19902</c:v>
                </c:pt>
                <c:pt idx="8">
                  <c:v>13749</c:v>
                </c:pt>
                <c:pt idx="9">
                  <c:v>50866</c:v>
                </c:pt>
                <c:pt idx="10">
                  <c:v>129587</c:v>
                </c:pt>
                <c:pt idx="11">
                  <c:v>11940</c:v>
                </c:pt>
                <c:pt idx="12">
                  <c:v>6994</c:v>
                </c:pt>
                <c:pt idx="13">
                  <c:v>38089</c:v>
                </c:pt>
                <c:pt idx="14">
                  <c:v>31792</c:v>
                </c:pt>
                <c:pt idx="15">
                  <c:v>20640</c:v>
                </c:pt>
                <c:pt idx="16">
                  <c:v>4837</c:v>
                </c:pt>
                <c:pt idx="17">
                  <c:v>27578</c:v>
                </c:pt>
                <c:pt idx="18">
                  <c:v>37000</c:v>
                </c:pt>
                <c:pt idx="19">
                  <c:v>4538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F6-445C-A4E5-3EFB1EEA7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737904"/>
        <c:axId val="142733104"/>
      </c:scatterChart>
      <c:valAx>
        <c:axId val="142737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33104"/>
        <c:crosses val="autoZero"/>
        <c:crossBetween val="midCat"/>
      </c:valAx>
      <c:valAx>
        <c:axId val="14273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37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83</xdr:row>
      <xdr:rowOff>118110</xdr:rowOff>
    </xdr:from>
    <xdr:to>
      <xdr:col>8</xdr:col>
      <xdr:colOff>327660</xdr:colOff>
      <xdr:row>98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BB848E-ED55-478E-BF58-4AA4C7C4D6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45720</xdr:colOff>
      <xdr:row>100</xdr:row>
      <xdr:rowOff>11430</xdr:rowOff>
    </xdr:from>
    <xdr:to>
      <xdr:col>8</xdr:col>
      <xdr:colOff>350520</xdr:colOff>
      <xdr:row>115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C10ED2-879F-4DC4-9E07-7B3D78F11A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83</xdr:row>
      <xdr:rowOff>0</xdr:rowOff>
    </xdr:from>
    <xdr:to>
      <xdr:col>16</xdr:col>
      <xdr:colOff>304800</xdr:colOff>
      <xdr:row>98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1E0A42-07B9-485C-A48C-A9A99A80A0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126</xdr:row>
      <xdr:rowOff>0</xdr:rowOff>
    </xdr:from>
    <xdr:to>
      <xdr:col>8</xdr:col>
      <xdr:colOff>304800</xdr:colOff>
      <xdr:row>141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A44DFE-E179-46B2-B4D3-C0B8A9F6E6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143</xdr:row>
      <xdr:rowOff>0</xdr:rowOff>
    </xdr:from>
    <xdr:to>
      <xdr:col>8</xdr:col>
      <xdr:colOff>304800</xdr:colOff>
      <xdr:row>158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DB3250-3B95-460D-8746-3A85971888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47625</xdr:colOff>
      <xdr:row>160</xdr:row>
      <xdr:rowOff>80962</xdr:rowOff>
    </xdr:from>
    <xdr:to>
      <xdr:col>18</xdr:col>
      <xdr:colOff>323850</xdr:colOff>
      <xdr:row>174</xdr:row>
      <xdr:rowOff>157162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4DC89CC-DAEF-4F3F-B31E-D173CBDCEA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0</xdr:colOff>
      <xdr:row>178</xdr:row>
      <xdr:rowOff>0</xdr:rowOff>
    </xdr:from>
    <xdr:to>
      <xdr:col>18</xdr:col>
      <xdr:colOff>276225</xdr:colOff>
      <xdr:row>192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AFB10B2-D99A-4324-BCB8-A035067549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0</xdr:colOff>
      <xdr:row>245</xdr:row>
      <xdr:rowOff>0</xdr:rowOff>
    </xdr:from>
    <xdr:to>
      <xdr:col>8</xdr:col>
      <xdr:colOff>177943</xdr:colOff>
      <xdr:row>259</xdr:row>
      <xdr:rowOff>88631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AB9D930-4124-4727-A29C-751AF0747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46758225"/>
          <a:ext cx="4578493" cy="2755631"/>
        </a:xfrm>
        <a:prstGeom prst="rect">
          <a:avLst/>
        </a:prstGeom>
      </xdr:spPr>
    </xdr:pic>
    <xdr:clientData/>
  </xdr:twoCellAnchor>
  <xdr:twoCellAnchor>
    <xdr:from>
      <xdr:col>12</xdr:col>
      <xdr:colOff>428625</xdr:colOff>
      <xdr:row>225</xdr:row>
      <xdr:rowOff>4762</xdr:rowOff>
    </xdr:from>
    <xdr:to>
      <xdr:col>20</xdr:col>
      <xdr:colOff>0</xdr:colOff>
      <xdr:row>239</xdr:row>
      <xdr:rowOff>80962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C3204C8-1C16-4798-9CD8-66F80B14CA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lec&amp;BarbsFiles\Alec\AlecScience\SalmonPrize\2024RevisedData\ORGFinalSpreadsheets\Stellako.xlsx" TargetMode="External"/><Relationship Id="rId1" Type="http://schemas.openxmlformats.org/officeDocument/2006/relationships/externalLinkPath" Target="/Alec&amp;BarbsFiles/Alec/AlecScience/SalmonPrize/2024RevisedData/ORGFinalSpreadsheets/Stellak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lec&amp;BarbsFiles\Alec\AlecScience\SalmonPrize\2025Prize\fraser\Fraser2025.xlsx" TargetMode="External"/><Relationship Id="rId1" Type="http://schemas.openxmlformats.org/officeDocument/2006/relationships/externalLinkPath" Target="/Alec&amp;BarbsFiles/Alec/AlecScience/SalmonPrize/2025Prize/fraser/Fraser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ellako"/>
    </sheetNames>
    <sheetDataSet>
      <sheetData sheetId="0">
        <row r="6">
          <cell r="B6">
            <v>1952</v>
          </cell>
          <cell r="C6">
            <v>185308</v>
          </cell>
        </row>
        <row r="7">
          <cell r="B7">
            <v>1953</v>
          </cell>
          <cell r="C7">
            <v>200034</v>
          </cell>
        </row>
        <row r="8">
          <cell r="B8">
            <v>1954</v>
          </cell>
          <cell r="C8">
            <v>910135</v>
          </cell>
        </row>
        <row r="9">
          <cell r="B9">
            <v>1955</v>
          </cell>
          <cell r="C9">
            <v>384791</v>
          </cell>
        </row>
        <row r="10">
          <cell r="B10">
            <v>1956</v>
          </cell>
          <cell r="C10">
            <v>195306</v>
          </cell>
        </row>
        <row r="11">
          <cell r="B11">
            <v>1957</v>
          </cell>
          <cell r="C11">
            <v>176197</v>
          </cell>
        </row>
        <row r="12">
          <cell r="B12">
            <v>1958</v>
          </cell>
          <cell r="C12">
            <v>1158256</v>
          </cell>
        </row>
        <row r="13">
          <cell r="B13">
            <v>1959</v>
          </cell>
          <cell r="C13">
            <v>670552</v>
          </cell>
        </row>
        <row r="14">
          <cell r="B14">
            <v>1960</v>
          </cell>
          <cell r="C14">
            <v>247499</v>
          </cell>
        </row>
        <row r="15">
          <cell r="B15">
            <v>1961</v>
          </cell>
          <cell r="C15">
            <v>171234</v>
          </cell>
        </row>
        <row r="16">
          <cell r="B16">
            <v>1962</v>
          </cell>
          <cell r="C16">
            <v>331106</v>
          </cell>
        </row>
        <row r="17">
          <cell r="B17">
            <v>1963</v>
          </cell>
          <cell r="C17">
            <v>531152</v>
          </cell>
        </row>
        <row r="18">
          <cell r="B18">
            <v>1964</v>
          </cell>
          <cell r="C18">
            <v>170113</v>
          </cell>
        </row>
        <row r="19">
          <cell r="B19">
            <v>1965</v>
          </cell>
          <cell r="C19">
            <v>158301</v>
          </cell>
        </row>
        <row r="20">
          <cell r="B20">
            <v>1966</v>
          </cell>
          <cell r="C20">
            <v>583074</v>
          </cell>
        </row>
        <row r="21">
          <cell r="B21">
            <v>1967</v>
          </cell>
          <cell r="C21">
            <v>731057</v>
          </cell>
        </row>
        <row r="22">
          <cell r="B22">
            <v>1968</v>
          </cell>
          <cell r="C22">
            <v>184315</v>
          </cell>
        </row>
        <row r="23">
          <cell r="B23">
            <v>1969</v>
          </cell>
          <cell r="C23">
            <v>238902</v>
          </cell>
        </row>
        <row r="24">
          <cell r="B24">
            <v>1970</v>
          </cell>
          <cell r="C24">
            <v>348976</v>
          </cell>
        </row>
        <row r="25">
          <cell r="B25">
            <v>1971</v>
          </cell>
          <cell r="C25">
            <v>554728</v>
          </cell>
        </row>
        <row r="26">
          <cell r="B26">
            <v>1972</v>
          </cell>
          <cell r="C26">
            <v>144381</v>
          </cell>
        </row>
        <row r="27">
          <cell r="B27">
            <v>1973</v>
          </cell>
          <cell r="C27">
            <v>240736</v>
          </cell>
        </row>
        <row r="28">
          <cell r="B28">
            <v>1974</v>
          </cell>
          <cell r="C28">
            <v>246689</v>
          </cell>
        </row>
        <row r="29">
          <cell r="B29">
            <v>1975</v>
          </cell>
          <cell r="C29">
            <v>513105</v>
          </cell>
        </row>
        <row r="30">
          <cell r="B30">
            <v>1976</v>
          </cell>
          <cell r="C30">
            <v>711237</v>
          </cell>
        </row>
        <row r="31">
          <cell r="B31">
            <v>1977</v>
          </cell>
          <cell r="C31">
            <v>122420</v>
          </cell>
        </row>
        <row r="32">
          <cell r="B32">
            <v>1978</v>
          </cell>
          <cell r="C32">
            <v>295694</v>
          </cell>
        </row>
        <row r="33">
          <cell r="B33">
            <v>1979</v>
          </cell>
          <cell r="C33">
            <v>1852392</v>
          </cell>
        </row>
        <row r="34">
          <cell r="B34">
            <v>1980</v>
          </cell>
          <cell r="C34">
            <v>284339</v>
          </cell>
        </row>
        <row r="35">
          <cell r="B35">
            <v>1981</v>
          </cell>
          <cell r="C35">
            <v>237504</v>
          </cell>
        </row>
        <row r="36">
          <cell r="B36">
            <v>1982</v>
          </cell>
          <cell r="C36">
            <v>445024</v>
          </cell>
        </row>
        <row r="37">
          <cell r="B37">
            <v>1983</v>
          </cell>
          <cell r="C37">
            <v>526984</v>
          </cell>
        </row>
        <row r="38">
          <cell r="B38">
            <v>1984</v>
          </cell>
          <cell r="C38">
            <v>681128</v>
          </cell>
        </row>
        <row r="39">
          <cell r="B39">
            <v>1985</v>
          </cell>
          <cell r="C39">
            <v>455291</v>
          </cell>
        </row>
        <row r="40">
          <cell r="B40">
            <v>1986</v>
          </cell>
          <cell r="C40">
            <v>362232</v>
          </cell>
        </row>
        <row r="41">
          <cell r="B41">
            <v>1987</v>
          </cell>
          <cell r="C41">
            <v>1144418</v>
          </cell>
        </row>
        <row r="42">
          <cell r="B42">
            <v>1988</v>
          </cell>
          <cell r="C42">
            <v>903283</v>
          </cell>
        </row>
        <row r="43">
          <cell r="B43">
            <v>1989</v>
          </cell>
          <cell r="C43">
            <v>364112</v>
          </cell>
        </row>
        <row r="44">
          <cell r="B44">
            <v>1990</v>
          </cell>
          <cell r="C44">
            <v>476408</v>
          </cell>
        </row>
        <row r="45">
          <cell r="B45">
            <v>1991</v>
          </cell>
          <cell r="C45">
            <v>470053</v>
          </cell>
        </row>
        <row r="46">
          <cell r="B46">
            <v>1992</v>
          </cell>
          <cell r="C46">
            <v>648446</v>
          </cell>
        </row>
        <row r="47">
          <cell r="B47">
            <v>1993</v>
          </cell>
          <cell r="C47">
            <v>553471</v>
          </cell>
        </row>
        <row r="48">
          <cell r="B48">
            <v>1994</v>
          </cell>
          <cell r="C48">
            <v>956333</v>
          </cell>
        </row>
        <row r="49">
          <cell r="B49">
            <v>1995</v>
          </cell>
          <cell r="C49">
            <v>388978</v>
          </cell>
        </row>
        <row r="50">
          <cell r="B50">
            <v>1996</v>
          </cell>
          <cell r="C50">
            <v>771677</v>
          </cell>
        </row>
        <row r="51">
          <cell r="B51">
            <v>1997</v>
          </cell>
          <cell r="C51">
            <v>202078</v>
          </cell>
        </row>
        <row r="52">
          <cell r="B52">
            <v>1998</v>
          </cell>
          <cell r="C52">
            <v>835157</v>
          </cell>
        </row>
        <row r="53">
          <cell r="B53">
            <v>1999</v>
          </cell>
          <cell r="C53">
            <v>216713</v>
          </cell>
        </row>
        <row r="54">
          <cell r="B54">
            <v>2000</v>
          </cell>
          <cell r="C54">
            <v>692039</v>
          </cell>
        </row>
        <row r="55">
          <cell r="B55">
            <v>2001</v>
          </cell>
          <cell r="C55">
            <v>245067</v>
          </cell>
        </row>
        <row r="56">
          <cell r="B56">
            <v>2002</v>
          </cell>
          <cell r="C56">
            <v>561079</v>
          </cell>
        </row>
        <row r="57">
          <cell r="B57">
            <v>2003</v>
          </cell>
          <cell r="C57">
            <v>277491</v>
          </cell>
        </row>
        <row r="58">
          <cell r="B58">
            <v>2004</v>
          </cell>
          <cell r="C58">
            <v>678056</v>
          </cell>
        </row>
        <row r="59">
          <cell r="B59">
            <v>2005</v>
          </cell>
          <cell r="C59">
            <v>273546</v>
          </cell>
          <cell r="D59">
            <v>12.51922507682977</v>
          </cell>
        </row>
        <row r="60">
          <cell r="B60">
            <v>2006</v>
          </cell>
          <cell r="C60">
            <v>307985</v>
          </cell>
          <cell r="D60">
            <v>12.637806359471064</v>
          </cell>
        </row>
        <row r="61">
          <cell r="B61">
            <v>2007</v>
          </cell>
          <cell r="C61">
            <v>59073</v>
          </cell>
          <cell r="D61">
            <v>10.98652924621328</v>
          </cell>
        </row>
        <row r="62">
          <cell r="B62">
            <v>2008</v>
          </cell>
          <cell r="C62">
            <v>228384</v>
          </cell>
          <cell r="D62">
            <v>12.338783701770794</v>
          </cell>
        </row>
        <row r="63">
          <cell r="B63">
            <v>2009</v>
          </cell>
          <cell r="C63">
            <v>40724</v>
          </cell>
          <cell r="D63">
            <v>10.614572878227087</v>
          </cell>
        </row>
        <row r="64">
          <cell r="B64">
            <v>2010</v>
          </cell>
          <cell r="C64">
            <v>406365</v>
          </cell>
          <cell r="D64">
            <v>12.915007049490448</v>
          </cell>
        </row>
        <row r="65">
          <cell r="B65">
            <v>2011</v>
          </cell>
          <cell r="C65">
            <v>196347</v>
          </cell>
          <cell r="D65">
            <v>12.187638781050625</v>
          </cell>
        </row>
        <row r="66">
          <cell r="B66">
            <v>2012</v>
          </cell>
          <cell r="C66">
            <v>285866</v>
          </cell>
          <cell r="D66">
            <v>12.563278448538293</v>
          </cell>
        </row>
        <row r="67">
          <cell r="B67">
            <v>2013</v>
          </cell>
          <cell r="C67">
            <v>181922</v>
          </cell>
          <cell r="D67">
            <v>12.111333302767379</v>
          </cell>
        </row>
        <row r="68">
          <cell r="B68">
            <v>2014</v>
          </cell>
          <cell r="C68">
            <v>1551968</v>
          </cell>
          <cell r="D68">
            <v>14.255034360956035</v>
          </cell>
        </row>
        <row r="69">
          <cell r="B69">
            <v>2015</v>
          </cell>
          <cell r="C69">
            <v>171903</v>
          </cell>
          <cell r="D69">
            <v>12.054685643225637</v>
          </cell>
        </row>
        <row r="70">
          <cell r="B70">
            <v>2016</v>
          </cell>
          <cell r="C70">
            <v>54728</v>
          </cell>
          <cell r="D70">
            <v>10.910130740440835</v>
          </cell>
        </row>
        <row r="71">
          <cell r="B71">
            <v>2017</v>
          </cell>
          <cell r="C71">
            <v>115634</v>
          </cell>
          <cell r="D71">
            <v>11.658185309623358</v>
          </cell>
        </row>
        <row r="72">
          <cell r="B72">
            <v>2018</v>
          </cell>
          <cell r="C72">
            <v>398667</v>
          </cell>
          <cell r="D72">
            <v>12.895881760944656</v>
          </cell>
        </row>
        <row r="73">
          <cell r="B73">
            <v>2019</v>
          </cell>
          <cell r="C73">
            <v>85526</v>
          </cell>
          <cell r="D73">
            <v>11.356575702265026</v>
          </cell>
        </row>
        <row r="74">
          <cell r="B74">
            <v>2020</v>
          </cell>
          <cell r="C74">
            <v>57307</v>
          </cell>
          <cell r="D74">
            <v>10.956178059290277</v>
          </cell>
        </row>
        <row r="75">
          <cell r="B75">
            <v>2021</v>
          </cell>
          <cell r="C75">
            <v>137357</v>
          </cell>
          <cell r="D75">
            <v>11.830338654913515</v>
          </cell>
        </row>
        <row r="76">
          <cell r="B76">
            <v>2022</v>
          </cell>
          <cell r="C76">
            <v>227922</v>
          </cell>
          <cell r="D76">
            <v>12.336758744142065</v>
          </cell>
        </row>
        <row r="77">
          <cell r="B77">
            <v>2023</v>
          </cell>
          <cell r="C77">
            <v>84000</v>
          </cell>
          <cell r="D77">
            <v>11.33857207782545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fficial"/>
      <sheetName val="Chilko"/>
      <sheetName val="LateStuart"/>
      <sheetName val="Quesnel"/>
      <sheetName val="Raft"/>
      <sheetName val="Stellako"/>
    </sheetNames>
    <sheetDataSet>
      <sheetData sheetId="0"/>
      <sheetData sheetId="1"/>
      <sheetData sheetId="2"/>
      <sheetData sheetId="3"/>
      <sheetData sheetId="4"/>
      <sheetData sheetId="5">
        <row r="59">
          <cell r="B59">
            <v>2005</v>
          </cell>
          <cell r="E59">
            <v>-0.90776008255211771</v>
          </cell>
        </row>
        <row r="60">
          <cell r="B60">
            <v>2006</v>
          </cell>
          <cell r="E60">
            <v>0.11858128264129419</v>
          </cell>
        </row>
        <row r="61">
          <cell r="B61">
            <v>2007</v>
          </cell>
          <cell r="E61">
            <v>-1.6512771132577839</v>
          </cell>
        </row>
        <row r="62">
          <cell r="B62">
            <v>2008</v>
          </cell>
          <cell r="E62">
            <v>1.3522544555575138</v>
          </cell>
        </row>
        <row r="63">
          <cell r="B63">
            <v>2009</v>
          </cell>
          <cell r="E63">
            <v>-1.7242108235437072</v>
          </cell>
        </row>
        <row r="64">
          <cell r="B64">
            <v>2010</v>
          </cell>
          <cell r="D64">
            <v>12.915007049490448</v>
          </cell>
          <cell r="E64">
            <v>2.3004341712633618</v>
          </cell>
        </row>
        <row r="65">
          <cell r="B65">
            <v>2011</v>
          </cell>
          <cell r="D65">
            <v>12.187638781050625</v>
          </cell>
          <cell r="E65">
            <v>-0.7273682684398235</v>
          </cell>
        </row>
        <row r="66">
          <cell r="B66">
            <v>2012</v>
          </cell>
          <cell r="D66">
            <v>12.563278448538293</v>
          </cell>
          <cell r="E66">
            <v>0.37563966748766831</v>
          </cell>
        </row>
        <row r="67">
          <cell r="B67">
            <v>2013</v>
          </cell>
          <cell r="D67">
            <v>12.111333302767379</v>
          </cell>
          <cell r="E67">
            <v>-0.45194514577091383</v>
          </cell>
        </row>
        <row r="68">
          <cell r="B68">
            <v>2014</v>
          </cell>
          <cell r="D68">
            <v>14.255034360956035</v>
          </cell>
          <cell r="E68">
            <v>2.1437010581886558</v>
          </cell>
        </row>
        <row r="69">
          <cell r="B69">
            <v>2015</v>
          </cell>
          <cell r="D69">
            <v>12.054685643225637</v>
          </cell>
          <cell r="E69">
            <v>-2.2003487177303978</v>
          </cell>
        </row>
        <row r="70">
          <cell r="B70">
            <v>2016</v>
          </cell>
          <cell r="D70">
            <v>10.910130740440835</v>
          </cell>
          <cell r="E70">
            <v>-1.1445549027848028</v>
          </cell>
        </row>
        <row r="71">
          <cell r="B71">
            <v>2017</v>
          </cell>
          <cell r="D71">
            <v>11.658185309623358</v>
          </cell>
          <cell r="E71">
            <v>0.74805456918252311</v>
          </cell>
        </row>
        <row r="72">
          <cell r="B72">
            <v>2018</v>
          </cell>
          <cell r="D72">
            <v>12.895881760944656</v>
          </cell>
          <cell r="E72">
            <v>1.2376964513212982</v>
          </cell>
        </row>
        <row r="73">
          <cell r="B73">
            <v>2019</v>
          </cell>
          <cell r="D73">
            <v>11.356575702265026</v>
          </cell>
          <cell r="E73">
            <v>-1.5393060586796299</v>
          </cell>
        </row>
        <row r="74">
          <cell r="B74">
            <v>2020</v>
          </cell>
          <cell r="D74">
            <v>10.964467199730683</v>
          </cell>
          <cell r="E74">
            <v>-0.39210850253434337</v>
          </cell>
        </row>
        <row r="75">
          <cell r="B75">
            <v>2021</v>
          </cell>
          <cell r="D75">
            <v>11.830338654913515</v>
          </cell>
          <cell r="E75">
            <v>0.86587145518283215</v>
          </cell>
        </row>
        <row r="76">
          <cell r="B76">
            <v>2022</v>
          </cell>
          <cell r="D76">
            <v>12.336758744142065</v>
          </cell>
          <cell r="E76">
            <v>0.5064200892285502</v>
          </cell>
        </row>
        <row r="77">
          <cell r="B77">
            <v>2023</v>
          </cell>
          <cell r="D77">
            <v>11.33857207782545</v>
          </cell>
          <cell r="E77">
            <v>-0.99818666631661479</v>
          </cell>
        </row>
        <row r="78">
          <cell r="B78">
            <v>2024</v>
          </cell>
          <cell r="D78">
            <v>11.232444071955149</v>
          </cell>
          <cell r="E78">
            <v>-0.10612800587030158</v>
          </cell>
        </row>
        <row r="79">
          <cell r="B79">
            <v>2025</v>
          </cell>
          <cell r="C79">
            <v>259596</v>
          </cell>
          <cell r="D79">
            <v>12.46688185537287</v>
          </cell>
          <cell r="E79">
            <v>1.2344377834177216</v>
          </cell>
        </row>
        <row r="122">
          <cell r="N122">
            <v>25091.274720823454</v>
          </cell>
        </row>
        <row r="202">
          <cell r="N202">
            <v>307985</v>
          </cell>
          <cell r="O202">
            <v>47</v>
          </cell>
        </row>
        <row r="203">
          <cell r="N203">
            <v>59073</v>
          </cell>
          <cell r="O203">
            <v>5</v>
          </cell>
        </row>
        <row r="204">
          <cell r="N204">
            <v>228384</v>
          </cell>
          <cell r="O204">
            <v>153</v>
          </cell>
        </row>
        <row r="205">
          <cell r="N205">
            <v>40724</v>
          </cell>
          <cell r="O205">
            <v>12</v>
          </cell>
        </row>
        <row r="206">
          <cell r="N206">
            <v>406365</v>
          </cell>
          <cell r="O206">
            <v>109</v>
          </cell>
        </row>
        <row r="207">
          <cell r="N207">
            <v>196347</v>
          </cell>
          <cell r="O207">
            <v>22</v>
          </cell>
        </row>
        <row r="208">
          <cell r="N208">
            <v>285866</v>
          </cell>
          <cell r="O208">
            <v>504</v>
          </cell>
        </row>
        <row r="209">
          <cell r="N209">
            <v>54728</v>
          </cell>
          <cell r="O209">
            <v>67</v>
          </cell>
        </row>
        <row r="210">
          <cell r="N210">
            <v>115634</v>
          </cell>
          <cell r="O210">
            <v>235</v>
          </cell>
        </row>
        <row r="211">
          <cell r="N211">
            <v>398667</v>
          </cell>
          <cell r="O211">
            <v>462</v>
          </cell>
        </row>
        <row r="212">
          <cell r="N212">
            <v>85526</v>
          </cell>
          <cell r="O212">
            <v>66</v>
          </cell>
        </row>
        <row r="213">
          <cell r="N213">
            <v>57784</v>
          </cell>
          <cell r="O213">
            <v>63</v>
          </cell>
        </row>
        <row r="214">
          <cell r="N214">
            <v>137357</v>
          </cell>
          <cell r="O214">
            <v>47</v>
          </cell>
        </row>
        <row r="215">
          <cell r="N215">
            <v>227922</v>
          </cell>
          <cell r="O215">
            <v>9</v>
          </cell>
        </row>
        <row r="216">
          <cell r="G216">
            <v>647582</v>
          </cell>
        </row>
        <row r="217">
          <cell r="E217">
            <v>273546</v>
          </cell>
          <cell r="G217">
            <v>203410</v>
          </cell>
          <cell r="H217">
            <v>70089</v>
          </cell>
          <cell r="J217">
            <v>0</v>
          </cell>
        </row>
        <row r="218">
          <cell r="E218">
            <v>307985</v>
          </cell>
          <cell r="G218">
            <v>224262</v>
          </cell>
          <cell r="H218">
            <v>83718</v>
          </cell>
          <cell r="J218">
            <v>47</v>
          </cell>
          <cell r="T218">
            <v>12.46688196164453</v>
          </cell>
        </row>
        <row r="219">
          <cell r="E219">
            <v>59073</v>
          </cell>
          <cell r="G219">
            <v>34522</v>
          </cell>
          <cell r="H219">
            <v>24066</v>
          </cell>
          <cell r="J219">
            <v>5</v>
          </cell>
        </row>
        <row r="220">
          <cell r="E220">
            <v>228384</v>
          </cell>
          <cell r="G220">
            <v>213103</v>
          </cell>
          <cell r="H220">
            <v>14605</v>
          </cell>
          <cell r="J220">
            <v>153</v>
          </cell>
          <cell r="U220">
            <v>259596.02758769947</v>
          </cell>
        </row>
        <row r="221">
          <cell r="E221">
            <v>40724</v>
          </cell>
          <cell r="G221">
            <v>6840</v>
          </cell>
          <cell r="H221">
            <v>33547</v>
          </cell>
          <cell r="J221">
            <v>12</v>
          </cell>
        </row>
        <row r="222">
          <cell r="E222">
            <v>406365</v>
          </cell>
          <cell r="G222">
            <v>401589</v>
          </cell>
          <cell r="H222">
            <v>4754</v>
          </cell>
          <cell r="J222">
            <v>109</v>
          </cell>
        </row>
        <row r="223">
          <cell r="E223">
            <v>196347</v>
          </cell>
          <cell r="G223">
            <v>108541</v>
          </cell>
          <cell r="H223">
            <v>87302</v>
          </cell>
          <cell r="J223">
            <v>22</v>
          </cell>
        </row>
        <row r="224">
          <cell r="E224">
            <v>285866</v>
          </cell>
          <cell r="G224">
            <v>265964</v>
          </cell>
          <cell r="H224">
            <v>19902</v>
          </cell>
          <cell r="J224">
            <v>504</v>
          </cell>
        </row>
        <row r="225">
          <cell r="E225">
            <v>181922</v>
          </cell>
          <cell r="G225">
            <v>151762</v>
          </cell>
          <cell r="H225">
            <v>13749</v>
          </cell>
          <cell r="J225">
            <v>0</v>
          </cell>
        </row>
        <row r="226">
          <cell r="E226">
            <v>1551968</v>
          </cell>
          <cell r="G226">
            <v>1501102</v>
          </cell>
          <cell r="H226">
            <v>50866</v>
          </cell>
          <cell r="J226">
            <v>16411</v>
          </cell>
        </row>
        <row r="227">
          <cell r="E227">
            <v>171903</v>
          </cell>
          <cell r="G227">
            <v>41761</v>
          </cell>
          <cell r="H227">
            <v>129587</v>
          </cell>
          <cell r="J227">
            <v>0</v>
          </cell>
        </row>
        <row r="228">
          <cell r="E228">
            <v>54728</v>
          </cell>
          <cell r="G228">
            <v>42553</v>
          </cell>
          <cell r="H228">
            <v>11940</v>
          </cell>
          <cell r="J228">
            <v>67</v>
          </cell>
        </row>
        <row r="229">
          <cell r="E229">
            <v>115634</v>
          </cell>
          <cell r="G229">
            <v>108178</v>
          </cell>
          <cell r="H229">
            <v>6994</v>
          </cell>
          <cell r="J229">
            <v>235</v>
          </cell>
        </row>
        <row r="230">
          <cell r="E230">
            <v>398667</v>
          </cell>
          <cell r="G230">
            <v>360512</v>
          </cell>
          <cell r="H230">
            <v>38089</v>
          </cell>
          <cell r="J230">
            <v>462</v>
          </cell>
        </row>
        <row r="231">
          <cell r="E231">
            <v>85526</v>
          </cell>
          <cell r="G231">
            <v>53671</v>
          </cell>
          <cell r="H231">
            <v>31792</v>
          </cell>
          <cell r="J231">
            <v>66</v>
          </cell>
        </row>
        <row r="232">
          <cell r="E232">
            <v>57784</v>
          </cell>
          <cell r="G232">
            <v>37097</v>
          </cell>
          <cell r="H232">
            <v>20640</v>
          </cell>
          <cell r="J232">
            <v>63</v>
          </cell>
        </row>
        <row r="233">
          <cell r="E233">
            <v>137357</v>
          </cell>
          <cell r="G233">
            <v>132511</v>
          </cell>
          <cell r="H233">
            <v>4837</v>
          </cell>
          <cell r="J233">
            <v>47</v>
          </cell>
        </row>
        <row r="234">
          <cell r="E234">
            <v>227922</v>
          </cell>
          <cell r="G234">
            <v>200344</v>
          </cell>
          <cell r="H234">
            <v>27578</v>
          </cell>
          <cell r="J234">
            <v>9</v>
          </cell>
        </row>
        <row r="235">
          <cell r="E235">
            <v>84000</v>
          </cell>
          <cell r="G235">
            <v>47000</v>
          </cell>
          <cell r="H235">
            <v>37000</v>
          </cell>
          <cell r="J235">
            <v>0</v>
          </cell>
        </row>
        <row r="236">
          <cell r="E236">
            <v>75542</v>
          </cell>
          <cell r="H236">
            <v>4538</v>
          </cell>
          <cell r="J23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911F0-A963-4D61-A21A-2002CC11D433}">
  <dimension ref="A1:AE262"/>
  <sheetViews>
    <sheetView tabSelected="1" topLeftCell="A192" workbookViewId="0">
      <selection activeCell="O141" sqref="O141"/>
    </sheetView>
  </sheetViews>
  <sheetFormatPr defaultRowHeight="15" x14ac:dyDescent="0.25"/>
  <cols>
    <col min="6" max="6" width="9.28515625" bestFit="1" customWidth="1"/>
    <col min="7" max="7" width="10.5703125" bestFit="1" customWidth="1"/>
    <col min="8" max="8" width="9.5703125" bestFit="1" customWidth="1"/>
    <col min="16" max="16" width="9.5703125" bestFit="1" customWidth="1"/>
    <col min="17" max="17" width="10.5703125" bestFit="1" customWidth="1"/>
  </cols>
  <sheetData>
    <row r="1" spans="1:18" x14ac:dyDescent="0.25">
      <c r="A1" t="s">
        <v>0</v>
      </c>
      <c r="B1" t="s">
        <v>1</v>
      </c>
    </row>
    <row r="2" spans="1:18" x14ac:dyDescent="0.25">
      <c r="B2" s="1" t="s">
        <v>2</v>
      </c>
      <c r="C2" s="1"/>
      <c r="F2" s="2"/>
    </row>
    <row r="3" spans="1:18" x14ac:dyDescent="0.25">
      <c r="B3" s="1"/>
      <c r="C3" s="1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B4" s="1"/>
      <c r="C4" s="1" t="s">
        <v>3</v>
      </c>
    </row>
    <row r="5" spans="1:18" x14ac:dyDescent="0.25">
      <c r="B5" s="1" t="s">
        <v>4</v>
      </c>
      <c r="C5" s="1" t="s">
        <v>5</v>
      </c>
      <c r="D5" t="s">
        <v>6</v>
      </c>
      <c r="E5" t="s">
        <v>7</v>
      </c>
    </row>
    <row r="6" spans="1:18" x14ac:dyDescent="0.25">
      <c r="B6">
        <v>1952</v>
      </c>
      <c r="C6">
        <v>185308</v>
      </c>
      <c r="D6">
        <f t="shared" ref="D6:D69" si="0">LN(C6)</f>
        <v>12.129774584574109</v>
      </c>
    </row>
    <row r="7" spans="1:18" x14ac:dyDescent="0.25">
      <c r="B7">
        <v>1953</v>
      </c>
      <c r="C7">
        <v>200034</v>
      </c>
      <c r="D7">
        <f t="shared" si="0"/>
        <v>12.20624263108181</v>
      </c>
      <c r="E7">
        <f>D7-D6</f>
        <v>7.6468046507701004E-2</v>
      </c>
    </row>
    <row r="8" spans="1:18" x14ac:dyDescent="0.25">
      <c r="B8">
        <v>1954</v>
      </c>
      <c r="C8">
        <v>910135</v>
      </c>
      <c r="D8">
        <f t="shared" si="0"/>
        <v>13.721348219138367</v>
      </c>
      <c r="E8">
        <f t="shared" ref="E8:E71" si="1">D8-D7</f>
        <v>1.5151055880565565</v>
      </c>
    </row>
    <row r="9" spans="1:18" x14ac:dyDescent="0.25">
      <c r="B9">
        <v>1955</v>
      </c>
      <c r="C9">
        <v>384791</v>
      </c>
      <c r="D9">
        <f t="shared" si="0"/>
        <v>12.860455608726777</v>
      </c>
      <c r="E9">
        <f t="shared" si="1"/>
        <v>-0.86089261041158949</v>
      </c>
    </row>
    <row r="10" spans="1:18" ht="15.75" thickBot="1" x14ac:dyDescent="0.3">
      <c r="B10">
        <v>1956</v>
      </c>
      <c r="C10">
        <v>195306</v>
      </c>
      <c r="D10" s="3">
        <f t="shared" si="0"/>
        <v>12.182322838359067</v>
      </c>
      <c r="E10" s="3">
        <f t="shared" si="1"/>
        <v>-0.67813277036771069</v>
      </c>
    </row>
    <row r="11" spans="1:18" x14ac:dyDescent="0.25">
      <c r="B11">
        <v>1957</v>
      </c>
      <c r="C11">
        <v>176197</v>
      </c>
      <c r="D11">
        <f t="shared" si="0"/>
        <v>12.079357966232573</v>
      </c>
      <c r="E11">
        <f t="shared" si="1"/>
        <v>-0.10296487212649374</v>
      </c>
    </row>
    <row r="12" spans="1:18" x14ac:dyDescent="0.25">
      <c r="B12">
        <v>1958</v>
      </c>
      <c r="C12">
        <v>1158256</v>
      </c>
      <c r="D12">
        <f t="shared" si="0"/>
        <v>13.962425983494271</v>
      </c>
      <c r="E12">
        <f t="shared" si="1"/>
        <v>1.8830680172616976</v>
      </c>
    </row>
    <row r="13" spans="1:18" x14ac:dyDescent="0.25">
      <c r="B13">
        <v>1959</v>
      </c>
      <c r="C13">
        <v>670552</v>
      </c>
      <c r="D13">
        <f t="shared" si="0"/>
        <v>13.41585653276084</v>
      </c>
      <c r="E13">
        <f t="shared" si="1"/>
        <v>-0.54656945073343088</v>
      </c>
    </row>
    <row r="14" spans="1:18" x14ac:dyDescent="0.25">
      <c r="B14">
        <v>1960</v>
      </c>
      <c r="C14">
        <v>247499</v>
      </c>
      <c r="D14">
        <f t="shared" si="0"/>
        <v>12.41916182057868</v>
      </c>
      <c r="E14">
        <f t="shared" si="1"/>
        <v>-0.9966947121821601</v>
      </c>
    </row>
    <row r="15" spans="1:18" x14ac:dyDescent="0.25">
      <c r="B15">
        <v>1961</v>
      </c>
      <c r="C15">
        <v>171234</v>
      </c>
      <c r="D15">
        <f t="shared" si="0"/>
        <v>12.050786321102622</v>
      </c>
      <c r="E15">
        <f t="shared" si="1"/>
        <v>-0.3683754994760573</v>
      </c>
    </row>
    <row r="16" spans="1:18" x14ac:dyDescent="0.25">
      <c r="B16">
        <v>1962</v>
      </c>
      <c r="C16">
        <v>331106</v>
      </c>
      <c r="D16">
        <f t="shared" si="0"/>
        <v>12.710193844784618</v>
      </c>
      <c r="E16">
        <f t="shared" si="1"/>
        <v>0.6594075236819954</v>
      </c>
    </row>
    <row r="17" spans="2:5" x14ac:dyDescent="0.25">
      <c r="B17">
        <v>1963</v>
      </c>
      <c r="C17">
        <v>531152</v>
      </c>
      <c r="D17">
        <f t="shared" si="0"/>
        <v>13.182803511615736</v>
      </c>
      <c r="E17">
        <f t="shared" si="1"/>
        <v>0.4726096668311186</v>
      </c>
    </row>
    <row r="18" spans="2:5" x14ac:dyDescent="0.25">
      <c r="B18">
        <v>1964</v>
      </c>
      <c r="C18">
        <v>170113</v>
      </c>
      <c r="D18">
        <f t="shared" si="0"/>
        <v>12.044218201095644</v>
      </c>
      <c r="E18">
        <f t="shared" si="1"/>
        <v>-1.1385853105200923</v>
      </c>
    </row>
    <row r="19" spans="2:5" x14ac:dyDescent="0.25">
      <c r="B19">
        <v>1965</v>
      </c>
      <c r="C19">
        <v>158301</v>
      </c>
      <c r="D19">
        <f t="shared" si="0"/>
        <v>11.972253562968545</v>
      </c>
      <c r="E19">
        <f t="shared" si="1"/>
        <v>-7.1964638127099079E-2</v>
      </c>
    </row>
    <row r="20" spans="2:5" x14ac:dyDescent="0.25">
      <c r="B20">
        <v>1966</v>
      </c>
      <c r="C20">
        <v>583074</v>
      </c>
      <c r="D20">
        <f t="shared" si="0"/>
        <v>13.276069386951839</v>
      </c>
      <c r="E20">
        <f t="shared" si="1"/>
        <v>1.3038158239832942</v>
      </c>
    </row>
    <row r="21" spans="2:5" x14ac:dyDescent="0.25">
      <c r="B21">
        <v>1967</v>
      </c>
      <c r="C21">
        <v>731057</v>
      </c>
      <c r="D21">
        <f t="shared" si="0"/>
        <v>13.502246711068191</v>
      </c>
      <c r="E21">
        <f t="shared" si="1"/>
        <v>0.22617732411635139</v>
      </c>
    </row>
    <row r="22" spans="2:5" x14ac:dyDescent="0.25">
      <c r="B22">
        <v>1968</v>
      </c>
      <c r="C22">
        <v>184315</v>
      </c>
      <c r="D22" s="4">
        <f t="shared" si="0"/>
        <v>12.124401529385615</v>
      </c>
      <c r="E22" s="4">
        <f t="shared" si="1"/>
        <v>-1.3778451816825754</v>
      </c>
    </row>
    <row r="23" spans="2:5" x14ac:dyDescent="0.25">
      <c r="B23">
        <v>1969</v>
      </c>
      <c r="C23">
        <v>238902</v>
      </c>
      <c r="D23">
        <f t="shared" si="0"/>
        <v>12.383808704982499</v>
      </c>
      <c r="E23">
        <f t="shared" si="1"/>
        <v>0.25940717559688409</v>
      </c>
    </row>
    <row r="24" spans="2:5" x14ac:dyDescent="0.25">
      <c r="B24">
        <v>1970</v>
      </c>
      <c r="C24">
        <v>348976</v>
      </c>
      <c r="D24">
        <f t="shared" si="0"/>
        <v>12.762758430911633</v>
      </c>
      <c r="E24">
        <f t="shared" si="1"/>
        <v>0.37894972592913412</v>
      </c>
    </row>
    <row r="25" spans="2:5" x14ac:dyDescent="0.25">
      <c r="B25">
        <v>1971</v>
      </c>
      <c r="C25">
        <v>554728</v>
      </c>
      <c r="D25">
        <f t="shared" si="0"/>
        <v>13.22623318250508</v>
      </c>
      <c r="E25">
        <f t="shared" si="1"/>
        <v>0.46347475159344675</v>
      </c>
    </row>
    <row r="26" spans="2:5" x14ac:dyDescent="0.25">
      <c r="B26">
        <v>1972</v>
      </c>
      <c r="C26">
        <v>144381</v>
      </c>
      <c r="D26">
        <f t="shared" si="0"/>
        <v>11.880210917836225</v>
      </c>
      <c r="E26">
        <f t="shared" si="1"/>
        <v>-1.3460222646688553</v>
      </c>
    </row>
    <row r="27" spans="2:5" x14ac:dyDescent="0.25">
      <c r="B27">
        <v>1973</v>
      </c>
      <c r="C27">
        <v>240736</v>
      </c>
      <c r="D27">
        <f t="shared" si="0"/>
        <v>12.391456176359949</v>
      </c>
      <c r="E27">
        <f t="shared" si="1"/>
        <v>0.51124525852372393</v>
      </c>
    </row>
    <row r="28" spans="2:5" x14ac:dyDescent="0.25">
      <c r="B28">
        <v>1974</v>
      </c>
      <c r="C28">
        <v>246689</v>
      </c>
      <c r="D28">
        <f t="shared" si="0"/>
        <v>12.415883712954235</v>
      </c>
      <c r="E28">
        <f t="shared" si="1"/>
        <v>2.4427536594286536E-2</v>
      </c>
    </row>
    <row r="29" spans="2:5" x14ac:dyDescent="0.25">
      <c r="B29">
        <v>1975</v>
      </c>
      <c r="C29">
        <v>513105</v>
      </c>
      <c r="D29">
        <f t="shared" si="0"/>
        <v>13.148235781571721</v>
      </c>
      <c r="E29">
        <f t="shared" si="1"/>
        <v>0.73235206861748559</v>
      </c>
    </row>
    <row r="30" spans="2:5" x14ac:dyDescent="0.25">
      <c r="B30">
        <v>1976</v>
      </c>
      <c r="C30">
        <v>711237</v>
      </c>
      <c r="D30">
        <f t="shared" si="0"/>
        <v>13.474760986575498</v>
      </c>
      <c r="E30">
        <f t="shared" si="1"/>
        <v>0.32652520500377769</v>
      </c>
    </row>
    <row r="31" spans="2:5" x14ac:dyDescent="0.25">
      <c r="B31">
        <v>1977</v>
      </c>
      <c r="C31">
        <v>122420</v>
      </c>
      <c r="D31">
        <f t="shared" si="0"/>
        <v>11.71521303440506</v>
      </c>
      <c r="E31">
        <f t="shared" si="1"/>
        <v>-1.759547952170438</v>
      </c>
    </row>
    <row r="32" spans="2:5" x14ac:dyDescent="0.25">
      <c r="B32">
        <v>1978</v>
      </c>
      <c r="C32">
        <v>295694</v>
      </c>
      <c r="D32">
        <f t="shared" si="0"/>
        <v>12.5970804147994</v>
      </c>
      <c r="E32">
        <f t="shared" si="1"/>
        <v>0.88186738039433976</v>
      </c>
    </row>
    <row r="33" spans="2:5" x14ac:dyDescent="0.25">
      <c r="B33">
        <v>1979</v>
      </c>
      <c r="C33">
        <v>1852392</v>
      </c>
      <c r="D33">
        <f t="shared" si="0"/>
        <v>14.431988334857749</v>
      </c>
      <c r="E33">
        <f t="shared" si="1"/>
        <v>1.8349079200583489</v>
      </c>
    </row>
    <row r="34" spans="2:5" x14ac:dyDescent="0.25">
      <c r="B34">
        <v>1980</v>
      </c>
      <c r="C34">
        <v>284339</v>
      </c>
      <c r="D34">
        <f t="shared" si="0"/>
        <v>12.557922467267137</v>
      </c>
      <c r="E34">
        <f t="shared" si="1"/>
        <v>-1.8740658675906126</v>
      </c>
    </row>
    <row r="35" spans="2:5" x14ac:dyDescent="0.25">
      <c r="B35">
        <v>1981</v>
      </c>
      <c r="C35">
        <v>237504</v>
      </c>
      <c r="D35">
        <f t="shared" si="0"/>
        <v>12.377939744420269</v>
      </c>
      <c r="E35">
        <f t="shared" si="1"/>
        <v>-0.17998272284686756</v>
      </c>
    </row>
    <row r="36" spans="2:5" x14ac:dyDescent="0.25">
      <c r="B36">
        <v>1982</v>
      </c>
      <c r="C36">
        <v>445024</v>
      </c>
      <c r="D36">
        <f t="shared" si="0"/>
        <v>13.005883492278338</v>
      </c>
      <c r="E36">
        <f t="shared" si="1"/>
        <v>0.62794374785806895</v>
      </c>
    </row>
    <row r="37" spans="2:5" x14ac:dyDescent="0.25">
      <c r="B37">
        <v>1983</v>
      </c>
      <c r="C37">
        <v>526984</v>
      </c>
      <c r="D37">
        <f t="shared" si="0"/>
        <v>13.174925466531301</v>
      </c>
      <c r="E37">
        <f t="shared" si="1"/>
        <v>0.16904197425296275</v>
      </c>
    </row>
    <row r="38" spans="2:5" x14ac:dyDescent="0.25">
      <c r="B38">
        <v>1984</v>
      </c>
      <c r="C38">
        <v>681128</v>
      </c>
      <c r="D38">
        <f t="shared" si="0"/>
        <v>13.431505526353586</v>
      </c>
      <c r="E38">
        <f t="shared" si="1"/>
        <v>0.25658005982228538</v>
      </c>
    </row>
    <row r="39" spans="2:5" x14ac:dyDescent="0.25">
      <c r="B39">
        <v>1985</v>
      </c>
      <c r="C39">
        <v>455291</v>
      </c>
      <c r="D39">
        <f t="shared" si="0"/>
        <v>13.028692053941029</v>
      </c>
      <c r="E39">
        <f t="shared" si="1"/>
        <v>-0.40281347241255716</v>
      </c>
    </row>
    <row r="40" spans="2:5" x14ac:dyDescent="0.25">
      <c r="B40">
        <v>1986</v>
      </c>
      <c r="C40">
        <v>362232</v>
      </c>
      <c r="D40">
        <f t="shared" si="0"/>
        <v>12.800040169507374</v>
      </c>
      <c r="E40">
        <f t="shared" si="1"/>
        <v>-0.22865188443365447</v>
      </c>
    </row>
    <row r="41" spans="2:5" x14ac:dyDescent="0.25">
      <c r="B41">
        <v>1987</v>
      </c>
      <c r="C41">
        <v>1144418</v>
      </c>
      <c r="D41">
        <f t="shared" si="0"/>
        <v>13.950406768800562</v>
      </c>
      <c r="E41">
        <f t="shared" si="1"/>
        <v>1.1503665992931875</v>
      </c>
    </row>
    <row r="42" spans="2:5" x14ac:dyDescent="0.25">
      <c r="B42">
        <v>1988</v>
      </c>
      <c r="C42">
        <v>903283</v>
      </c>
      <c r="D42">
        <f t="shared" si="0"/>
        <v>13.713791183078186</v>
      </c>
      <c r="E42">
        <f t="shared" si="1"/>
        <v>-0.23661558572237595</v>
      </c>
    </row>
    <row r="43" spans="2:5" x14ac:dyDescent="0.25">
      <c r="B43">
        <v>1989</v>
      </c>
      <c r="C43">
        <v>364112</v>
      </c>
      <c r="D43">
        <f t="shared" si="0"/>
        <v>12.805216791598999</v>
      </c>
      <c r="E43">
        <f t="shared" si="1"/>
        <v>-0.90857439147918662</v>
      </c>
    </row>
    <row r="44" spans="2:5" x14ac:dyDescent="0.25">
      <c r="B44">
        <v>1990</v>
      </c>
      <c r="C44">
        <v>476408</v>
      </c>
      <c r="D44">
        <f t="shared" si="0"/>
        <v>13.074029908933539</v>
      </c>
      <c r="E44">
        <f t="shared" si="1"/>
        <v>0.26881311733454005</v>
      </c>
    </row>
    <row r="45" spans="2:5" x14ac:dyDescent="0.25">
      <c r="B45">
        <v>1991</v>
      </c>
      <c r="C45">
        <v>470053</v>
      </c>
      <c r="D45">
        <f t="shared" si="0"/>
        <v>13.060600733286085</v>
      </c>
      <c r="E45">
        <f t="shared" si="1"/>
        <v>-1.3429175647454272E-2</v>
      </c>
    </row>
    <row r="46" spans="2:5" x14ac:dyDescent="0.25">
      <c r="B46">
        <v>1992</v>
      </c>
      <c r="C46">
        <v>648446</v>
      </c>
      <c r="D46">
        <f t="shared" si="0"/>
        <v>13.382334010189075</v>
      </c>
      <c r="E46">
        <f t="shared" si="1"/>
        <v>0.32173327690298947</v>
      </c>
    </row>
    <row r="47" spans="2:5" x14ac:dyDescent="0.25">
      <c r="B47">
        <v>1993</v>
      </c>
      <c r="C47">
        <v>553471</v>
      </c>
      <c r="D47">
        <f t="shared" si="0"/>
        <v>13.22396463590095</v>
      </c>
      <c r="E47">
        <f t="shared" si="1"/>
        <v>-0.15836937428812448</v>
      </c>
    </row>
    <row r="48" spans="2:5" x14ac:dyDescent="0.25">
      <c r="B48">
        <v>1994</v>
      </c>
      <c r="C48">
        <v>956333</v>
      </c>
      <c r="D48">
        <f t="shared" si="0"/>
        <v>13.770861457741828</v>
      </c>
      <c r="E48">
        <f t="shared" si="1"/>
        <v>0.54689682184087829</v>
      </c>
    </row>
    <row r="49" spans="2:5" x14ac:dyDescent="0.25">
      <c r="B49">
        <v>1995</v>
      </c>
      <c r="C49">
        <v>388978</v>
      </c>
      <c r="D49">
        <f t="shared" si="0"/>
        <v>12.871278065731351</v>
      </c>
      <c r="E49">
        <f t="shared" si="1"/>
        <v>-0.89958339201047721</v>
      </c>
    </row>
    <row r="50" spans="2:5" x14ac:dyDescent="0.25">
      <c r="B50">
        <v>1996</v>
      </c>
      <c r="C50">
        <v>771677</v>
      </c>
      <c r="D50">
        <f t="shared" si="0"/>
        <v>13.55632134767343</v>
      </c>
      <c r="E50">
        <f t="shared" si="1"/>
        <v>0.68504328194207886</v>
      </c>
    </row>
    <row r="51" spans="2:5" x14ac:dyDescent="0.25">
      <c r="B51">
        <v>1997</v>
      </c>
      <c r="C51">
        <v>202078</v>
      </c>
      <c r="D51">
        <f t="shared" si="0"/>
        <v>12.216409040464875</v>
      </c>
      <c r="E51">
        <f t="shared" si="1"/>
        <v>-1.3399123072085555</v>
      </c>
    </row>
    <row r="52" spans="2:5" x14ac:dyDescent="0.25">
      <c r="B52">
        <v>1998</v>
      </c>
      <c r="C52">
        <v>835157</v>
      </c>
      <c r="D52">
        <f t="shared" si="0"/>
        <v>13.635375010110801</v>
      </c>
      <c r="E52">
        <f t="shared" si="1"/>
        <v>1.4189659696459263</v>
      </c>
    </row>
    <row r="53" spans="2:5" x14ac:dyDescent="0.25">
      <c r="B53">
        <v>1999</v>
      </c>
      <c r="C53">
        <v>216713</v>
      </c>
      <c r="D53">
        <f t="shared" si="0"/>
        <v>12.286329176495727</v>
      </c>
      <c r="E53">
        <f t="shared" si="1"/>
        <v>-1.3490458336150741</v>
      </c>
    </row>
    <row r="54" spans="2:5" x14ac:dyDescent="0.25">
      <c r="B54">
        <v>2000</v>
      </c>
      <c r="C54">
        <v>692039</v>
      </c>
      <c r="D54">
        <f t="shared" si="0"/>
        <v>13.447397591393235</v>
      </c>
      <c r="E54">
        <f t="shared" si="1"/>
        <v>1.1610684148975086</v>
      </c>
    </row>
    <row r="55" spans="2:5" x14ac:dyDescent="0.25">
      <c r="B55">
        <v>2001</v>
      </c>
      <c r="C55">
        <v>245067</v>
      </c>
      <c r="D55">
        <f t="shared" si="0"/>
        <v>12.409286921528683</v>
      </c>
      <c r="E55">
        <f t="shared" si="1"/>
        <v>-1.0381106698645528</v>
      </c>
    </row>
    <row r="56" spans="2:5" x14ac:dyDescent="0.25">
      <c r="B56">
        <v>2002</v>
      </c>
      <c r="C56">
        <v>561079</v>
      </c>
      <c r="D56">
        <f t="shared" si="0"/>
        <v>13.237616994554982</v>
      </c>
      <c r="E56">
        <f t="shared" si="1"/>
        <v>0.82833007302629902</v>
      </c>
    </row>
    <row r="57" spans="2:5" x14ac:dyDescent="0.25">
      <c r="B57">
        <v>2003</v>
      </c>
      <c r="C57">
        <v>277491</v>
      </c>
      <c r="D57">
        <f t="shared" si="0"/>
        <v>12.533543779210252</v>
      </c>
      <c r="E57">
        <f t="shared" si="1"/>
        <v>-0.70407321534472977</v>
      </c>
    </row>
    <row r="58" spans="2:5" x14ac:dyDescent="0.25">
      <c r="B58">
        <v>2004</v>
      </c>
      <c r="C58">
        <v>678056</v>
      </c>
      <c r="D58">
        <f t="shared" si="0"/>
        <v>13.426985159381887</v>
      </c>
      <c r="E58">
        <f t="shared" si="1"/>
        <v>0.89344138017163566</v>
      </c>
    </row>
    <row r="59" spans="2:5" x14ac:dyDescent="0.25">
      <c r="B59">
        <v>2005</v>
      </c>
      <c r="C59">
        <v>273546</v>
      </c>
      <c r="D59">
        <f t="shared" si="0"/>
        <v>12.51922507682977</v>
      </c>
      <c r="E59">
        <f t="shared" si="1"/>
        <v>-0.90776008255211771</v>
      </c>
    </row>
    <row r="60" spans="2:5" x14ac:dyDescent="0.25">
      <c r="B60">
        <v>2006</v>
      </c>
      <c r="C60">
        <v>307985</v>
      </c>
      <c r="D60">
        <f t="shared" si="0"/>
        <v>12.637806359471064</v>
      </c>
      <c r="E60">
        <f t="shared" si="1"/>
        <v>0.11858128264129419</v>
      </c>
    </row>
    <row r="61" spans="2:5" x14ac:dyDescent="0.25">
      <c r="B61">
        <v>2007</v>
      </c>
      <c r="C61">
        <v>59073</v>
      </c>
      <c r="D61">
        <f t="shared" si="0"/>
        <v>10.98652924621328</v>
      </c>
      <c r="E61">
        <f t="shared" si="1"/>
        <v>-1.6512771132577839</v>
      </c>
    </row>
    <row r="62" spans="2:5" x14ac:dyDescent="0.25">
      <c r="B62">
        <v>2008</v>
      </c>
      <c r="C62">
        <v>228384</v>
      </c>
      <c r="D62">
        <f t="shared" si="0"/>
        <v>12.338783701770794</v>
      </c>
      <c r="E62">
        <f t="shared" si="1"/>
        <v>1.3522544555575138</v>
      </c>
    </row>
    <row r="63" spans="2:5" x14ac:dyDescent="0.25">
      <c r="B63">
        <v>2009</v>
      </c>
      <c r="C63">
        <v>40724</v>
      </c>
      <c r="D63">
        <f t="shared" si="0"/>
        <v>10.614572878227087</v>
      </c>
      <c r="E63">
        <f t="shared" si="1"/>
        <v>-1.7242108235437072</v>
      </c>
    </row>
    <row r="64" spans="2:5" x14ac:dyDescent="0.25">
      <c r="B64">
        <v>2010</v>
      </c>
      <c r="C64">
        <v>406365</v>
      </c>
      <c r="D64">
        <f t="shared" si="0"/>
        <v>12.915007049490448</v>
      </c>
      <c r="E64">
        <f t="shared" si="1"/>
        <v>2.3004341712633618</v>
      </c>
    </row>
    <row r="65" spans="2:5" x14ac:dyDescent="0.25">
      <c r="B65">
        <v>2011</v>
      </c>
      <c r="C65">
        <v>196347</v>
      </c>
      <c r="D65">
        <f t="shared" si="0"/>
        <v>12.187638781050625</v>
      </c>
      <c r="E65">
        <f t="shared" si="1"/>
        <v>-0.7273682684398235</v>
      </c>
    </row>
    <row r="66" spans="2:5" x14ac:dyDescent="0.25">
      <c r="B66">
        <v>2012</v>
      </c>
      <c r="C66">
        <v>285866</v>
      </c>
      <c r="D66">
        <f t="shared" si="0"/>
        <v>12.563278448538293</v>
      </c>
      <c r="E66">
        <f t="shared" si="1"/>
        <v>0.37563966748766831</v>
      </c>
    </row>
    <row r="67" spans="2:5" x14ac:dyDescent="0.25">
      <c r="B67">
        <v>2013</v>
      </c>
      <c r="C67">
        <v>181922</v>
      </c>
      <c r="D67">
        <f t="shared" si="0"/>
        <v>12.111333302767379</v>
      </c>
      <c r="E67">
        <f t="shared" si="1"/>
        <v>-0.45194514577091383</v>
      </c>
    </row>
    <row r="68" spans="2:5" x14ac:dyDescent="0.25">
      <c r="B68">
        <v>2014</v>
      </c>
      <c r="C68">
        <v>1551968</v>
      </c>
      <c r="D68">
        <f t="shared" si="0"/>
        <v>14.255034360956035</v>
      </c>
      <c r="E68">
        <f t="shared" si="1"/>
        <v>2.1437010581886558</v>
      </c>
    </row>
    <row r="69" spans="2:5" x14ac:dyDescent="0.25">
      <c r="B69">
        <v>2015</v>
      </c>
      <c r="C69">
        <v>171903</v>
      </c>
      <c r="D69">
        <f t="shared" si="0"/>
        <v>12.054685643225637</v>
      </c>
      <c r="E69">
        <f t="shared" si="1"/>
        <v>-2.2003487177303978</v>
      </c>
    </row>
    <row r="70" spans="2:5" x14ac:dyDescent="0.25">
      <c r="B70" s="4">
        <v>2016</v>
      </c>
      <c r="C70" s="4">
        <v>54728</v>
      </c>
      <c r="D70" s="4">
        <f t="shared" ref="D70:D79" si="2">LN(C70)</f>
        <v>10.910130740440835</v>
      </c>
      <c r="E70" s="4">
        <f t="shared" si="1"/>
        <v>-1.1445549027848028</v>
      </c>
    </row>
    <row r="71" spans="2:5" x14ac:dyDescent="0.25">
      <c r="B71">
        <v>2017</v>
      </c>
      <c r="C71">
        <v>115634</v>
      </c>
      <c r="D71">
        <f t="shared" si="2"/>
        <v>11.658185309623358</v>
      </c>
      <c r="E71">
        <f t="shared" si="1"/>
        <v>0.74805456918252311</v>
      </c>
    </row>
    <row r="72" spans="2:5" x14ac:dyDescent="0.25">
      <c r="B72">
        <v>2018</v>
      </c>
      <c r="C72">
        <v>398667</v>
      </c>
      <c r="D72">
        <f t="shared" si="2"/>
        <v>12.895881760944656</v>
      </c>
      <c r="E72">
        <f t="shared" ref="E72:E79" si="3">D72-D71</f>
        <v>1.2376964513212982</v>
      </c>
    </row>
    <row r="73" spans="2:5" x14ac:dyDescent="0.25">
      <c r="B73">
        <v>2019</v>
      </c>
      <c r="C73">
        <v>85526</v>
      </c>
      <c r="D73">
        <f t="shared" si="2"/>
        <v>11.356575702265026</v>
      </c>
      <c r="E73">
        <f t="shared" si="3"/>
        <v>-1.5393060586796299</v>
      </c>
    </row>
    <row r="74" spans="2:5" x14ac:dyDescent="0.25">
      <c r="B74" s="4">
        <v>2020</v>
      </c>
      <c r="C74">
        <v>57784</v>
      </c>
      <c r="D74">
        <f t="shared" si="2"/>
        <v>10.964467199730683</v>
      </c>
      <c r="E74">
        <f t="shared" si="3"/>
        <v>-0.39210850253434337</v>
      </c>
    </row>
    <row r="75" spans="2:5" x14ac:dyDescent="0.25">
      <c r="B75">
        <v>2021</v>
      </c>
      <c r="C75">
        <v>137357</v>
      </c>
      <c r="D75">
        <f t="shared" si="2"/>
        <v>11.830338654913515</v>
      </c>
      <c r="E75">
        <f t="shared" si="3"/>
        <v>0.86587145518283215</v>
      </c>
    </row>
    <row r="76" spans="2:5" x14ac:dyDescent="0.25">
      <c r="B76">
        <v>2022</v>
      </c>
      <c r="C76">
        <v>227922</v>
      </c>
      <c r="D76">
        <f t="shared" si="2"/>
        <v>12.336758744142065</v>
      </c>
      <c r="E76">
        <f t="shared" si="3"/>
        <v>0.5064200892285502</v>
      </c>
    </row>
    <row r="77" spans="2:5" x14ac:dyDescent="0.25">
      <c r="B77">
        <v>2023</v>
      </c>
      <c r="C77">
        <v>84000</v>
      </c>
      <c r="D77">
        <f t="shared" si="2"/>
        <v>11.33857207782545</v>
      </c>
      <c r="E77">
        <f t="shared" si="3"/>
        <v>-0.99818666631661479</v>
      </c>
    </row>
    <row r="78" spans="2:5" x14ac:dyDescent="0.25">
      <c r="B78">
        <v>2024</v>
      </c>
      <c r="C78">
        <v>75542</v>
      </c>
      <c r="D78">
        <f t="shared" si="2"/>
        <v>11.232444071955149</v>
      </c>
      <c r="E78">
        <f t="shared" si="3"/>
        <v>-0.10612800587030158</v>
      </c>
    </row>
    <row r="79" spans="2:5" x14ac:dyDescent="0.25">
      <c r="B79">
        <v>2025</v>
      </c>
      <c r="C79" s="2">
        <v>259596</v>
      </c>
      <c r="D79" s="2">
        <f t="shared" si="2"/>
        <v>12.46688185537287</v>
      </c>
      <c r="E79" s="2">
        <f t="shared" si="3"/>
        <v>1.2344377834177216</v>
      </c>
    </row>
    <row r="80" spans="2:5" x14ac:dyDescent="0.25">
      <c r="C80" t="s">
        <v>8</v>
      </c>
    </row>
    <row r="91" spans="18:18" x14ac:dyDescent="0.25">
      <c r="R91" t="s">
        <v>9</v>
      </c>
    </row>
    <row r="102" spans="10:18" x14ac:dyDescent="0.25">
      <c r="J102" t="s">
        <v>10</v>
      </c>
    </row>
    <row r="103" spans="10:18" x14ac:dyDescent="0.25">
      <c r="J103" t="s">
        <v>11</v>
      </c>
      <c r="M103" t="s">
        <v>12</v>
      </c>
    </row>
    <row r="104" spans="10:18" x14ac:dyDescent="0.25">
      <c r="J104" t="s">
        <v>13</v>
      </c>
    </row>
    <row r="105" spans="10:18" x14ac:dyDescent="0.25">
      <c r="K105" t="s">
        <v>14</v>
      </c>
    </row>
    <row r="106" spans="10:18" x14ac:dyDescent="0.25">
      <c r="J106" t="s">
        <v>15</v>
      </c>
      <c r="P106" s="4">
        <v>54728</v>
      </c>
      <c r="Q106" s="4">
        <f t="shared" ref="Q106" si="4">LN(P106)</f>
        <v>10.910130740440835</v>
      </c>
      <c r="R106" s="4"/>
    </row>
    <row r="107" spans="10:18" x14ac:dyDescent="0.25">
      <c r="K107">
        <v>2014</v>
      </c>
      <c r="L107">
        <v>1551968</v>
      </c>
      <c r="M107">
        <f t="shared" ref="M107:M108" si="5">LN(L107)</f>
        <v>14.255034360956035</v>
      </c>
      <c r="P107" s="4"/>
      <c r="Q107" s="4"/>
      <c r="R107" s="4"/>
    </row>
    <row r="108" spans="10:18" x14ac:dyDescent="0.25">
      <c r="K108">
        <v>2015</v>
      </c>
      <c r="L108">
        <v>171903</v>
      </c>
      <c r="M108">
        <f t="shared" si="5"/>
        <v>12.054685643225637</v>
      </c>
      <c r="P108" s="4"/>
      <c r="Q108" s="4"/>
      <c r="R108" s="4"/>
    </row>
    <row r="109" spans="10:18" x14ac:dyDescent="0.25">
      <c r="K109" t="s">
        <v>16</v>
      </c>
      <c r="M109">
        <f>(M107+M108)/2</f>
        <v>13.154860002090835</v>
      </c>
      <c r="N109" t="s">
        <v>17</v>
      </c>
      <c r="O109">
        <f>Q106-M109</f>
        <v>-2.2447292616500008</v>
      </c>
      <c r="P109" s="4" t="s">
        <v>18</v>
      </c>
      <c r="Q109" s="4"/>
      <c r="R109" s="4"/>
    </row>
    <row r="110" spans="10:18" x14ac:dyDescent="0.25">
      <c r="P110" s="2"/>
      <c r="Q110" s="2"/>
    </row>
    <row r="111" spans="10:18" x14ac:dyDescent="0.25">
      <c r="J111" t="s">
        <v>19</v>
      </c>
      <c r="P111">
        <v>57307</v>
      </c>
      <c r="Q111">
        <v>10.956178059290277</v>
      </c>
    </row>
    <row r="112" spans="10:18" x14ac:dyDescent="0.25">
      <c r="K112">
        <v>2018</v>
      </c>
      <c r="L112">
        <v>398667</v>
      </c>
      <c r="M112">
        <f t="shared" ref="M112:M113" si="6">LN(L112)</f>
        <v>12.895881760944656</v>
      </c>
    </row>
    <row r="113" spans="10:18" x14ac:dyDescent="0.25">
      <c r="K113">
        <v>2019</v>
      </c>
      <c r="L113">
        <v>85526</v>
      </c>
      <c r="M113">
        <f t="shared" si="6"/>
        <v>11.356575702265026</v>
      </c>
    </row>
    <row r="114" spans="10:18" x14ac:dyDescent="0.25">
      <c r="K114" t="s">
        <v>16</v>
      </c>
      <c r="M114">
        <f>(M112+M113)/2</f>
        <v>12.12622873160484</v>
      </c>
      <c r="N114" t="s">
        <v>17</v>
      </c>
      <c r="O114">
        <f>Q111-M114</f>
        <v>-1.1700506723145629</v>
      </c>
      <c r="P114" t="s">
        <v>20</v>
      </c>
    </row>
    <row r="116" spans="10:18" x14ac:dyDescent="0.25">
      <c r="O116">
        <f>(O109+O114)/2</f>
        <v>-1.7073899669822818</v>
      </c>
      <c r="P116" t="s">
        <v>21</v>
      </c>
    </row>
    <row r="117" spans="10:18" x14ac:dyDescent="0.25">
      <c r="J117" t="s">
        <v>22</v>
      </c>
    </row>
    <row r="118" spans="10:18" x14ac:dyDescent="0.25">
      <c r="K118">
        <v>2022</v>
      </c>
      <c r="L118">
        <v>227922</v>
      </c>
      <c r="M118">
        <f t="shared" ref="M118:M119" si="7">LN(L118)</f>
        <v>12.336758744142065</v>
      </c>
      <c r="P118" s="4"/>
    </row>
    <row r="119" spans="10:18" x14ac:dyDescent="0.25">
      <c r="K119">
        <v>2023</v>
      </c>
      <c r="L119">
        <v>84000</v>
      </c>
      <c r="M119">
        <f t="shared" si="7"/>
        <v>11.33857207782545</v>
      </c>
    </row>
    <row r="120" spans="10:18" x14ac:dyDescent="0.25">
      <c r="K120" t="s">
        <v>16</v>
      </c>
      <c r="M120">
        <f>(M118+M119)/2</f>
        <v>11.837665410983757</v>
      </c>
    </row>
    <row r="122" spans="10:18" x14ac:dyDescent="0.25">
      <c r="L122" t="s">
        <v>23</v>
      </c>
      <c r="M122">
        <f>M120+O116</f>
        <v>10.130275444001475</v>
      </c>
      <c r="N122" s="5">
        <f>EXP(M122)</f>
        <v>25091.274720823454</v>
      </c>
      <c r="P122" t="s">
        <v>24</v>
      </c>
      <c r="Q122">
        <v>75542</v>
      </c>
      <c r="R122" t="s">
        <v>25</v>
      </c>
    </row>
    <row r="123" spans="10:18" x14ac:dyDescent="0.25">
      <c r="R123" s="4" t="s">
        <v>26</v>
      </c>
    </row>
    <row r="124" spans="10:18" x14ac:dyDescent="0.25">
      <c r="O124" s="5"/>
    </row>
    <row r="126" spans="10:18" x14ac:dyDescent="0.25">
      <c r="R126" s="4"/>
    </row>
    <row r="127" spans="10:18" x14ac:dyDescent="0.25">
      <c r="J127" t="s">
        <v>27</v>
      </c>
    </row>
    <row r="128" spans="10:18" x14ac:dyDescent="0.25">
      <c r="K128" t="s">
        <v>28</v>
      </c>
    </row>
    <row r="129" spans="11:18" x14ac:dyDescent="0.25">
      <c r="K129" t="s">
        <v>29</v>
      </c>
      <c r="P129" t="s">
        <v>30</v>
      </c>
      <c r="Q129">
        <v>216.7</v>
      </c>
      <c r="R129">
        <v>-0.10150000000000001</v>
      </c>
    </row>
    <row r="130" spans="11:18" x14ac:dyDescent="0.25">
      <c r="L130" t="s">
        <v>31</v>
      </c>
      <c r="M130" t="s">
        <v>30</v>
      </c>
      <c r="N130" t="s">
        <v>32</v>
      </c>
    </row>
    <row r="131" spans="11:18" x14ac:dyDescent="0.25">
      <c r="K131">
        <v>2018</v>
      </c>
      <c r="L131">
        <v>12.895881760944656</v>
      </c>
      <c r="M131">
        <f>$Q$129+K131*$R$129</f>
        <v>11.872999999999962</v>
      </c>
      <c r="N131">
        <f>L131-M131</f>
        <v>1.0228817609446939</v>
      </c>
    </row>
    <row r="132" spans="11:18" x14ac:dyDescent="0.25">
      <c r="K132">
        <v>2022</v>
      </c>
      <c r="L132">
        <v>12.336758744142065</v>
      </c>
      <c r="M132">
        <f>$Q$129+K132*$R$129</f>
        <v>11.466999999999985</v>
      </c>
      <c r="N132">
        <f>L132-M132</f>
        <v>0.86975874414208043</v>
      </c>
    </row>
    <row r="133" spans="11:18" x14ac:dyDescent="0.25">
      <c r="K133">
        <v>2025</v>
      </c>
      <c r="L133">
        <f>M133+N133</f>
        <v>12.108820252543353</v>
      </c>
      <c r="M133">
        <f>$Q$129+K133*$R$129</f>
        <v>11.162499999999966</v>
      </c>
      <c r="N133">
        <f>AVERAGE(N131:N132)</f>
        <v>0.94632025254338714</v>
      </c>
      <c r="O133" t="s">
        <v>33</v>
      </c>
      <c r="Q133" t="s">
        <v>34</v>
      </c>
      <c r="R133" s="5">
        <f>EXP(L133)</f>
        <v>181465.39485328237</v>
      </c>
    </row>
    <row r="135" spans="11:18" x14ac:dyDescent="0.25">
      <c r="Q135" t="s">
        <v>35</v>
      </c>
    </row>
    <row r="137" spans="11:18" x14ac:dyDescent="0.25">
      <c r="Q137" s="2" t="s">
        <v>36</v>
      </c>
    </row>
    <row r="139" spans="11:18" x14ac:dyDescent="0.25">
      <c r="O139" s="6"/>
    </row>
    <row r="145" spans="11:18" x14ac:dyDescent="0.25">
      <c r="K145" t="s">
        <v>37</v>
      </c>
    </row>
    <row r="146" spans="11:18" x14ac:dyDescent="0.25">
      <c r="K146" t="s">
        <v>38</v>
      </c>
      <c r="L146">
        <v>0.748</v>
      </c>
    </row>
    <row r="147" spans="11:18" x14ac:dyDescent="0.25">
      <c r="K147" t="s">
        <v>39</v>
      </c>
      <c r="L147">
        <v>0.86599999999999999</v>
      </c>
    </row>
    <row r="148" spans="11:18" x14ac:dyDescent="0.25">
      <c r="K148" t="s">
        <v>40</v>
      </c>
      <c r="L148">
        <f>AVERAGE(L146:L147)</f>
        <v>0.80699999999999994</v>
      </c>
    </row>
    <row r="150" spans="11:18" x14ac:dyDescent="0.25">
      <c r="K150" t="s">
        <v>41</v>
      </c>
      <c r="N150">
        <f>D78+L148</f>
        <v>12.039444071955149</v>
      </c>
      <c r="O150" t="s">
        <v>42</v>
      </c>
      <c r="P150" s="5">
        <f>EXP(N150)</f>
        <v>169302.79412213984</v>
      </c>
    </row>
    <row r="151" spans="11:18" x14ac:dyDescent="0.25">
      <c r="Q151" s="2" t="s">
        <v>36</v>
      </c>
    </row>
    <row r="153" spans="11:18" x14ac:dyDescent="0.25">
      <c r="R153" s="5"/>
    </row>
    <row r="161" spans="1:13" x14ac:dyDescent="0.25">
      <c r="A161" t="s">
        <v>43</v>
      </c>
      <c r="K161" t="s">
        <v>44</v>
      </c>
    </row>
    <row r="162" spans="1:13" x14ac:dyDescent="0.25">
      <c r="B162" t="s">
        <v>45</v>
      </c>
      <c r="C162" t="s">
        <v>46</v>
      </c>
      <c r="D162" t="s">
        <v>47</v>
      </c>
      <c r="E162" t="s">
        <v>48</v>
      </c>
      <c r="F162" t="s">
        <v>49</v>
      </c>
      <c r="G162" t="s">
        <v>50</v>
      </c>
      <c r="H162" t="s">
        <v>51</v>
      </c>
      <c r="J162" t="s">
        <v>52</v>
      </c>
    </row>
    <row r="163" spans="1:13" x14ac:dyDescent="0.25">
      <c r="A163">
        <v>297</v>
      </c>
      <c r="B163" t="s">
        <v>53</v>
      </c>
      <c r="C163" t="s">
        <v>1</v>
      </c>
      <c r="D163">
        <v>1951</v>
      </c>
      <c r="E163">
        <v>0</v>
      </c>
      <c r="F163">
        <v>0</v>
      </c>
      <c r="G163">
        <v>0</v>
      </c>
      <c r="H163">
        <v>0</v>
      </c>
    </row>
    <row r="164" spans="1:13" x14ac:dyDescent="0.25">
      <c r="A164">
        <v>298</v>
      </c>
      <c r="B164" t="s">
        <v>53</v>
      </c>
      <c r="C164" t="s">
        <v>1</v>
      </c>
      <c r="D164">
        <v>1952</v>
      </c>
      <c r="E164">
        <v>185308</v>
      </c>
      <c r="F164">
        <v>133</v>
      </c>
      <c r="G164">
        <v>185175</v>
      </c>
      <c r="H164">
        <v>0</v>
      </c>
      <c r="J164">
        <f>F163</f>
        <v>0</v>
      </c>
      <c r="K164">
        <f>LN(E164)</f>
        <v>12.129774584574109</v>
      </c>
    </row>
    <row r="165" spans="1:13" x14ac:dyDescent="0.25">
      <c r="A165">
        <v>299</v>
      </c>
      <c r="B165" t="s">
        <v>53</v>
      </c>
      <c r="C165" t="s">
        <v>1</v>
      </c>
      <c r="D165">
        <v>1953</v>
      </c>
      <c r="E165">
        <v>200034</v>
      </c>
      <c r="F165">
        <v>4630</v>
      </c>
      <c r="G165">
        <v>173402</v>
      </c>
      <c r="H165">
        <v>22002</v>
      </c>
      <c r="J165">
        <f t="shared" ref="J165:J228" si="8">F164</f>
        <v>133</v>
      </c>
      <c r="K165">
        <f t="shared" ref="K165:K228" si="9">LN(E165)</f>
        <v>12.20624263108181</v>
      </c>
    </row>
    <row r="166" spans="1:13" x14ac:dyDescent="0.25">
      <c r="A166">
        <v>300</v>
      </c>
      <c r="B166" t="s">
        <v>53</v>
      </c>
      <c r="C166" t="s">
        <v>1</v>
      </c>
      <c r="D166">
        <v>1954</v>
      </c>
      <c r="E166">
        <v>910135</v>
      </c>
      <c r="F166">
        <v>26</v>
      </c>
      <c r="G166">
        <v>903768</v>
      </c>
      <c r="H166">
        <v>6341</v>
      </c>
      <c r="J166">
        <f t="shared" si="8"/>
        <v>4630</v>
      </c>
      <c r="K166">
        <f t="shared" si="9"/>
        <v>13.721348219138367</v>
      </c>
    </row>
    <row r="167" spans="1:13" x14ac:dyDescent="0.25">
      <c r="A167">
        <v>301</v>
      </c>
      <c r="B167" t="s">
        <v>53</v>
      </c>
      <c r="C167" t="s">
        <v>1</v>
      </c>
      <c r="D167">
        <v>1955</v>
      </c>
      <c r="E167">
        <v>384791</v>
      </c>
      <c r="F167">
        <v>23</v>
      </c>
      <c r="G167">
        <v>354049</v>
      </c>
      <c r="H167">
        <v>30719</v>
      </c>
      <c r="J167">
        <f t="shared" si="8"/>
        <v>26</v>
      </c>
      <c r="K167">
        <f t="shared" si="9"/>
        <v>12.860455608726777</v>
      </c>
    </row>
    <row r="168" spans="1:13" x14ac:dyDescent="0.25">
      <c r="A168">
        <v>302</v>
      </c>
      <c r="B168" t="s">
        <v>53</v>
      </c>
      <c r="C168" t="s">
        <v>1</v>
      </c>
      <c r="D168">
        <v>1956</v>
      </c>
      <c r="E168">
        <v>195306</v>
      </c>
      <c r="F168">
        <v>30</v>
      </c>
      <c r="G168">
        <v>93984</v>
      </c>
      <c r="H168">
        <v>101292</v>
      </c>
      <c r="J168">
        <f t="shared" si="8"/>
        <v>23</v>
      </c>
      <c r="K168">
        <f t="shared" si="9"/>
        <v>12.182322838359067</v>
      </c>
    </row>
    <row r="169" spans="1:13" x14ac:dyDescent="0.25">
      <c r="A169">
        <v>303</v>
      </c>
      <c r="B169" t="s">
        <v>53</v>
      </c>
      <c r="C169" t="s">
        <v>1</v>
      </c>
      <c r="D169">
        <v>1957</v>
      </c>
      <c r="E169">
        <v>176197</v>
      </c>
      <c r="F169">
        <v>3311</v>
      </c>
      <c r="G169">
        <v>156192</v>
      </c>
      <c r="H169">
        <v>16694</v>
      </c>
      <c r="J169">
        <f t="shared" si="8"/>
        <v>30</v>
      </c>
      <c r="K169">
        <f t="shared" si="9"/>
        <v>12.079357966232573</v>
      </c>
    </row>
    <row r="170" spans="1:13" x14ac:dyDescent="0.25">
      <c r="A170">
        <v>304</v>
      </c>
      <c r="B170" t="s">
        <v>53</v>
      </c>
      <c r="C170" t="s">
        <v>1</v>
      </c>
      <c r="D170">
        <v>1958</v>
      </c>
      <c r="E170">
        <v>1158256</v>
      </c>
      <c r="F170">
        <v>28</v>
      </c>
      <c r="G170">
        <v>1140205</v>
      </c>
      <c r="H170">
        <v>18023</v>
      </c>
      <c r="J170">
        <f t="shared" si="8"/>
        <v>3311</v>
      </c>
      <c r="K170">
        <f t="shared" si="9"/>
        <v>13.962425983494271</v>
      </c>
    </row>
    <row r="171" spans="1:13" x14ac:dyDescent="0.25">
      <c r="A171">
        <v>305</v>
      </c>
      <c r="B171" t="s">
        <v>53</v>
      </c>
      <c r="C171" t="s">
        <v>1</v>
      </c>
      <c r="D171">
        <v>1959</v>
      </c>
      <c r="E171">
        <v>670552</v>
      </c>
      <c r="F171">
        <v>92</v>
      </c>
      <c r="G171">
        <v>602677</v>
      </c>
      <c r="H171">
        <v>67783</v>
      </c>
      <c r="J171">
        <f t="shared" si="8"/>
        <v>28</v>
      </c>
      <c r="K171">
        <f t="shared" si="9"/>
        <v>13.41585653276084</v>
      </c>
    </row>
    <row r="172" spans="1:13" x14ac:dyDescent="0.25">
      <c r="A172">
        <v>306</v>
      </c>
      <c r="B172" t="s">
        <v>53</v>
      </c>
      <c r="C172" t="s">
        <v>1</v>
      </c>
      <c r="D172">
        <v>1960</v>
      </c>
      <c r="E172">
        <v>247499</v>
      </c>
      <c r="F172">
        <v>8</v>
      </c>
      <c r="G172">
        <v>220400</v>
      </c>
      <c r="H172">
        <v>27091</v>
      </c>
      <c r="J172">
        <f t="shared" si="8"/>
        <v>92</v>
      </c>
      <c r="K172">
        <f t="shared" si="9"/>
        <v>12.41916182057868</v>
      </c>
    </row>
    <row r="173" spans="1:13" x14ac:dyDescent="0.25">
      <c r="A173">
        <v>307</v>
      </c>
      <c r="B173" t="s">
        <v>53</v>
      </c>
      <c r="C173" t="s">
        <v>1</v>
      </c>
      <c r="D173">
        <v>1961</v>
      </c>
      <c r="E173">
        <v>171234</v>
      </c>
      <c r="F173">
        <v>1156</v>
      </c>
      <c r="G173">
        <v>143835</v>
      </c>
      <c r="H173">
        <v>26243</v>
      </c>
      <c r="J173">
        <f t="shared" si="8"/>
        <v>8</v>
      </c>
      <c r="K173">
        <f t="shared" si="9"/>
        <v>12.050786321102622</v>
      </c>
    </row>
    <row r="174" spans="1:13" x14ac:dyDescent="0.25">
      <c r="A174">
        <v>308</v>
      </c>
      <c r="B174" t="s">
        <v>53</v>
      </c>
      <c r="C174" t="s">
        <v>1</v>
      </c>
      <c r="D174">
        <v>1962</v>
      </c>
      <c r="E174">
        <v>331106</v>
      </c>
      <c r="F174">
        <v>17</v>
      </c>
      <c r="G174">
        <v>323089</v>
      </c>
      <c r="H174">
        <v>8000</v>
      </c>
      <c r="J174">
        <f t="shared" si="8"/>
        <v>1156</v>
      </c>
      <c r="K174">
        <f t="shared" si="9"/>
        <v>12.710193844784618</v>
      </c>
    </row>
    <row r="175" spans="1:13" x14ac:dyDescent="0.25">
      <c r="A175">
        <v>309</v>
      </c>
      <c r="B175" t="s">
        <v>53</v>
      </c>
      <c r="C175" t="s">
        <v>1</v>
      </c>
      <c r="D175">
        <v>1963</v>
      </c>
      <c r="E175">
        <v>531152</v>
      </c>
      <c r="F175">
        <v>19</v>
      </c>
      <c r="G175">
        <v>514918</v>
      </c>
      <c r="H175">
        <v>16215</v>
      </c>
      <c r="J175">
        <f t="shared" si="8"/>
        <v>17</v>
      </c>
      <c r="K175">
        <f t="shared" si="9"/>
        <v>13.182803511615736</v>
      </c>
    </row>
    <row r="176" spans="1:13" x14ac:dyDescent="0.25">
      <c r="A176">
        <v>310</v>
      </c>
      <c r="B176" t="s">
        <v>53</v>
      </c>
      <c r="C176" t="s">
        <v>1</v>
      </c>
      <c r="D176">
        <v>1964</v>
      </c>
      <c r="E176">
        <v>170113</v>
      </c>
      <c r="F176">
        <v>288</v>
      </c>
      <c r="G176">
        <v>143340</v>
      </c>
      <c r="H176">
        <v>26485</v>
      </c>
      <c r="J176">
        <f t="shared" si="8"/>
        <v>19</v>
      </c>
      <c r="K176">
        <f t="shared" si="9"/>
        <v>12.044218201095644</v>
      </c>
      <c r="L176" t="s">
        <v>54</v>
      </c>
      <c r="M176" t="s">
        <v>55</v>
      </c>
    </row>
    <row r="177" spans="1:12" x14ac:dyDescent="0.25">
      <c r="A177">
        <v>311</v>
      </c>
      <c r="B177" t="s">
        <v>53</v>
      </c>
      <c r="C177" t="s">
        <v>1</v>
      </c>
      <c r="D177">
        <v>1965</v>
      </c>
      <c r="E177">
        <v>158301</v>
      </c>
      <c r="F177">
        <v>100</v>
      </c>
      <c r="G177">
        <v>137046</v>
      </c>
      <c r="H177">
        <v>21155</v>
      </c>
      <c r="J177">
        <f t="shared" si="8"/>
        <v>288</v>
      </c>
      <c r="K177">
        <f t="shared" si="9"/>
        <v>11.972253562968545</v>
      </c>
      <c r="L177" t="s">
        <v>56</v>
      </c>
    </row>
    <row r="178" spans="1:12" x14ac:dyDescent="0.25">
      <c r="A178">
        <v>312</v>
      </c>
      <c r="B178" t="s">
        <v>53</v>
      </c>
      <c r="C178" t="s">
        <v>1</v>
      </c>
      <c r="D178">
        <v>1966</v>
      </c>
      <c r="E178">
        <v>583074</v>
      </c>
      <c r="F178">
        <v>977</v>
      </c>
      <c r="G178">
        <v>572029</v>
      </c>
      <c r="H178">
        <v>10068</v>
      </c>
      <c r="J178">
        <f t="shared" si="8"/>
        <v>100</v>
      </c>
      <c r="K178">
        <f t="shared" si="9"/>
        <v>13.276069386951839</v>
      </c>
    </row>
    <row r="179" spans="1:12" x14ac:dyDescent="0.25">
      <c r="A179">
        <v>313</v>
      </c>
      <c r="B179" t="s">
        <v>53</v>
      </c>
      <c r="C179" t="s">
        <v>1</v>
      </c>
      <c r="D179">
        <v>1967</v>
      </c>
      <c r="E179">
        <v>731057</v>
      </c>
      <c r="F179">
        <v>194</v>
      </c>
      <c r="G179">
        <v>713487</v>
      </c>
      <c r="H179">
        <v>17376</v>
      </c>
      <c r="J179">
        <f t="shared" si="8"/>
        <v>977</v>
      </c>
      <c r="K179">
        <f t="shared" si="9"/>
        <v>13.502246711068191</v>
      </c>
    </row>
    <row r="180" spans="1:12" x14ac:dyDescent="0.25">
      <c r="A180">
        <v>314</v>
      </c>
      <c r="B180" t="s">
        <v>53</v>
      </c>
      <c r="C180" t="s">
        <v>1</v>
      </c>
      <c r="D180">
        <v>1968</v>
      </c>
      <c r="E180">
        <v>184315</v>
      </c>
      <c r="F180">
        <v>179</v>
      </c>
      <c r="G180">
        <v>170674</v>
      </c>
      <c r="H180">
        <v>13462</v>
      </c>
      <c r="J180">
        <f t="shared" si="8"/>
        <v>194</v>
      </c>
      <c r="K180">
        <f t="shared" si="9"/>
        <v>12.124401529385615</v>
      </c>
    </row>
    <row r="181" spans="1:12" x14ac:dyDescent="0.25">
      <c r="A181">
        <v>315</v>
      </c>
      <c r="B181" t="s">
        <v>53</v>
      </c>
      <c r="C181" t="s">
        <v>1</v>
      </c>
      <c r="D181">
        <v>1969</v>
      </c>
      <c r="E181">
        <v>238902</v>
      </c>
      <c r="F181">
        <v>833</v>
      </c>
      <c r="G181">
        <v>231100</v>
      </c>
      <c r="H181">
        <v>6969</v>
      </c>
      <c r="J181">
        <f t="shared" si="8"/>
        <v>179</v>
      </c>
      <c r="K181">
        <f t="shared" si="9"/>
        <v>12.383808704982499</v>
      </c>
    </row>
    <row r="182" spans="1:12" x14ac:dyDescent="0.25">
      <c r="A182">
        <v>316</v>
      </c>
      <c r="B182" t="s">
        <v>53</v>
      </c>
      <c r="C182" t="s">
        <v>1</v>
      </c>
      <c r="D182">
        <v>1970</v>
      </c>
      <c r="E182">
        <v>348976</v>
      </c>
      <c r="F182">
        <v>288</v>
      </c>
      <c r="G182">
        <v>336316</v>
      </c>
      <c r="H182">
        <v>12372</v>
      </c>
      <c r="J182">
        <f t="shared" si="8"/>
        <v>833</v>
      </c>
      <c r="K182">
        <f t="shared" si="9"/>
        <v>12.762758430911633</v>
      </c>
    </row>
    <row r="183" spans="1:12" x14ac:dyDescent="0.25">
      <c r="A183">
        <v>317</v>
      </c>
      <c r="B183" t="s">
        <v>53</v>
      </c>
      <c r="C183" t="s">
        <v>1</v>
      </c>
      <c r="D183">
        <v>1971</v>
      </c>
      <c r="E183">
        <v>554728</v>
      </c>
      <c r="F183">
        <v>85</v>
      </c>
      <c r="G183">
        <v>531886</v>
      </c>
      <c r="H183">
        <v>22757</v>
      </c>
      <c r="J183">
        <f t="shared" si="8"/>
        <v>288</v>
      </c>
      <c r="K183">
        <f t="shared" si="9"/>
        <v>13.22623318250508</v>
      </c>
    </row>
    <row r="184" spans="1:12" x14ac:dyDescent="0.25">
      <c r="A184">
        <v>318</v>
      </c>
      <c r="B184" t="s">
        <v>53</v>
      </c>
      <c r="C184" t="s">
        <v>1</v>
      </c>
      <c r="D184">
        <v>1972</v>
      </c>
      <c r="E184">
        <v>144381</v>
      </c>
      <c r="F184">
        <v>131</v>
      </c>
      <c r="G184">
        <v>125900</v>
      </c>
      <c r="H184">
        <v>18350</v>
      </c>
      <c r="J184">
        <f t="shared" si="8"/>
        <v>85</v>
      </c>
      <c r="K184">
        <f t="shared" si="9"/>
        <v>11.880210917836225</v>
      </c>
    </row>
    <row r="185" spans="1:12" x14ac:dyDescent="0.25">
      <c r="A185">
        <v>319</v>
      </c>
      <c r="B185" t="s">
        <v>53</v>
      </c>
      <c r="C185" t="s">
        <v>1</v>
      </c>
      <c r="D185">
        <v>1973</v>
      </c>
      <c r="E185">
        <v>240736</v>
      </c>
      <c r="F185">
        <v>1170</v>
      </c>
      <c r="G185">
        <v>235729</v>
      </c>
      <c r="H185">
        <v>3837</v>
      </c>
      <c r="J185">
        <f t="shared" si="8"/>
        <v>131</v>
      </c>
      <c r="K185">
        <f t="shared" si="9"/>
        <v>12.391456176359949</v>
      </c>
    </row>
    <row r="186" spans="1:12" x14ac:dyDescent="0.25">
      <c r="A186">
        <v>320</v>
      </c>
      <c r="B186" t="s">
        <v>53</v>
      </c>
      <c r="C186" t="s">
        <v>1</v>
      </c>
      <c r="D186">
        <v>1974</v>
      </c>
      <c r="E186">
        <v>246689</v>
      </c>
      <c r="F186">
        <v>496</v>
      </c>
      <c r="G186">
        <v>228808</v>
      </c>
      <c r="H186">
        <v>17385</v>
      </c>
      <c r="J186">
        <f t="shared" si="8"/>
        <v>1170</v>
      </c>
      <c r="K186">
        <f t="shared" si="9"/>
        <v>12.415883712954235</v>
      </c>
    </row>
    <row r="187" spans="1:12" x14ac:dyDescent="0.25">
      <c r="A187">
        <v>321</v>
      </c>
      <c r="B187" t="s">
        <v>53</v>
      </c>
      <c r="C187" t="s">
        <v>1</v>
      </c>
      <c r="D187">
        <v>1975</v>
      </c>
      <c r="E187">
        <v>513105</v>
      </c>
      <c r="F187">
        <v>204</v>
      </c>
      <c r="G187">
        <v>508759</v>
      </c>
      <c r="H187">
        <v>4130</v>
      </c>
      <c r="J187">
        <f t="shared" si="8"/>
        <v>496</v>
      </c>
      <c r="K187">
        <f t="shared" si="9"/>
        <v>13.148235781571721</v>
      </c>
    </row>
    <row r="188" spans="1:12" x14ac:dyDescent="0.25">
      <c r="A188">
        <v>322</v>
      </c>
      <c r="B188" t="s">
        <v>53</v>
      </c>
      <c r="C188" t="s">
        <v>1</v>
      </c>
      <c r="D188">
        <v>1976</v>
      </c>
      <c r="E188">
        <v>711237</v>
      </c>
      <c r="F188">
        <v>11</v>
      </c>
      <c r="G188">
        <v>711226</v>
      </c>
      <c r="H188">
        <v>0</v>
      </c>
      <c r="J188">
        <f t="shared" si="8"/>
        <v>204</v>
      </c>
      <c r="K188">
        <f t="shared" si="9"/>
        <v>13.474760986575498</v>
      </c>
    </row>
    <row r="189" spans="1:12" x14ac:dyDescent="0.25">
      <c r="A189">
        <v>323</v>
      </c>
      <c r="B189" t="s">
        <v>53</v>
      </c>
      <c r="C189" t="s">
        <v>1</v>
      </c>
      <c r="D189">
        <v>1977</v>
      </c>
      <c r="E189">
        <v>122420</v>
      </c>
      <c r="F189">
        <v>1823</v>
      </c>
      <c r="G189">
        <v>75813</v>
      </c>
      <c r="H189">
        <v>44784</v>
      </c>
      <c r="J189">
        <f t="shared" si="8"/>
        <v>11</v>
      </c>
      <c r="K189">
        <f t="shared" si="9"/>
        <v>11.71521303440506</v>
      </c>
    </row>
    <row r="190" spans="1:12" x14ac:dyDescent="0.25">
      <c r="A190">
        <v>324</v>
      </c>
      <c r="B190" t="s">
        <v>53</v>
      </c>
      <c r="C190" t="s">
        <v>1</v>
      </c>
      <c r="D190">
        <v>1978</v>
      </c>
      <c r="E190">
        <v>295694</v>
      </c>
      <c r="F190">
        <v>3852</v>
      </c>
      <c r="G190">
        <v>281752</v>
      </c>
      <c r="H190">
        <v>10077</v>
      </c>
      <c r="J190">
        <f t="shared" si="8"/>
        <v>1823</v>
      </c>
      <c r="K190">
        <f t="shared" si="9"/>
        <v>12.5970804147994</v>
      </c>
    </row>
    <row r="191" spans="1:12" x14ac:dyDescent="0.25">
      <c r="A191">
        <v>325</v>
      </c>
      <c r="B191" t="s">
        <v>53</v>
      </c>
      <c r="C191" t="s">
        <v>1</v>
      </c>
      <c r="D191">
        <v>1979</v>
      </c>
      <c r="E191">
        <v>1852392</v>
      </c>
      <c r="F191">
        <v>150</v>
      </c>
      <c r="G191">
        <v>1832708</v>
      </c>
      <c r="H191">
        <v>19534</v>
      </c>
      <c r="J191">
        <f t="shared" si="8"/>
        <v>3852</v>
      </c>
      <c r="K191">
        <f t="shared" si="9"/>
        <v>14.431988334857749</v>
      </c>
    </row>
    <row r="192" spans="1:12" x14ac:dyDescent="0.25">
      <c r="A192">
        <v>326</v>
      </c>
      <c r="B192" t="s">
        <v>53</v>
      </c>
      <c r="C192" t="s">
        <v>1</v>
      </c>
      <c r="D192">
        <v>1980</v>
      </c>
      <c r="E192">
        <v>284339</v>
      </c>
      <c r="F192">
        <v>74</v>
      </c>
      <c r="G192">
        <v>216701</v>
      </c>
      <c r="H192">
        <v>64645</v>
      </c>
      <c r="J192">
        <f t="shared" si="8"/>
        <v>150</v>
      </c>
      <c r="K192">
        <f t="shared" si="9"/>
        <v>12.557922467267137</v>
      </c>
    </row>
    <row r="193" spans="1:26" x14ac:dyDescent="0.25">
      <c r="A193">
        <v>327</v>
      </c>
      <c r="B193" t="s">
        <v>53</v>
      </c>
      <c r="C193" t="s">
        <v>1</v>
      </c>
      <c r="D193">
        <v>1981</v>
      </c>
      <c r="E193">
        <v>237504</v>
      </c>
      <c r="F193">
        <v>860</v>
      </c>
      <c r="G193">
        <v>209138</v>
      </c>
      <c r="H193">
        <v>27506</v>
      </c>
      <c r="J193">
        <f t="shared" si="8"/>
        <v>74</v>
      </c>
      <c r="K193">
        <f t="shared" si="9"/>
        <v>12.377939744420269</v>
      </c>
    </row>
    <row r="194" spans="1:26" x14ac:dyDescent="0.25">
      <c r="A194">
        <v>328</v>
      </c>
      <c r="B194" t="s">
        <v>53</v>
      </c>
      <c r="C194" t="s">
        <v>1</v>
      </c>
      <c r="D194">
        <v>1982</v>
      </c>
      <c r="E194">
        <v>445024</v>
      </c>
      <c r="F194">
        <v>31</v>
      </c>
      <c r="G194">
        <v>388505</v>
      </c>
      <c r="H194">
        <v>56488</v>
      </c>
      <c r="J194">
        <f t="shared" si="8"/>
        <v>860</v>
      </c>
      <c r="K194">
        <f t="shared" si="9"/>
        <v>13.005883492278338</v>
      </c>
      <c r="L194" t="s">
        <v>57</v>
      </c>
    </row>
    <row r="195" spans="1:26" x14ac:dyDescent="0.25">
      <c r="A195">
        <v>329</v>
      </c>
      <c r="B195" t="s">
        <v>53</v>
      </c>
      <c r="C195" t="s">
        <v>1</v>
      </c>
      <c r="D195">
        <v>1983</v>
      </c>
      <c r="E195">
        <v>526984</v>
      </c>
      <c r="F195">
        <v>207</v>
      </c>
      <c r="G195">
        <v>478737</v>
      </c>
      <c r="H195">
        <v>48040</v>
      </c>
      <c r="J195">
        <f t="shared" si="8"/>
        <v>31</v>
      </c>
      <c r="K195">
        <f t="shared" si="9"/>
        <v>13.174925466531301</v>
      </c>
      <c r="L195" t="s">
        <v>58</v>
      </c>
    </row>
    <row r="196" spans="1:26" x14ac:dyDescent="0.25">
      <c r="A196">
        <v>330</v>
      </c>
      <c r="B196" t="s">
        <v>53</v>
      </c>
      <c r="C196" t="s">
        <v>1</v>
      </c>
      <c r="D196">
        <v>1984</v>
      </c>
      <c r="E196">
        <v>681128</v>
      </c>
      <c r="F196">
        <v>28</v>
      </c>
      <c r="G196">
        <v>535944</v>
      </c>
      <c r="H196">
        <v>145156</v>
      </c>
      <c r="J196">
        <f t="shared" si="8"/>
        <v>207</v>
      </c>
      <c r="K196">
        <f t="shared" si="9"/>
        <v>13.431505526353586</v>
      </c>
      <c r="L196">
        <v>567</v>
      </c>
      <c r="M196">
        <v>46408</v>
      </c>
      <c r="N196">
        <v>0.27579999999999999</v>
      </c>
      <c r="O196" t="s">
        <v>59</v>
      </c>
      <c r="P196" s="5">
        <f>M196*L196^N196</f>
        <v>266704.94011489296</v>
      </c>
      <c r="Q196" t="s">
        <v>60</v>
      </c>
    </row>
    <row r="197" spans="1:26" x14ac:dyDescent="0.25">
      <c r="A197">
        <v>331</v>
      </c>
      <c r="B197" t="s">
        <v>53</v>
      </c>
      <c r="C197" t="s">
        <v>1</v>
      </c>
      <c r="D197">
        <v>1985</v>
      </c>
      <c r="E197">
        <v>455291</v>
      </c>
      <c r="F197">
        <v>1900</v>
      </c>
      <c r="G197">
        <v>234136</v>
      </c>
      <c r="H197">
        <v>219255</v>
      </c>
      <c r="J197">
        <f t="shared" si="8"/>
        <v>28</v>
      </c>
      <c r="K197">
        <f t="shared" si="9"/>
        <v>13.028692053941029</v>
      </c>
    </row>
    <row r="198" spans="1:26" x14ac:dyDescent="0.25">
      <c r="A198">
        <v>332</v>
      </c>
      <c r="B198" t="s">
        <v>53</v>
      </c>
      <c r="C198" t="s">
        <v>1</v>
      </c>
      <c r="D198">
        <v>1986</v>
      </c>
      <c r="E198">
        <v>362232</v>
      </c>
      <c r="F198">
        <v>1129</v>
      </c>
      <c r="G198">
        <v>309369</v>
      </c>
      <c r="H198">
        <v>51734</v>
      </c>
      <c r="J198">
        <f t="shared" si="8"/>
        <v>1900</v>
      </c>
      <c r="K198">
        <f t="shared" si="9"/>
        <v>12.800040169507374</v>
      </c>
      <c r="V198" s="5"/>
    </row>
    <row r="199" spans="1:26" x14ac:dyDescent="0.25">
      <c r="A199">
        <v>333</v>
      </c>
      <c r="B199" t="s">
        <v>53</v>
      </c>
      <c r="C199" t="s">
        <v>1</v>
      </c>
      <c r="D199">
        <v>1987</v>
      </c>
      <c r="E199">
        <v>1144418</v>
      </c>
      <c r="F199">
        <v>170</v>
      </c>
      <c r="G199">
        <v>1097744</v>
      </c>
      <c r="H199">
        <v>46504</v>
      </c>
      <c r="J199">
        <f t="shared" si="8"/>
        <v>1129</v>
      </c>
      <c r="K199">
        <f t="shared" si="9"/>
        <v>13.950406768800562</v>
      </c>
    </row>
    <row r="200" spans="1:26" x14ac:dyDescent="0.25">
      <c r="A200">
        <v>334</v>
      </c>
      <c r="B200" t="s">
        <v>53</v>
      </c>
      <c r="C200" t="s">
        <v>1</v>
      </c>
      <c r="D200">
        <v>1988</v>
      </c>
      <c r="E200">
        <v>903283</v>
      </c>
      <c r="F200">
        <v>87</v>
      </c>
      <c r="G200">
        <v>744589</v>
      </c>
      <c r="H200">
        <v>158607</v>
      </c>
      <c r="J200">
        <f t="shared" si="8"/>
        <v>170</v>
      </c>
      <c r="K200">
        <f t="shared" si="9"/>
        <v>13.713791183078186</v>
      </c>
      <c r="W200" t="s">
        <v>61</v>
      </c>
    </row>
    <row r="201" spans="1:26" ht="15.75" thickBot="1" x14ac:dyDescent="0.3">
      <c r="A201">
        <v>335</v>
      </c>
      <c r="B201" t="s">
        <v>53</v>
      </c>
      <c r="C201" t="s">
        <v>1</v>
      </c>
      <c r="D201">
        <v>1989</v>
      </c>
      <c r="E201">
        <v>364112</v>
      </c>
      <c r="F201">
        <v>23</v>
      </c>
      <c r="G201">
        <v>97659</v>
      </c>
      <c r="H201">
        <v>266430</v>
      </c>
      <c r="J201">
        <f t="shared" si="8"/>
        <v>87</v>
      </c>
      <c r="K201">
        <f t="shared" si="9"/>
        <v>12.805216791598999</v>
      </c>
      <c r="N201" t="s">
        <v>62</v>
      </c>
      <c r="O201" t="s">
        <v>63</v>
      </c>
      <c r="P201" t="s">
        <v>64</v>
      </c>
      <c r="Q201" t="s">
        <v>65</v>
      </c>
      <c r="R201" t="s">
        <v>66</v>
      </c>
      <c r="S201" t="s">
        <v>64</v>
      </c>
      <c r="T201" t="s">
        <v>44</v>
      </c>
    </row>
    <row r="202" spans="1:26" x14ac:dyDescent="0.25">
      <c r="A202">
        <v>336</v>
      </c>
      <c r="B202" t="s">
        <v>53</v>
      </c>
      <c r="C202" t="s">
        <v>1</v>
      </c>
      <c r="D202">
        <v>1990</v>
      </c>
      <c r="E202">
        <v>476408</v>
      </c>
      <c r="F202">
        <v>14</v>
      </c>
      <c r="G202">
        <v>445398</v>
      </c>
      <c r="H202">
        <v>30996</v>
      </c>
      <c r="J202">
        <f t="shared" si="8"/>
        <v>23</v>
      </c>
      <c r="K202">
        <f t="shared" si="9"/>
        <v>13.074029908933539</v>
      </c>
      <c r="M202">
        <v>2006</v>
      </c>
      <c r="N202">
        <v>307985</v>
      </c>
      <c r="O202">
        <v>47</v>
      </c>
      <c r="P202" s="7">
        <v>0.19707756144923189</v>
      </c>
      <c r="Q202" s="6">
        <f>$M$196*O202^$N$196</f>
        <v>134201.52212889501</v>
      </c>
      <c r="R202">
        <f>LN(Q202)</f>
        <v>11.807097845697534</v>
      </c>
      <c r="S202" s="7">
        <v>0.19707756144923189</v>
      </c>
      <c r="T202">
        <f>LN(N202)</f>
        <v>12.637806359471064</v>
      </c>
      <c r="W202" s="8" t="s">
        <v>67</v>
      </c>
      <c r="X202" s="8"/>
    </row>
    <row r="203" spans="1:26" x14ac:dyDescent="0.25">
      <c r="A203">
        <v>337</v>
      </c>
      <c r="B203" t="s">
        <v>53</v>
      </c>
      <c r="C203" t="s">
        <v>1</v>
      </c>
      <c r="D203">
        <v>1991</v>
      </c>
      <c r="E203">
        <v>470053</v>
      </c>
      <c r="F203">
        <v>158</v>
      </c>
      <c r="G203">
        <v>353471</v>
      </c>
      <c r="H203">
        <v>116424</v>
      </c>
      <c r="J203">
        <f t="shared" si="8"/>
        <v>14</v>
      </c>
      <c r="K203">
        <f t="shared" si="9"/>
        <v>13.060600733286085</v>
      </c>
      <c r="M203">
        <v>2007</v>
      </c>
      <c r="N203">
        <v>59073</v>
      </c>
      <c r="O203">
        <v>5</v>
      </c>
      <c r="P203" s="7">
        <v>1.3496924048692274</v>
      </c>
      <c r="Q203" s="6">
        <f t="shared" ref="Q203:Q218" si="10">$M$196*O203^$N$196</f>
        <v>72338.380172835852</v>
      </c>
      <c r="R203">
        <f t="shared" ref="R203:R218" si="11">LN(Q203)</f>
        <v>11.189110113395225</v>
      </c>
      <c r="S203" s="7">
        <v>1.3496924048692274</v>
      </c>
      <c r="T203">
        <f t="shared" ref="T203:T217" si="12">LN(N203)</f>
        <v>10.98652924621328</v>
      </c>
      <c r="W203" t="s">
        <v>68</v>
      </c>
      <c r="X203">
        <v>0.49223527577714876</v>
      </c>
    </row>
    <row r="204" spans="1:26" x14ac:dyDescent="0.25">
      <c r="A204">
        <v>338</v>
      </c>
      <c r="B204" t="s">
        <v>53</v>
      </c>
      <c r="C204" t="s">
        <v>1</v>
      </c>
      <c r="D204">
        <v>1992</v>
      </c>
      <c r="E204">
        <v>648446</v>
      </c>
      <c r="F204">
        <v>28</v>
      </c>
      <c r="G204">
        <v>566227</v>
      </c>
      <c r="H204">
        <v>82191</v>
      </c>
      <c r="J204">
        <f t="shared" si="8"/>
        <v>158</v>
      </c>
      <c r="K204">
        <f t="shared" si="9"/>
        <v>13.382334010189075</v>
      </c>
      <c r="M204">
        <v>2008</v>
      </c>
      <c r="N204">
        <v>228384</v>
      </c>
      <c r="O204">
        <v>153</v>
      </c>
      <c r="P204" s="7">
        <v>1.789928194669234</v>
      </c>
      <c r="Q204" s="6">
        <f t="shared" si="10"/>
        <v>185836.38515383549</v>
      </c>
      <c r="R204">
        <f t="shared" si="11"/>
        <v>12.132621915865935</v>
      </c>
      <c r="S204" s="7">
        <v>1.789928194669234</v>
      </c>
      <c r="T204">
        <f t="shared" si="12"/>
        <v>12.338783701770794</v>
      </c>
      <c r="W204" t="s">
        <v>69</v>
      </c>
      <c r="X204">
        <v>0.24229556671940572</v>
      </c>
      <c r="Z204" t="s">
        <v>70</v>
      </c>
    </row>
    <row r="205" spans="1:26" x14ac:dyDescent="0.25">
      <c r="A205">
        <v>339</v>
      </c>
      <c r="B205" t="s">
        <v>53</v>
      </c>
      <c r="C205" t="s">
        <v>1</v>
      </c>
      <c r="D205">
        <v>1993</v>
      </c>
      <c r="E205">
        <v>553471</v>
      </c>
      <c r="F205">
        <v>1145</v>
      </c>
      <c r="G205">
        <v>127212</v>
      </c>
      <c r="H205">
        <v>425114</v>
      </c>
      <c r="J205">
        <f t="shared" si="8"/>
        <v>28</v>
      </c>
      <c r="K205">
        <f t="shared" si="9"/>
        <v>13.22396463590095</v>
      </c>
      <c r="M205">
        <v>2009</v>
      </c>
      <c r="N205">
        <v>40724</v>
      </c>
      <c r="O205">
        <v>12</v>
      </c>
      <c r="P205" s="7">
        <v>2.7815152350692447</v>
      </c>
      <c r="Q205" s="6">
        <f t="shared" si="10"/>
        <v>92093.937156546366</v>
      </c>
      <c r="R205">
        <f t="shared" si="11"/>
        <v>11.43056439115743</v>
      </c>
      <c r="S205" s="7">
        <v>2.7815152350692447</v>
      </c>
      <c r="T205">
        <f t="shared" si="12"/>
        <v>10.614572878227087</v>
      </c>
      <c r="W205" t="s">
        <v>71</v>
      </c>
      <c r="X205">
        <v>0.10453112430475221</v>
      </c>
    </row>
    <row r="206" spans="1:26" x14ac:dyDescent="0.25">
      <c r="A206">
        <v>340</v>
      </c>
      <c r="B206" t="s">
        <v>53</v>
      </c>
      <c r="C206" t="s">
        <v>1</v>
      </c>
      <c r="D206">
        <v>1994</v>
      </c>
      <c r="E206">
        <v>956333</v>
      </c>
      <c r="F206">
        <v>259</v>
      </c>
      <c r="G206">
        <v>861027</v>
      </c>
      <c r="H206">
        <v>95047</v>
      </c>
      <c r="J206">
        <f t="shared" si="8"/>
        <v>1145</v>
      </c>
      <c r="K206">
        <f t="shared" si="9"/>
        <v>13.770861457741828</v>
      </c>
      <c r="M206">
        <v>2010</v>
      </c>
      <c r="N206">
        <v>406365</v>
      </c>
      <c r="O206">
        <v>109</v>
      </c>
      <c r="P206" s="7">
        <v>3.3034292364692428</v>
      </c>
      <c r="Q206" s="6">
        <f t="shared" si="10"/>
        <v>169244.70125305862</v>
      </c>
      <c r="R206">
        <f t="shared" si="11"/>
        <v>12.039100883064698</v>
      </c>
      <c r="S206" s="7">
        <v>3.3034292364692428</v>
      </c>
      <c r="T206">
        <f t="shared" si="12"/>
        <v>12.915007049490448</v>
      </c>
      <c r="W206" t="s">
        <v>72</v>
      </c>
      <c r="X206">
        <v>0.74977124559492903</v>
      </c>
    </row>
    <row r="207" spans="1:26" ht="15.75" thickBot="1" x14ac:dyDescent="0.3">
      <c r="A207">
        <v>341</v>
      </c>
      <c r="B207" t="s">
        <v>53</v>
      </c>
      <c r="C207" t="s">
        <v>1</v>
      </c>
      <c r="D207">
        <v>1995</v>
      </c>
      <c r="E207">
        <v>388978</v>
      </c>
      <c r="F207">
        <v>275</v>
      </c>
      <c r="G207">
        <v>299039</v>
      </c>
      <c r="H207">
        <v>89664</v>
      </c>
      <c r="J207">
        <f t="shared" si="8"/>
        <v>259</v>
      </c>
      <c r="K207">
        <f t="shared" si="9"/>
        <v>12.871278065731351</v>
      </c>
      <c r="M207">
        <v>2011</v>
      </c>
      <c r="N207">
        <v>196347</v>
      </c>
      <c r="O207">
        <v>22</v>
      </c>
      <c r="P207" s="7">
        <v>1.2312497751892382</v>
      </c>
      <c r="Q207" s="6">
        <f t="shared" si="10"/>
        <v>108851.15154324113</v>
      </c>
      <c r="R207">
        <f t="shared" si="11"/>
        <v>11.597736645782124</v>
      </c>
      <c r="S207" s="7">
        <v>1.2312497751892382</v>
      </c>
      <c r="T207">
        <f t="shared" si="12"/>
        <v>12.187638781050625</v>
      </c>
      <c r="W207" s="3" t="s">
        <v>73</v>
      </c>
      <c r="X207" s="3">
        <v>14</v>
      </c>
    </row>
    <row r="208" spans="1:26" x14ac:dyDescent="0.25">
      <c r="A208">
        <v>342</v>
      </c>
      <c r="B208" t="s">
        <v>53</v>
      </c>
      <c r="C208" t="s">
        <v>1</v>
      </c>
      <c r="D208">
        <v>1996</v>
      </c>
      <c r="E208">
        <v>771677</v>
      </c>
      <c r="F208">
        <v>13</v>
      </c>
      <c r="G208">
        <v>734393</v>
      </c>
      <c r="H208">
        <v>37271</v>
      </c>
      <c r="J208">
        <f t="shared" si="8"/>
        <v>275</v>
      </c>
      <c r="K208">
        <f t="shared" si="9"/>
        <v>13.55632134767343</v>
      </c>
      <c r="M208">
        <v>2012</v>
      </c>
      <c r="N208">
        <v>285866</v>
      </c>
      <c r="O208">
        <v>504</v>
      </c>
      <c r="P208" s="7">
        <v>5.3692223996192361</v>
      </c>
      <c r="Q208" s="6">
        <f t="shared" si="10"/>
        <v>258180.35546744731</v>
      </c>
      <c r="R208">
        <f t="shared" si="11"/>
        <v>12.461413671879983</v>
      </c>
      <c r="S208" s="7">
        <v>5.3692223996192361</v>
      </c>
      <c r="T208">
        <f t="shared" si="12"/>
        <v>12.563278448538293</v>
      </c>
    </row>
    <row r="209" spans="1:31" ht="15.75" thickBot="1" x14ac:dyDescent="0.3">
      <c r="A209">
        <v>343</v>
      </c>
      <c r="B209" t="s">
        <v>53</v>
      </c>
      <c r="C209" t="s">
        <v>1</v>
      </c>
      <c r="D209">
        <v>1997</v>
      </c>
      <c r="E209">
        <v>202078</v>
      </c>
      <c r="F209">
        <v>127</v>
      </c>
      <c r="G209">
        <v>68158</v>
      </c>
      <c r="H209">
        <v>133793</v>
      </c>
      <c r="J209">
        <f t="shared" si="8"/>
        <v>13</v>
      </c>
      <c r="K209">
        <f t="shared" si="9"/>
        <v>12.216409040464875</v>
      </c>
      <c r="M209">
        <v>2016</v>
      </c>
      <c r="N209">
        <v>54728</v>
      </c>
      <c r="O209">
        <v>67</v>
      </c>
      <c r="P209" s="7">
        <v>3.303517913359225</v>
      </c>
      <c r="Q209" s="6">
        <f t="shared" si="10"/>
        <v>147987.24425622026</v>
      </c>
      <c r="R209">
        <f t="shared" si="11"/>
        <v>11.904881361573928</v>
      </c>
      <c r="S209" s="7">
        <v>3.303517913359225</v>
      </c>
      <c r="T209">
        <f t="shared" si="12"/>
        <v>10.910130740440835</v>
      </c>
      <c r="W209" t="s">
        <v>74</v>
      </c>
    </row>
    <row r="210" spans="1:31" x14ac:dyDescent="0.25">
      <c r="A210">
        <v>344</v>
      </c>
      <c r="B210" t="s">
        <v>53</v>
      </c>
      <c r="C210" t="s">
        <v>1</v>
      </c>
      <c r="D210">
        <v>1998</v>
      </c>
      <c r="E210">
        <v>835157</v>
      </c>
      <c r="F210">
        <v>75</v>
      </c>
      <c r="G210">
        <v>593409</v>
      </c>
      <c r="H210">
        <v>241673</v>
      </c>
      <c r="J210">
        <f t="shared" si="8"/>
        <v>127</v>
      </c>
      <c r="K210">
        <f t="shared" si="9"/>
        <v>13.635375010110801</v>
      </c>
      <c r="M210">
        <v>2017</v>
      </c>
      <c r="N210">
        <v>115634</v>
      </c>
      <c r="O210">
        <v>235</v>
      </c>
      <c r="P210" s="7">
        <v>3.1158533679692386</v>
      </c>
      <c r="Q210" s="6">
        <f t="shared" si="10"/>
        <v>209186.36285841346</v>
      </c>
      <c r="R210">
        <f t="shared" si="11"/>
        <v>12.250980821946859</v>
      </c>
      <c r="S210" s="7">
        <v>3.1158533679692386</v>
      </c>
      <c r="T210">
        <f t="shared" si="12"/>
        <v>11.658185309623358</v>
      </c>
      <c r="W210" s="9"/>
      <c r="X210" s="9" t="s">
        <v>75</v>
      </c>
      <c r="Y210" s="9" t="s">
        <v>76</v>
      </c>
      <c r="Z210" s="9" t="s">
        <v>77</v>
      </c>
      <c r="AA210" s="9" t="s">
        <v>78</v>
      </c>
      <c r="AB210" s="9" t="s">
        <v>79</v>
      </c>
    </row>
    <row r="211" spans="1:31" x14ac:dyDescent="0.25">
      <c r="A211">
        <v>345</v>
      </c>
      <c r="B211" t="s">
        <v>53</v>
      </c>
      <c r="C211" t="s">
        <v>1</v>
      </c>
      <c r="D211">
        <v>1999</v>
      </c>
      <c r="E211">
        <v>216713</v>
      </c>
      <c r="F211">
        <v>16</v>
      </c>
      <c r="G211">
        <v>127344</v>
      </c>
      <c r="H211">
        <v>88649</v>
      </c>
      <c r="J211">
        <f t="shared" si="8"/>
        <v>75</v>
      </c>
      <c r="K211">
        <f t="shared" si="9"/>
        <v>12.286329176495727</v>
      </c>
      <c r="M211">
        <v>2018</v>
      </c>
      <c r="N211">
        <v>398667</v>
      </c>
      <c r="O211">
        <v>462</v>
      </c>
      <c r="P211" s="7">
        <v>2.441292262069223</v>
      </c>
      <c r="Q211" s="6">
        <f t="shared" si="10"/>
        <v>252058.36179548627</v>
      </c>
      <c r="R211">
        <f t="shared" si="11"/>
        <v>12.437415934106244</v>
      </c>
      <c r="S211" s="7">
        <v>2.441292262069223</v>
      </c>
      <c r="T211">
        <f t="shared" si="12"/>
        <v>12.895881760944656</v>
      </c>
      <c r="W211" t="s">
        <v>80</v>
      </c>
      <c r="X211">
        <v>2</v>
      </c>
      <c r="Y211">
        <v>1.9774061768617273</v>
      </c>
      <c r="Z211">
        <v>0.98870308843086363</v>
      </c>
      <c r="AA211">
        <v>1.7587670843985039</v>
      </c>
      <c r="AB211">
        <v>0.21739475187385657</v>
      </c>
    </row>
    <row r="212" spans="1:31" x14ac:dyDescent="0.25">
      <c r="A212">
        <v>346</v>
      </c>
      <c r="B212" t="s">
        <v>53</v>
      </c>
      <c r="C212" t="s">
        <v>1</v>
      </c>
      <c r="D212">
        <v>2000</v>
      </c>
      <c r="E212">
        <v>692039</v>
      </c>
      <c r="F212">
        <v>0</v>
      </c>
      <c r="G212">
        <v>635499</v>
      </c>
      <c r="H212">
        <v>56540</v>
      </c>
      <c r="J212">
        <f t="shared" si="8"/>
        <v>16</v>
      </c>
      <c r="K212">
        <f t="shared" si="9"/>
        <v>13.447397591393235</v>
      </c>
      <c r="M212">
        <v>2019</v>
      </c>
      <c r="N212">
        <v>85526</v>
      </c>
      <c r="O212">
        <v>66</v>
      </c>
      <c r="P212" s="7">
        <v>0.71163629737922962</v>
      </c>
      <c r="Q212" s="6">
        <f t="shared" si="10"/>
        <v>147374.74609624874</v>
      </c>
      <c r="R212">
        <f t="shared" si="11"/>
        <v>11.900733914996788</v>
      </c>
      <c r="S212" s="7">
        <v>0.71163629737922962</v>
      </c>
      <c r="T212">
        <f t="shared" si="12"/>
        <v>11.356575702265026</v>
      </c>
      <c r="W212" t="s">
        <v>81</v>
      </c>
      <c r="X212">
        <v>11</v>
      </c>
      <c r="Y212">
        <v>6.1837261279306848</v>
      </c>
      <c r="Z212">
        <v>0.56215692072097134</v>
      </c>
    </row>
    <row r="213" spans="1:31" ht="15.75" thickBot="1" x14ac:dyDescent="0.3">
      <c r="A213">
        <v>347</v>
      </c>
      <c r="B213" t="s">
        <v>53</v>
      </c>
      <c r="C213" t="s">
        <v>1</v>
      </c>
      <c r="D213">
        <v>2001</v>
      </c>
      <c r="E213">
        <v>245067</v>
      </c>
      <c r="F213">
        <v>73</v>
      </c>
      <c r="G213">
        <v>68515</v>
      </c>
      <c r="H213">
        <v>176479</v>
      </c>
      <c r="J213">
        <f t="shared" si="8"/>
        <v>0</v>
      </c>
      <c r="K213">
        <f t="shared" si="9"/>
        <v>12.409286921528683</v>
      </c>
      <c r="M213">
        <v>2020</v>
      </c>
      <c r="N213">
        <v>57784</v>
      </c>
      <c r="O213">
        <v>63</v>
      </c>
      <c r="P213" s="7">
        <v>-1.5252614967307725</v>
      </c>
      <c r="Q213" s="6">
        <f t="shared" si="10"/>
        <v>145495.97393844326</v>
      </c>
      <c r="R213">
        <f t="shared" si="11"/>
        <v>11.887903694684685</v>
      </c>
      <c r="S213" s="7">
        <v>-1.5252614967307725</v>
      </c>
      <c r="T213">
        <f t="shared" si="12"/>
        <v>10.964467199730683</v>
      </c>
      <c r="W213" s="3" t="s">
        <v>82</v>
      </c>
      <c r="X213" s="3">
        <v>13</v>
      </c>
      <c r="Y213" s="3">
        <v>8.161132304792412</v>
      </c>
      <c r="Z213" s="3"/>
      <c r="AA213" s="3"/>
      <c r="AB213" s="3"/>
    </row>
    <row r="214" spans="1:31" ht="15.75" thickBot="1" x14ac:dyDescent="0.3">
      <c r="A214">
        <v>348</v>
      </c>
      <c r="B214" t="s">
        <v>53</v>
      </c>
      <c r="C214" t="s">
        <v>1</v>
      </c>
      <c r="D214">
        <v>2002</v>
      </c>
      <c r="E214">
        <v>561079</v>
      </c>
      <c r="F214">
        <v>0</v>
      </c>
      <c r="G214">
        <v>504421</v>
      </c>
      <c r="H214">
        <v>56658</v>
      </c>
      <c r="J214">
        <f t="shared" si="8"/>
        <v>73</v>
      </c>
      <c r="K214">
        <f t="shared" si="9"/>
        <v>13.237616994554982</v>
      </c>
      <c r="M214">
        <v>2021</v>
      </c>
      <c r="N214">
        <v>137357</v>
      </c>
      <c r="O214">
        <v>47</v>
      </c>
      <c r="P214" s="7">
        <v>2.8199650322192427</v>
      </c>
      <c r="Q214" s="6">
        <f t="shared" si="10"/>
        <v>134201.52212889501</v>
      </c>
      <c r="R214">
        <f t="shared" si="11"/>
        <v>11.807097845697534</v>
      </c>
      <c r="S214" s="7">
        <v>2.8199650322192427</v>
      </c>
      <c r="T214">
        <f t="shared" si="12"/>
        <v>11.830338654913515</v>
      </c>
    </row>
    <row r="215" spans="1:31" x14ac:dyDescent="0.25">
      <c r="A215">
        <v>349</v>
      </c>
      <c r="B215" t="s">
        <v>53</v>
      </c>
      <c r="C215" t="s">
        <v>1</v>
      </c>
      <c r="D215">
        <v>2003</v>
      </c>
      <c r="E215">
        <v>277491</v>
      </c>
      <c r="F215">
        <v>0</v>
      </c>
      <c r="G215">
        <v>143988</v>
      </c>
      <c r="H215">
        <v>133503</v>
      </c>
      <c r="J215">
        <f t="shared" si="8"/>
        <v>0</v>
      </c>
      <c r="K215">
        <f t="shared" si="9"/>
        <v>12.533543779210252</v>
      </c>
      <c r="M215">
        <v>2022</v>
      </c>
      <c r="N215">
        <v>227922</v>
      </c>
      <c r="O215">
        <v>9</v>
      </c>
      <c r="P215" s="7">
        <v>2.0752345825592298</v>
      </c>
      <c r="Q215" s="6">
        <f t="shared" si="10"/>
        <v>85069.315155679476</v>
      </c>
      <c r="R215">
        <f t="shared" si="11"/>
        <v>11.35122167557523</v>
      </c>
      <c r="S215" s="7">
        <v>2.0752345825592298</v>
      </c>
      <c r="T215">
        <f t="shared" si="12"/>
        <v>12.336758744142065</v>
      </c>
      <c r="W215" s="9"/>
      <c r="X215" s="9" t="s">
        <v>83</v>
      </c>
      <c r="Y215" s="9" t="s">
        <v>72</v>
      </c>
      <c r="Z215" s="9" t="s">
        <v>84</v>
      </c>
      <c r="AA215" s="9" t="s">
        <v>85</v>
      </c>
      <c r="AB215" s="9" t="s">
        <v>86</v>
      </c>
      <c r="AC215" s="9" t="s">
        <v>87</v>
      </c>
      <c r="AD215" s="9" t="s">
        <v>88</v>
      </c>
      <c r="AE215" s="9" t="s">
        <v>89</v>
      </c>
    </row>
    <row r="216" spans="1:31" x14ac:dyDescent="0.25">
      <c r="A216">
        <v>350</v>
      </c>
      <c r="B216" t="s">
        <v>53</v>
      </c>
      <c r="C216" t="s">
        <v>1</v>
      </c>
      <c r="D216">
        <v>2004</v>
      </c>
      <c r="E216">
        <v>678056</v>
      </c>
      <c r="F216">
        <v>0</v>
      </c>
      <c r="G216">
        <v>647582</v>
      </c>
      <c r="H216">
        <v>30474</v>
      </c>
      <c r="J216">
        <f t="shared" si="8"/>
        <v>0</v>
      </c>
      <c r="K216">
        <f t="shared" si="9"/>
        <v>13.426985159381887</v>
      </c>
      <c r="M216">
        <v>2023</v>
      </c>
      <c r="N216">
        <v>84000</v>
      </c>
      <c r="O216">
        <v>0</v>
      </c>
      <c r="P216" s="7">
        <v>1.1295069963692277</v>
      </c>
      <c r="Q216" s="5"/>
      <c r="S216" s="7">
        <v>1.1295069963692277</v>
      </c>
      <c r="T216">
        <f t="shared" si="12"/>
        <v>11.33857207782545</v>
      </c>
      <c r="W216" t="s">
        <v>90</v>
      </c>
      <c r="X216">
        <v>0.7109962334541351</v>
      </c>
      <c r="Y216">
        <v>6.8213763920163357</v>
      </c>
      <c r="Z216">
        <v>0.10423061162352473</v>
      </c>
      <c r="AA216">
        <v>0.91886251126851859</v>
      </c>
      <c r="AB216">
        <v>-14.302751976773262</v>
      </c>
      <c r="AC216">
        <v>15.724744443681534</v>
      </c>
      <c r="AD216">
        <v>-14.302751976773262</v>
      </c>
      <c r="AE216">
        <v>15.724744443681534</v>
      </c>
    </row>
    <row r="217" spans="1:31" x14ac:dyDescent="0.25">
      <c r="A217">
        <v>351</v>
      </c>
      <c r="B217" t="s">
        <v>53</v>
      </c>
      <c r="C217" t="s">
        <v>1</v>
      </c>
      <c r="D217">
        <v>2005</v>
      </c>
      <c r="E217">
        <v>273546</v>
      </c>
      <c r="F217">
        <v>47</v>
      </c>
      <c r="G217">
        <v>203410</v>
      </c>
      <c r="H217">
        <v>70089</v>
      </c>
      <c r="J217">
        <f t="shared" si="8"/>
        <v>0</v>
      </c>
      <c r="K217">
        <f t="shared" si="9"/>
        <v>12.51922507682977</v>
      </c>
      <c r="M217">
        <v>2024</v>
      </c>
      <c r="N217">
        <v>75542</v>
      </c>
      <c r="O217">
        <v>0</v>
      </c>
      <c r="P217" s="7">
        <v>0.59593210106922745</v>
      </c>
      <c r="Q217" s="5"/>
      <c r="S217" s="7">
        <v>0.59593210106922745</v>
      </c>
      <c r="T217">
        <f t="shared" si="12"/>
        <v>11.232444071955149</v>
      </c>
      <c r="W217" t="s">
        <v>91</v>
      </c>
      <c r="X217">
        <v>0.93285947807795522</v>
      </c>
      <c r="Y217">
        <v>0.58275909929069036</v>
      </c>
      <c r="Z217">
        <v>1.6007634702116058</v>
      </c>
      <c r="AA217">
        <v>0.1377339941342049</v>
      </c>
      <c r="AB217">
        <v>-0.34978465136922388</v>
      </c>
      <c r="AC217">
        <v>2.2155036075251342</v>
      </c>
      <c r="AD217">
        <v>-0.34978465136922388</v>
      </c>
      <c r="AE217">
        <v>2.2155036075251342</v>
      </c>
    </row>
    <row r="218" spans="1:31" ht="15.75" thickBot="1" x14ac:dyDescent="0.3">
      <c r="A218">
        <v>352</v>
      </c>
      <c r="B218" t="s">
        <v>53</v>
      </c>
      <c r="C218" t="s">
        <v>1</v>
      </c>
      <c r="D218">
        <v>2006</v>
      </c>
      <c r="E218">
        <v>307985</v>
      </c>
      <c r="F218">
        <v>5</v>
      </c>
      <c r="G218">
        <v>224262</v>
      </c>
      <c r="H218">
        <v>83718</v>
      </c>
      <c r="J218">
        <f t="shared" si="8"/>
        <v>47</v>
      </c>
      <c r="K218">
        <f t="shared" si="9"/>
        <v>12.637806359471064</v>
      </c>
      <c r="M218">
        <v>2025</v>
      </c>
      <c r="O218">
        <v>567</v>
      </c>
      <c r="P218" s="7">
        <v>2.4282919043692339</v>
      </c>
      <c r="Q218" s="6">
        <f t="shared" si="10"/>
        <v>266704.94011489296</v>
      </c>
      <c r="R218">
        <f t="shared" si="11"/>
        <v>12.493898233114013</v>
      </c>
      <c r="S218" s="7">
        <v>2.4282919043692339</v>
      </c>
      <c r="T218">
        <f>X216+X217*R218+X218*S218</f>
        <v>12.46688196164453</v>
      </c>
      <c r="U218">
        <f>EXP(T218)</f>
        <v>259596.02758769947</v>
      </c>
      <c r="W218" s="3" t="s">
        <v>92</v>
      </c>
      <c r="X218" s="3">
        <v>4.1524803137192125E-2</v>
      </c>
      <c r="Y218" s="3">
        <v>0.13511123003114806</v>
      </c>
      <c r="Z218" s="3">
        <v>0.30733791060609206</v>
      </c>
      <c r="AA218" s="10">
        <v>0.76432657046570907</v>
      </c>
      <c r="AB218" s="3">
        <v>-0.25585300912309245</v>
      </c>
      <c r="AC218" s="3">
        <v>0.33890261539747674</v>
      </c>
      <c r="AD218" s="3">
        <v>-0.25585300912309245</v>
      </c>
      <c r="AE218" s="3">
        <v>0.33890261539747674</v>
      </c>
    </row>
    <row r="219" spans="1:31" ht="15.75" thickBot="1" x14ac:dyDescent="0.3">
      <c r="A219">
        <v>353</v>
      </c>
      <c r="B219" t="s">
        <v>53</v>
      </c>
      <c r="C219" t="s">
        <v>1</v>
      </c>
      <c r="D219">
        <v>2007</v>
      </c>
      <c r="E219">
        <v>59073</v>
      </c>
      <c r="F219">
        <v>153</v>
      </c>
      <c r="G219">
        <v>34522</v>
      </c>
      <c r="H219">
        <v>24066</v>
      </c>
      <c r="J219">
        <f t="shared" si="8"/>
        <v>5</v>
      </c>
      <c r="K219">
        <f t="shared" si="9"/>
        <v>10.98652924621328</v>
      </c>
      <c r="M219">
        <v>2026</v>
      </c>
      <c r="P219" s="7">
        <v>2.8442826277692275</v>
      </c>
      <c r="Q219" s="7"/>
      <c r="S219" s="7">
        <v>2.8442826277692275</v>
      </c>
      <c r="AA219" t="s">
        <v>93</v>
      </c>
    </row>
    <row r="220" spans="1:31" x14ac:dyDescent="0.25">
      <c r="A220">
        <v>354</v>
      </c>
      <c r="B220" t="s">
        <v>53</v>
      </c>
      <c r="C220" t="s">
        <v>1</v>
      </c>
      <c r="D220">
        <v>2008</v>
      </c>
      <c r="E220">
        <v>228384</v>
      </c>
      <c r="F220">
        <v>12</v>
      </c>
      <c r="G220">
        <v>213103</v>
      </c>
      <c r="H220">
        <v>14605</v>
      </c>
      <c r="J220">
        <f t="shared" si="8"/>
        <v>153</v>
      </c>
      <c r="K220">
        <f t="shared" si="9"/>
        <v>12.338783701770794</v>
      </c>
      <c r="P220" s="7">
        <v>4.1160447731392207</v>
      </c>
      <c r="Q220" s="7"/>
      <c r="S220" s="7">
        <v>4.1160447731392207</v>
      </c>
      <c r="U220" s="11">
        <f>EXP(T218)</f>
        <v>259596.02758769947</v>
      </c>
      <c r="V220" s="12"/>
      <c r="W220" s="12"/>
      <c r="X220" s="12"/>
      <c r="Y220" s="12"/>
      <c r="Z220" s="12"/>
      <c r="AA220" s="13"/>
    </row>
    <row r="221" spans="1:31" x14ac:dyDescent="0.25">
      <c r="A221">
        <v>355</v>
      </c>
      <c r="B221" t="s">
        <v>53</v>
      </c>
      <c r="C221" t="s">
        <v>1</v>
      </c>
      <c r="D221">
        <v>2009</v>
      </c>
      <c r="E221">
        <v>40724</v>
      </c>
      <c r="F221">
        <v>109</v>
      </c>
      <c r="G221">
        <v>6840</v>
      </c>
      <c r="H221">
        <v>33547</v>
      </c>
      <c r="J221">
        <f t="shared" si="8"/>
        <v>12</v>
      </c>
      <c r="K221">
        <f t="shared" si="9"/>
        <v>10.614572878227087</v>
      </c>
      <c r="U221" s="14" t="s">
        <v>94</v>
      </c>
      <c r="AA221" s="15"/>
    </row>
    <row r="222" spans="1:31" x14ac:dyDescent="0.25">
      <c r="A222">
        <v>356</v>
      </c>
      <c r="B222" t="s">
        <v>53</v>
      </c>
      <c r="C222" t="s">
        <v>1</v>
      </c>
      <c r="D222">
        <v>2010</v>
      </c>
      <c r="E222">
        <v>406365</v>
      </c>
      <c r="F222">
        <v>22</v>
      </c>
      <c r="G222">
        <v>401589</v>
      </c>
      <c r="H222">
        <v>4754</v>
      </c>
      <c r="J222">
        <f t="shared" si="8"/>
        <v>109</v>
      </c>
      <c r="K222">
        <f t="shared" si="9"/>
        <v>12.915007049490448</v>
      </c>
      <c r="U222" s="14" t="s">
        <v>95</v>
      </c>
      <c r="AA222" s="15"/>
    </row>
    <row r="223" spans="1:31" x14ac:dyDescent="0.25">
      <c r="A223">
        <v>357</v>
      </c>
      <c r="B223" t="s">
        <v>53</v>
      </c>
      <c r="C223" t="s">
        <v>1</v>
      </c>
      <c r="D223">
        <v>2011</v>
      </c>
      <c r="E223">
        <v>196347</v>
      </c>
      <c r="F223">
        <v>504</v>
      </c>
      <c r="G223">
        <v>108541</v>
      </c>
      <c r="H223">
        <v>87302</v>
      </c>
      <c r="J223">
        <f t="shared" si="8"/>
        <v>22</v>
      </c>
      <c r="K223">
        <f t="shared" si="9"/>
        <v>12.187638781050625</v>
      </c>
      <c r="U223" s="14" t="s">
        <v>96</v>
      </c>
      <c r="AA223" s="15"/>
    </row>
    <row r="224" spans="1:31" ht="15.75" thickBot="1" x14ac:dyDescent="0.3">
      <c r="A224">
        <v>358</v>
      </c>
      <c r="B224" t="s">
        <v>53</v>
      </c>
      <c r="C224" t="s">
        <v>1</v>
      </c>
      <c r="D224">
        <v>2012</v>
      </c>
      <c r="E224">
        <v>285866</v>
      </c>
      <c r="F224">
        <v>0</v>
      </c>
      <c r="G224">
        <v>265964</v>
      </c>
      <c r="H224">
        <v>19902</v>
      </c>
      <c r="J224">
        <f t="shared" si="8"/>
        <v>504</v>
      </c>
      <c r="K224">
        <f t="shared" si="9"/>
        <v>12.563278448538293</v>
      </c>
      <c r="U224" s="16" t="s">
        <v>97</v>
      </c>
      <c r="V224" s="3"/>
      <c r="W224" s="3"/>
      <c r="X224" s="3"/>
      <c r="Y224" s="3"/>
      <c r="Z224" s="3"/>
      <c r="AA224" s="17"/>
    </row>
    <row r="225" spans="1:11" x14ac:dyDescent="0.25">
      <c r="A225">
        <v>359</v>
      </c>
      <c r="B225" t="s">
        <v>53</v>
      </c>
      <c r="C225" t="s">
        <v>1</v>
      </c>
      <c r="D225">
        <v>2013</v>
      </c>
      <c r="E225">
        <v>181922</v>
      </c>
      <c r="F225">
        <v>16411</v>
      </c>
      <c r="G225">
        <v>151762</v>
      </c>
      <c r="H225">
        <v>13749</v>
      </c>
      <c r="J225">
        <f t="shared" si="8"/>
        <v>0</v>
      </c>
      <c r="K225">
        <f t="shared" si="9"/>
        <v>12.111333302767379</v>
      </c>
    </row>
    <row r="226" spans="1:11" x14ac:dyDescent="0.25">
      <c r="A226">
        <v>360</v>
      </c>
      <c r="B226" t="s">
        <v>53</v>
      </c>
      <c r="C226" t="s">
        <v>1</v>
      </c>
      <c r="D226">
        <v>2014</v>
      </c>
      <c r="E226">
        <v>1551968</v>
      </c>
      <c r="F226">
        <v>0</v>
      </c>
      <c r="G226">
        <v>1501102</v>
      </c>
      <c r="H226">
        <v>50866</v>
      </c>
      <c r="J226">
        <f t="shared" si="8"/>
        <v>16411</v>
      </c>
      <c r="K226">
        <f t="shared" si="9"/>
        <v>14.255034360956035</v>
      </c>
    </row>
    <row r="227" spans="1:11" x14ac:dyDescent="0.25">
      <c r="A227">
        <v>361</v>
      </c>
      <c r="B227" t="s">
        <v>53</v>
      </c>
      <c r="C227" t="s">
        <v>1</v>
      </c>
      <c r="D227">
        <v>2015</v>
      </c>
      <c r="E227">
        <v>171903</v>
      </c>
      <c r="F227">
        <v>67</v>
      </c>
      <c r="G227">
        <v>41761</v>
      </c>
      <c r="H227">
        <v>129587</v>
      </c>
      <c r="J227">
        <f t="shared" si="8"/>
        <v>0</v>
      </c>
      <c r="K227">
        <f t="shared" si="9"/>
        <v>12.054685643225637</v>
      </c>
    </row>
    <row r="228" spans="1:11" x14ac:dyDescent="0.25">
      <c r="A228">
        <v>362</v>
      </c>
      <c r="B228" t="s">
        <v>53</v>
      </c>
      <c r="C228" t="s">
        <v>1</v>
      </c>
      <c r="D228">
        <v>2016</v>
      </c>
      <c r="E228">
        <v>54728</v>
      </c>
      <c r="F228">
        <v>235</v>
      </c>
      <c r="G228">
        <v>42553</v>
      </c>
      <c r="H228">
        <v>11940</v>
      </c>
      <c r="J228">
        <f t="shared" si="8"/>
        <v>67</v>
      </c>
      <c r="K228">
        <f t="shared" si="9"/>
        <v>10.910130740440835</v>
      </c>
    </row>
    <row r="229" spans="1:11" x14ac:dyDescent="0.25">
      <c r="A229">
        <v>363</v>
      </c>
      <c r="B229" t="s">
        <v>53</v>
      </c>
      <c r="C229" t="s">
        <v>1</v>
      </c>
      <c r="D229">
        <v>2017</v>
      </c>
      <c r="E229">
        <v>115634</v>
      </c>
      <c r="F229">
        <v>462</v>
      </c>
      <c r="G229">
        <v>108178</v>
      </c>
      <c r="H229">
        <v>6994</v>
      </c>
      <c r="J229">
        <f t="shared" ref="J229:J236" si="13">F228</f>
        <v>235</v>
      </c>
      <c r="K229">
        <f t="shared" ref="K229:K236" si="14">LN(E229)</f>
        <v>11.658185309623358</v>
      </c>
    </row>
    <row r="230" spans="1:11" x14ac:dyDescent="0.25">
      <c r="A230">
        <v>364</v>
      </c>
      <c r="B230" t="s">
        <v>53</v>
      </c>
      <c r="C230" t="s">
        <v>1</v>
      </c>
      <c r="D230">
        <v>2018</v>
      </c>
      <c r="E230">
        <v>398667</v>
      </c>
      <c r="F230">
        <v>66</v>
      </c>
      <c r="G230">
        <v>360512</v>
      </c>
      <c r="H230">
        <v>38089</v>
      </c>
      <c r="J230">
        <f t="shared" si="13"/>
        <v>462</v>
      </c>
      <c r="K230">
        <f t="shared" si="14"/>
        <v>12.895881760944656</v>
      </c>
    </row>
    <row r="231" spans="1:11" x14ac:dyDescent="0.25">
      <c r="A231">
        <v>365</v>
      </c>
      <c r="B231" t="s">
        <v>53</v>
      </c>
      <c r="C231" t="s">
        <v>1</v>
      </c>
      <c r="D231">
        <v>2019</v>
      </c>
      <c r="E231">
        <v>85526</v>
      </c>
      <c r="F231">
        <v>63</v>
      </c>
      <c r="G231">
        <v>53671</v>
      </c>
      <c r="H231">
        <v>31792</v>
      </c>
      <c r="J231">
        <f t="shared" si="13"/>
        <v>66</v>
      </c>
      <c r="K231">
        <f t="shared" si="14"/>
        <v>11.356575702265026</v>
      </c>
    </row>
    <row r="232" spans="1:11" x14ac:dyDescent="0.25">
      <c r="A232">
        <v>366</v>
      </c>
      <c r="B232" t="s">
        <v>53</v>
      </c>
      <c r="C232" t="s">
        <v>1</v>
      </c>
      <c r="D232">
        <v>2020</v>
      </c>
      <c r="E232">
        <v>57784</v>
      </c>
      <c r="F232">
        <v>47</v>
      </c>
      <c r="G232">
        <v>37097</v>
      </c>
      <c r="H232">
        <v>20640</v>
      </c>
      <c r="J232">
        <f t="shared" si="13"/>
        <v>63</v>
      </c>
      <c r="K232">
        <f t="shared" si="14"/>
        <v>10.964467199730683</v>
      </c>
    </row>
    <row r="233" spans="1:11" x14ac:dyDescent="0.25">
      <c r="A233">
        <v>367</v>
      </c>
      <c r="B233" t="s">
        <v>53</v>
      </c>
      <c r="C233" t="s">
        <v>1</v>
      </c>
      <c r="D233">
        <v>2021</v>
      </c>
      <c r="E233">
        <v>137357</v>
      </c>
      <c r="F233">
        <v>9</v>
      </c>
      <c r="G233">
        <v>132511</v>
      </c>
      <c r="H233">
        <v>4837</v>
      </c>
      <c r="J233">
        <f t="shared" si="13"/>
        <v>47</v>
      </c>
      <c r="K233">
        <f t="shared" si="14"/>
        <v>11.830338654913515</v>
      </c>
    </row>
    <row r="234" spans="1:11" x14ac:dyDescent="0.25">
      <c r="A234">
        <v>368</v>
      </c>
      <c r="B234" t="s">
        <v>53</v>
      </c>
      <c r="C234" t="s">
        <v>1</v>
      </c>
      <c r="D234">
        <v>2022</v>
      </c>
      <c r="E234">
        <v>227922</v>
      </c>
      <c r="F234">
        <v>0</v>
      </c>
      <c r="G234">
        <v>200344</v>
      </c>
      <c r="H234">
        <v>27578</v>
      </c>
      <c r="J234">
        <f t="shared" si="13"/>
        <v>9</v>
      </c>
      <c r="K234">
        <f t="shared" si="14"/>
        <v>12.336758744142065</v>
      </c>
    </row>
    <row r="235" spans="1:11" x14ac:dyDescent="0.25">
      <c r="A235">
        <v>369</v>
      </c>
      <c r="B235" t="s">
        <v>53</v>
      </c>
      <c r="C235" t="s">
        <v>1</v>
      </c>
      <c r="D235">
        <v>2023</v>
      </c>
      <c r="E235">
        <v>84000</v>
      </c>
      <c r="F235">
        <v>0</v>
      </c>
      <c r="G235">
        <v>47000</v>
      </c>
      <c r="H235">
        <v>37000</v>
      </c>
      <c r="J235">
        <f t="shared" si="13"/>
        <v>0</v>
      </c>
      <c r="K235">
        <f t="shared" si="14"/>
        <v>11.33857207782545</v>
      </c>
    </row>
    <row r="236" spans="1:11" x14ac:dyDescent="0.25">
      <c r="A236">
        <v>370</v>
      </c>
      <c r="B236" t="s">
        <v>53</v>
      </c>
      <c r="C236" t="s">
        <v>1</v>
      </c>
      <c r="D236">
        <v>2024</v>
      </c>
      <c r="E236">
        <v>75542</v>
      </c>
      <c r="F236">
        <v>567</v>
      </c>
      <c r="G236">
        <v>70248</v>
      </c>
      <c r="H236">
        <v>4538</v>
      </c>
      <c r="J236">
        <f t="shared" si="13"/>
        <v>0</v>
      </c>
      <c r="K236">
        <f t="shared" si="14"/>
        <v>11.232444071955149</v>
      </c>
    </row>
    <row r="238" spans="1:11" x14ac:dyDescent="0.25">
      <c r="E238" t="s">
        <v>98</v>
      </c>
      <c r="F238" s="6">
        <f>AVERAGE(F164:F236)</f>
        <v>626.36986301369859</v>
      </c>
      <c r="G238" s="6">
        <f t="shared" ref="G238:H238" si="15">AVERAGE(G164:G236)</f>
        <v>360841.67123287672</v>
      </c>
      <c r="H238" s="6">
        <f t="shared" si="15"/>
        <v>57309.28767123288</v>
      </c>
    </row>
    <row r="239" spans="1:11" x14ac:dyDescent="0.25">
      <c r="E239" t="s">
        <v>99</v>
      </c>
      <c r="F239" s="18">
        <f>F238/SUM($F$238:$H$238)</f>
        <v>1.4957110139121568E-3</v>
      </c>
      <c r="G239" s="18">
        <f t="shared" ref="G239:H239" si="16">G238/SUM($F$238:$H$238)</f>
        <v>0.86165521972068393</v>
      </c>
      <c r="H239" s="18">
        <f t="shared" si="16"/>
        <v>0.13684906926540391</v>
      </c>
    </row>
    <row r="241" spans="2:19" x14ac:dyDescent="0.25">
      <c r="D241" t="s">
        <v>100</v>
      </c>
      <c r="E241" t="s">
        <v>98</v>
      </c>
      <c r="F241" s="6">
        <f>AVERAGE(F222:F236)</f>
        <v>1230.2</v>
      </c>
      <c r="G241" s="6">
        <f>AVERAGE(G222:G236)</f>
        <v>234855.53333333333</v>
      </c>
      <c r="H241" s="6">
        <f>AVERAGE(H222:H236)</f>
        <v>32637.866666666665</v>
      </c>
      <c r="N241" t="s">
        <v>101</v>
      </c>
    </row>
    <row r="242" spans="2:19" x14ac:dyDescent="0.25">
      <c r="E242" t="s">
        <v>99</v>
      </c>
      <c r="F242" s="18">
        <f>F241/SUM($F$241:$H$241)</f>
        <v>4.5779380746611021E-3</v>
      </c>
      <c r="G242" s="18">
        <f>G241/SUM($F$241:$H$241)</f>
        <v>0.87396690626849793</v>
      </c>
      <c r="H242" s="18">
        <f>H241/SUM($F$241:$H$241)</f>
        <v>0.12145515565684097</v>
      </c>
      <c r="N242" s="19" t="s">
        <v>102</v>
      </c>
      <c r="O242">
        <v>75542</v>
      </c>
      <c r="P242" t="s">
        <v>103</v>
      </c>
    </row>
    <row r="243" spans="2:19" x14ac:dyDescent="0.25">
      <c r="N243">
        <v>7.8925999999999998</v>
      </c>
      <c r="O243">
        <v>0.68189999999999995</v>
      </c>
      <c r="P243" t="s">
        <v>104</v>
      </c>
      <c r="R243" s="6">
        <f>N243*O242^O243</f>
        <v>16736.198447089544</v>
      </c>
      <c r="S243" t="s">
        <v>105</v>
      </c>
    </row>
    <row r="245" spans="2:19" x14ac:dyDescent="0.25">
      <c r="B245" t="s">
        <v>106</v>
      </c>
    </row>
    <row r="261" spans="2:2" x14ac:dyDescent="0.25">
      <c r="B261" t="s">
        <v>107</v>
      </c>
    </row>
    <row r="262" spans="2:2" x14ac:dyDescent="0.25">
      <c r="B262" t="s">
        <v>108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MacCall</dc:creator>
  <cp:lastModifiedBy>Alec MacCall</cp:lastModifiedBy>
  <dcterms:created xsi:type="dcterms:W3CDTF">2025-05-21T22:39:42Z</dcterms:created>
  <dcterms:modified xsi:type="dcterms:W3CDTF">2025-05-21T22:47:02Z</dcterms:modified>
</cp:coreProperties>
</file>