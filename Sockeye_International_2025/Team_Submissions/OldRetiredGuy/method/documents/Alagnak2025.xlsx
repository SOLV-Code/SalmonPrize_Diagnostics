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c&amp;BarbsFiles\Alec\AlecScience\SalmonPrize\2025Prize\ORG2025spreadsheets\"/>
    </mc:Choice>
  </mc:AlternateContent>
  <xr:revisionPtr revIDLastSave="0" documentId="8_{292F6193-328C-4E90-B461-B4143BE6F6D3}" xr6:coauthVersionLast="47" xr6:coauthVersionMax="47" xr10:uidLastSave="{00000000-0000-0000-0000-000000000000}"/>
  <bookViews>
    <workbookView xWindow="-120" yWindow="-120" windowWidth="29040" windowHeight="15720" activeTab="1" xr2:uid="{F2506C93-5B32-4D82-B9C1-43481305A108}"/>
  </bookViews>
  <sheets>
    <sheet name="Cors" sheetId="5" r:id="rId1"/>
    <sheet name="broodtable" sheetId="6" r:id="rId2"/>
    <sheet name="trends" sheetId="9" r:id="rId3"/>
    <sheet name="trendPred" sheetId="8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1" i="9" l="1"/>
  <c r="U120" i="9"/>
  <c r="S103" i="9"/>
  <c r="R103" i="9" s="1"/>
  <c r="M96" i="9"/>
  <c r="M95" i="9"/>
  <c r="P92" i="9"/>
  <c r="R92" i="9" s="1"/>
  <c r="N91" i="9"/>
  <c r="O93" i="9" s="1"/>
  <c r="R93" i="9" s="1"/>
  <c r="AL74" i="9"/>
  <c r="AK74" i="9"/>
  <c r="AL73" i="9"/>
  <c r="AK73" i="9"/>
  <c r="AL72" i="9"/>
  <c r="AK72" i="9"/>
  <c r="AL71" i="9"/>
  <c r="AK71" i="9"/>
  <c r="AL70" i="9"/>
  <c r="AK70" i="9"/>
  <c r="AL69" i="9"/>
  <c r="AK69" i="9"/>
  <c r="AL68" i="9"/>
  <c r="AK68" i="9"/>
  <c r="D68" i="9"/>
  <c r="AL67" i="9"/>
  <c r="AK67" i="9"/>
  <c r="D67" i="9"/>
  <c r="E67" i="9" s="1"/>
  <c r="AL66" i="9"/>
  <c r="AK66" i="9"/>
  <c r="D66" i="9"/>
  <c r="E66" i="9" s="1"/>
  <c r="AL65" i="9"/>
  <c r="AK65" i="9"/>
  <c r="D65" i="9"/>
  <c r="E65" i="9" s="1"/>
  <c r="AL64" i="9"/>
  <c r="AK64" i="9"/>
  <c r="D64" i="9"/>
  <c r="E64" i="9" s="1"/>
  <c r="AL63" i="9"/>
  <c r="AK63" i="9"/>
  <c r="D63" i="9"/>
  <c r="E63" i="9" s="1"/>
  <c r="AL62" i="9"/>
  <c r="AK62" i="9"/>
  <c r="D62" i="9"/>
  <c r="E62" i="9" s="1"/>
  <c r="AL61" i="9"/>
  <c r="AK61" i="9"/>
  <c r="D61" i="9"/>
  <c r="E61" i="9" s="1"/>
  <c r="AL60" i="9"/>
  <c r="AK60" i="9"/>
  <c r="D60" i="9"/>
  <c r="E60" i="9" s="1"/>
  <c r="AL59" i="9"/>
  <c r="AK59" i="9"/>
  <c r="D59" i="9"/>
  <c r="E59" i="9" s="1"/>
  <c r="AL58" i="9"/>
  <c r="AK58" i="9"/>
  <c r="D58" i="9"/>
  <c r="E58" i="9" s="1"/>
  <c r="AL57" i="9"/>
  <c r="AK57" i="9"/>
  <c r="D57" i="9"/>
  <c r="E57" i="9" s="1"/>
  <c r="AL56" i="9"/>
  <c r="AK56" i="9"/>
  <c r="D56" i="9"/>
  <c r="E56" i="9" s="1"/>
  <c r="AL55" i="9"/>
  <c r="AK55" i="9"/>
  <c r="D55" i="9"/>
  <c r="E55" i="9" s="1"/>
  <c r="AL54" i="9"/>
  <c r="AK54" i="9"/>
  <c r="D54" i="9"/>
  <c r="E54" i="9" s="1"/>
  <c r="AQ53" i="9"/>
  <c r="AL53" i="9"/>
  <c r="AK53" i="9"/>
  <c r="E53" i="9"/>
  <c r="D53" i="9"/>
  <c r="AL52" i="9"/>
  <c r="AK52" i="9"/>
  <c r="D52" i="9"/>
  <c r="E52" i="9" s="1"/>
  <c r="AL51" i="9"/>
  <c r="AK51" i="9"/>
  <c r="D51" i="9"/>
  <c r="E51" i="9" s="1"/>
  <c r="AL50" i="9"/>
  <c r="AK50" i="9"/>
  <c r="D50" i="9"/>
  <c r="E50" i="9" s="1"/>
  <c r="AL49" i="9"/>
  <c r="AK49" i="9"/>
  <c r="D49" i="9"/>
  <c r="E49" i="9" s="1"/>
  <c r="AL48" i="9"/>
  <c r="AK48" i="9"/>
  <c r="D48" i="9"/>
  <c r="E48" i="9" s="1"/>
  <c r="AL47" i="9"/>
  <c r="AK47" i="9"/>
  <c r="D47" i="9"/>
  <c r="E47" i="9" s="1"/>
  <c r="AL46" i="9"/>
  <c r="AK46" i="9"/>
  <c r="E46" i="9"/>
  <c r="D46" i="9"/>
  <c r="AL45" i="9"/>
  <c r="AK45" i="9"/>
  <c r="D45" i="9"/>
  <c r="E45" i="9" s="1"/>
  <c r="AL44" i="9"/>
  <c r="AK44" i="9"/>
  <c r="D44" i="9"/>
  <c r="E44" i="9" s="1"/>
  <c r="AL43" i="9"/>
  <c r="AK43" i="9"/>
  <c r="D43" i="9"/>
  <c r="E43" i="9" s="1"/>
  <c r="AL42" i="9"/>
  <c r="AK42" i="9"/>
  <c r="D42" i="9"/>
  <c r="E42" i="9" s="1"/>
  <c r="AL41" i="9"/>
  <c r="AK41" i="9"/>
  <c r="D41" i="9"/>
  <c r="E41" i="9" s="1"/>
  <c r="AL40" i="9"/>
  <c r="AK40" i="9"/>
  <c r="D40" i="9"/>
  <c r="E40" i="9" s="1"/>
  <c r="AL39" i="9"/>
  <c r="AK39" i="9"/>
  <c r="E39" i="9"/>
  <c r="D39" i="9"/>
  <c r="AL38" i="9"/>
  <c r="AK38" i="9"/>
  <c r="D38" i="9"/>
  <c r="E38" i="9" s="1"/>
  <c r="AL37" i="9"/>
  <c r="AK37" i="9"/>
  <c r="D37" i="9"/>
  <c r="E37" i="9" s="1"/>
  <c r="AL36" i="9"/>
  <c r="AK36" i="9"/>
  <c r="D36" i="9"/>
  <c r="E36" i="9" s="1"/>
  <c r="AL35" i="9"/>
  <c r="AK35" i="9"/>
  <c r="D35" i="9"/>
  <c r="E35" i="9" s="1"/>
  <c r="BC34" i="9"/>
  <c r="BD34" i="9" s="1"/>
  <c r="AL34" i="9"/>
  <c r="AK34" i="9"/>
  <c r="D34" i="9"/>
  <c r="E34" i="9" s="1"/>
  <c r="AL33" i="9"/>
  <c r="AK33" i="9"/>
  <c r="D33" i="9"/>
  <c r="E33" i="9" s="1"/>
  <c r="AL32" i="9"/>
  <c r="AK32" i="9"/>
  <c r="D32" i="9"/>
  <c r="E32" i="9" s="1"/>
  <c r="AL31" i="9"/>
  <c r="AK31" i="9"/>
  <c r="D31" i="9"/>
  <c r="E31" i="9" s="1"/>
  <c r="AL30" i="9"/>
  <c r="AK30" i="9"/>
  <c r="D30" i="9"/>
  <c r="E30" i="9" s="1"/>
  <c r="AL29" i="9"/>
  <c r="AK29" i="9"/>
  <c r="E29" i="9"/>
  <c r="D29" i="9"/>
  <c r="AL28" i="9"/>
  <c r="AK28" i="9"/>
  <c r="D28" i="9"/>
  <c r="E28" i="9" s="1"/>
  <c r="AL27" i="9"/>
  <c r="AK27" i="9"/>
  <c r="D27" i="9"/>
  <c r="E27" i="9" s="1"/>
  <c r="AL26" i="9"/>
  <c r="AK26" i="9"/>
  <c r="E26" i="9"/>
  <c r="D26" i="9"/>
  <c r="AL25" i="9"/>
  <c r="AK25" i="9"/>
  <c r="D25" i="9"/>
  <c r="E25" i="9" s="1"/>
  <c r="AL24" i="9"/>
  <c r="AK24" i="9"/>
  <c r="D24" i="9"/>
  <c r="E24" i="9" s="1"/>
  <c r="AL23" i="9"/>
  <c r="AK23" i="9"/>
  <c r="D23" i="9"/>
  <c r="E23" i="9" s="1"/>
  <c r="AL22" i="9"/>
  <c r="AK22" i="9"/>
  <c r="E22" i="9"/>
  <c r="D22" i="9"/>
  <c r="AL21" i="9"/>
  <c r="AK21" i="9"/>
  <c r="D21" i="9"/>
  <c r="E21" i="9" s="1"/>
  <c r="AL20" i="9"/>
  <c r="AK20" i="9"/>
  <c r="D20" i="9"/>
  <c r="E20" i="9" s="1"/>
  <c r="AL19" i="9"/>
  <c r="AK19" i="9"/>
  <c r="E19" i="9"/>
  <c r="D19" i="9"/>
  <c r="AL18" i="9"/>
  <c r="AK18" i="9"/>
  <c r="D18" i="9"/>
  <c r="E18" i="9" s="1"/>
  <c r="AL17" i="9"/>
  <c r="AK17" i="9"/>
  <c r="D17" i="9"/>
  <c r="E17" i="9" s="1"/>
  <c r="D16" i="9"/>
  <c r="E16" i="9" s="1"/>
  <c r="D15" i="9"/>
  <c r="E15" i="9" s="1"/>
  <c r="D14" i="9"/>
  <c r="E14" i="9" s="1"/>
  <c r="E13" i="9"/>
  <c r="D13" i="9"/>
  <c r="D12" i="9"/>
  <c r="E12" i="9" s="1"/>
  <c r="D11" i="9"/>
  <c r="E11" i="9" s="1"/>
  <c r="AF10" i="9"/>
  <c r="AE10" i="9"/>
  <c r="AD10" i="9"/>
  <c r="AC10" i="9"/>
  <c r="AB10" i="9"/>
  <c r="AA10" i="9"/>
  <c r="Z10" i="9"/>
  <c r="D10" i="9"/>
  <c r="E10" i="9" s="1"/>
  <c r="D9" i="9"/>
  <c r="E9" i="9" s="1"/>
  <c r="D8" i="9"/>
  <c r="E8" i="9" s="1"/>
  <c r="D7" i="9"/>
  <c r="E7" i="9" s="1"/>
  <c r="D6" i="9"/>
  <c r="U121" i="8"/>
  <c r="U120" i="8"/>
  <c r="S103" i="8"/>
  <c r="R103" i="8" s="1"/>
  <c r="M96" i="8"/>
  <c r="M95" i="8"/>
  <c r="P92" i="8"/>
  <c r="R92" i="8" s="1"/>
  <c r="N91" i="8"/>
  <c r="O93" i="8" s="1"/>
  <c r="R93" i="8" s="1"/>
  <c r="AL74" i="8"/>
  <c r="AK74" i="8"/>
  <c r="AL73" i="8"/>
  <c r="AK73" i="8"/>
  <c r="AL72" i="8"/>
  <c r="AK72" i="8"/>
  <c r="AL71" i="8"/>
  <c r="AK71" i="8"/>
  <c r="AL70" i="8"/>
  <c r="AK70" i="8"/>
  <c r="AL69" i="8"/>
  <c r="AK69" i="8"/>
  <c r="AL68" i="8"/>
  <c r="AK68" i="8"/>
  <c r="D68" i="8"/>
  <c r="AL67" i="8"/>
  <c r="AK67" i="8"/>
  <c r="J67" i="8"/>
  <c r="L67" i="8" s="1"/>
  <c r="F67" i="8"/>
  <c r="E67" i="8"/>
  <c r="D67" i="8"/>
  <c r="AL66" i="8"/>
  <c r="AK66" i="8"/>
  <c r="D66" i="8"/>
  <c r="E66" i="8" s="1"/>
  <c r="AL65" i="8"/>
  <c r="AK65" i="8"/>
  <c r="F65" i="8"/>
  <c r="E65" i="8"/>
  <c r="D65" i="8"/>
  <c r="G67" i="8" s="1"/>
  <c r="AL64" i="8"/>
  <c r="AK64" i="8"/>
  <c r="J64" i="8"/>
  <c r="L64" i="8" s="1"/>
  <c r="D64" i="8"/>
  <c r="H67" i="8" s="1"/>
  <c r="AL63" i="8"/>
  <c r="AK63" i="8"/>
  <c r="F63" i="8"/>
  <c r="D63" i="8"/>
  <c r="AL62" i="8"/>
  <c r="AK62" i="8"/>
  <c r="J62" i="8"/>
  <c r="L62" i="8" s="1"/>
  <c r="H62" i="8"/>
  <c r="D62" i="8"/>
  <c r="E62" i="8" s="1"/>
  <c r="AL61" i="8"/>
  <c r="AK61" i="8"/>
  <c r="D61" i="8"/>
  <c r="F62" i="8" s="1"/>
  <c r="AL60" i="8"/>
  <c r="AK60" i="8"/>
  <c r="I60" i="8"/>
  <c r="H60" i="8"/>
  <c r="F60" i="8"/>
  <c r="E60" i="8"/>
  <c r="D60" i="8"/>
  <c r="AL59" i="8"/>
  <c r="AK59" i="8"/>
  <c r="J59" i="8"/>
  <c r="L59" i="8" s="1"/>
  <c r="D59" i="8"/>
  <c r="E59" i="8" s="1"/>
  <c r="AL58" i="8"/>
  <c r="AK58" i="8"/>
  <c r="I58" i="8"/>
  <c r="F58" i="8"/>
  <c r="D58" i="8"/>
  <c r="I62" i="8" s="1"/>
  <c r="AL57" i="8"/>
  <c r="AK57" i="8"/>
  <c r="J57" i="8"/>
  <c r="L57" i="8" s="1"/>
  <c r="I57" i="8"/>
  <c r="H57" i="8"/>
  <c r="D57" i="8"/>
  <c r="E57" i="8" s="1"/>
  <c r="AL56" i="8"/>
  <c r="AK56" i="8"/>
  <c r="I56" i="8"/>
  <c r="D56" i="8"/>
  <c r="F57" i="8" s="1"/>
  <c r="AL55" i="8"/>
  <c r="AK55" i="8"/>
  <c r="I55" i="8"/>
  <c r="H55" i="8"/>
  <c r="G55" i="8"/>
  <c r="F55" i="8"/>
  <c r="D55" i="8"/>
  <c r="AL54" i="8"/>
  <c r="AK54" i="8"/>
  <c r="D54" i="8"/>
  <c r="E54" i="8" s="1"/>
  <c r="AQ53" i="8"/>
  <c r="AL53" i="8"/>
  <c r="AK53" i="8"/>
  <c r="J53" i="8"/>
  <c r="L53" i="8" s="1"/>
  <c r="I53" i="8"/>
  <c r="F53" i="8"/>
  <c r="D53" i="8"/>
  <c r="J58" i="8" s="1"/>
  <c r="L58" i="8" s="1"/>
  <c r="AL52" i="8"/>
  <c r="AK52" i="8"/>
  <c r="J52" i="8"/>
  <c r="L52" i="8" s="1"/>
  <c r="I52" i="8"/>
  <c r="H52" i="8"/>
  <c r="D52" i="8"/>
  <c r="E52" i="8" s="1"/>
  <c r="AL51" i="8"/>
  <c r="AK51" i="8"/>
  <c r="I51" i="8"/>
  <c r="D51" i="8"/>
  <c r="F52" i="8" s="1"/>
  <c r="AL50" i="8"/>
  <c r="AK50" i="8"/>
  <c r="I50" i="8"/>
  <c r="H50" i="8"/>
  <c r="G50" i="8"/>
  <c r="F50" i="8"/>
  <c r="D50" i="8"/>
  <c r="AL49" i="8"/>
  <c r="AK49" i="8"/>
  <c r="L49" i="8"/>
  <c r="J49" i="8"/>
  <c r="D49" i="8"/>
  <c r="J54" i="8" s="1"/>
  <c r="L54" i="8" s="1"/>
  <c r="AL48" i="8"/>
  <c r="AK48" i="8"/>
  <c r="J48" i="8"/>
  <c r="L48" i="8" s="1"/>
  <c r="I48" i="8"/>
  <c r="F48" i="8"/>
  <c r="D48" i="8"/>
  <c r="F49" i="8" s="1"/>
  <c r="AL47" i="8"/>
  <c r="AK47" i="8"/>
  <c r="L47" i="8"/>
  <c r="J47" i="8"/>
  <c r="I47" i="8"/>
  <c r="H47" i="8"/>
  <c r="F47" i="8"/>
  <c r="D47" i="8"/>
  <c r="E47" i="8" s="1"/>
  <c r="AL46" i="8"/>
  <c r="AK46" i="8"/>
  <c r="I46" i="8"/>
  <c r="D46" i="8"/>
  <c r="H49" i="8" s="1"/>
  <c r="AL45" i="8"/>
  <c r="AK45" i="8"/>
  <c r="I45" i="8"/>
  <c r="H45" i="8"/>
  <c r="G45" i="8"/>
  <c r="F45" i="8"/>
  <c r="E45" i="8"/>
  <c r="D45" i="8"/>
  <c r="AL44" i="8"/>
  <c r="AK44" i="8"/>
  <c r="G44" i="8"/>
  <c r="D44" i="8"/>
  <c r="E44" i="8" s="1"/>
  <c r="AL43" i="8"/>
  <c r="AK43" i="8"/>
  <c r="J43" i="8"/>
  <c r="L43" i="8" s="1"/>
  <c r="I43" i="8"/>
  <c r="G43" i="8"/>
  <c r="D43" i="8"/>
  <c r="F44" i="8" s="1"/>
  <c r="AL42" i="8"/>
  <c r="AK42" i="8"/>
  <c r="J42" i="8"/>
  <c r="L42" i="8" s="1"/>
  <c r="I42" i="8"/>
  <c r="H42" i="8"/>
  <c r="G42" i="8"/>
  <c r="K42" i="8" s="1"/>
  <c r="F42" i="8"/>
  <c r="E42" i="8"/>
  <c r="D42" i="8"/>
  <c r="F43" i="8" s="1"/>
  <c r="AL41" i="8"/>
  <c r="AK41" i="8"/>
  <c r="H41" i="8"/>
  <c r="G41" i="8"/>
  <c r="D41" i="8"/>
  <c r="H44" i="8" s="1"/>
  <c r="AL40" i="8"/>
  <c r="AK40" i="8"/>
  <c r="I40" i="8"/>
  <c r="G40" i="8"/>
  <c r="F40" i="8"/>
  <c r="D40" i="8"/>
  <c r="E40" i="8" s="1"/>
  <c r="AL39" i="8"/>
  <c r="AK39" i="8"/>
  <c r="L39" i="8"/>
  <c r="J39" i="8"/>
  <c r="F39" i="8"/>
  <c r="D39" i="8"/>
  <c r="J44" i="8" s="1"/>
  <c r="L44" i="8" s="1"/>
  <c r="AL38" i="8"/>
  <c r="AK38" i="8"/>
  <c r="I38" i="8"/>
  <c r="G38" i="8"/>
  <c r="D38" i="8"/>
  <c r="E38" i="8" s="1"/>
  <c r="AL37" i="8"/>
  <c r="AK37" i="8"/>
  <c r="J37" i="8"/>
  <c r="L37" i="8" s="1"/>
  <c r="I37" i="8"/>
  <c r="H37" i="8"/>
  <c r="G37" i="8"/>
  <c r="K37" i="8" s="1"/>
  <c r="F37" i="8"/>
  <c r="D37" i="8"/>
  <c r="E37" i="8" s="1"/>
  <c r="AL36" i="8"/>
  <c r="AK36" i="8"/>
  <c r="I36" i="8"/>
  <c r="G36" i="8"/>
  <c r="D36" i="8"/>
  <c r="H39" i="8" s="1"/>
  <c r="AL35" i="8"/>
  <c r="AK35" i="8"/>
  <c r="H35" i="8"/>
  <c r="G35" i="8"/>
  <c r="F35" i="8"/>
  <c r="D35" i="8"/>
  <c r="BC34" i="8"/>
  <c r="BD34" i="8" s="1"/>
  <c r="AL34" i="8"/>
  <c r="AK34" i="8"/>
  <c r="L34" i="8"/>
  <c r="J34" i="8"/>
  <c r="G34" i="8"/>
  <c r="D34" i="8"/>
  <c r="E34" i="8" s="1"/>
  <c r="AL33" i="8"/>
  <c r="AK33" i="8"/>
  <c r="I33" i="8"/>
  <c r="G33" i="8"/>
  <c r="D33" i="8"/>
  <c r="F34" i="8" s="1"/>
  <c r="AL32" i="8"/>
  <c r="AK32" i="8"/>
  <c r="I32" i="8"/>
  <c r="H32" i="8"/>
  <c r="F32" i="8"/>
  <c r="E32" i="8"/>
  <c r="D32" i="8"/>
  <c r="F33" i="8" s="1"/>
  <c r="AL31" i="8"/>
  <c r="AK31" i="8"/>
  <c r="G31" i="8"/>
  <c r="D31" i="8"/>
  <c r="H34" i="8" s="1"/>
  <c r="AL30" i="8"/>
  <c r="AK30" i="8"/>
  <c r="J30" i="8"/>
  <c r="L30" i="8" s="1"/>
  <c r="I30" i="8"/>
  <c r="H30" i="8"/>
  <c r="G30" i="8"/>
  <c r="F30" i="8"/>
  <c r="D30" i="8"/>
  <c r="G32" i="8" s="1"/>
  <c r="AL29" i="8"/>
  <c r="AK29" i="8"/>
  <c r="H29" i="8"/>
  <c r="F29" i="8"/>
  <c r="E29" i="8"/>
  <c r="D29" i="8"/>
  <c r="AL28" i="8"/>
  <c r="AK28" i="8"/>
  <c r="I28" i="8"/>
  <c r="H28" i="8"/>
  <c r="D28" i="8"/>
  <c r="AL27" i="8"/>
  <c r="AK27" i="8"/>
  <c r="J27" i="8"/>
  <c r="F27" i="8"/>
  <c r="D27" i="8"/>
  <c r="AL26" i="8"/>
  <c r="AK26" i="8"/>
  <c r="L26" i="8"/>
  <c r="Q26" i="8" s="1"/>
  <c r="I26" i="8"/>
  <c r="D26" i="8"/>
  <c r="G28" i="8" s="1"/>
  <c r="AL25" i="8"/>
  <c r="AK25" i="8"/>
  <c r="I25" i="8"/>
  <c r="H25" i="8"/>
  <c r="F25" i="8"/>
  <c r="D25" i="8"/>
  <c r="AL24" i="8"/>
  <c r="AK24" i="8"/>
  <c r="G24" i="8"/>
  <c r="D24" i="8"/>
  <c r="G26" i="8" s="1"/>
  <c r="AL23" i="8"/>
  <c r="AK23" i="8"/>
  <c r="J23" i="8"/>
  <c r="I23" i="8"/>
  <c r="H23" i="8"/>
  <c r="G23" i="8"/>
  <c r="F23" i="8"/>
  <c r="D23" i="8"/>
  <c r="G25" i="8" s="1"/>
  <c r="AL22" i="8"/>
  <c r="AK22" i="8"/>
  <c r="H22" i="8"/>
  <c r="F22" i="8"/>
  <c r="E22" i="8"/>
  <c r="D22" i="8"/>
  <c r="AL21" i="8"/>
  <c r="AK21" i="8"/>
  <c r="I21" i="8"/>
  <c r="H21" i="8"/>
  <c r="D21" i="8"/>
  <c r="J26" i="8" s="1"/>
  <c r="AL20" i="8"/>
  <c r="AK20" i="8"/>
  <c r="J20" i="8"/>
  <c r="F20" i="8"/>
  <c r="D20" i="8"/>
  <c r="AL19" i="8"/>
  <c r="AK19" i="8"/>
  <c r="D19" i="8"/>
  <c r="G21" i="8" s="1"/>
  <c r="AL18" i="8"/>
  <c r="AK18" i="8"/>
  <c r="J18" i="8"/>
  <c r="H18" i="8"/>
  <c r="F18" i="8"/>
  <c r="D18" i="8"/>
  <c r="AL17" i="8"/>
  <c r="AK17" i="8"/>
  <c r="G17" i="8"/>
  <c r="D17" i="8"/>
  <c r="G19" i="8" s="1"/>
  <c r="J16" i="8"/>
  <c r="I16" i="8"/>
  <c r="H16" i="8"/>
  <c r="G16" i="8"/>
  <c r="F16" i="8"/>
  <c r="D16" i="8"/>
  <c r="G18" i="8" s="1"/>
  <c r="G15" i="8"/>
  <c r="D15" i="8"/>
  <c r="I19" i="8" s="1"/>
  <c r="J14" i="8"/>
  <c r="I14" i="8"/>
  <c r="H14" i="8"/>
  <c r="G14" i="8"/>
  <c r="F14" i="8"/>
  <c r="E14" i="8"/>
  <c r="D14" i="8"/>
  <c r="G13" i="8"/>
  <c r="D13" i="8"/>
  <c r="I17" i="8" s="1"/>
  <c r="J12" i="8"/>
  <c r="I12" i="8"/>
  <c r="H12" i="8"/>
  <c r="F12" i="8"/>
  <c r="D12" i="8"/>
  <c r="E12" i="8" s="1"/>
  <c r="H11" i="8"/>
  <c r="G11" i="8"/>
  <c r="D11" i="8"/>
  <c r="I15" i="8" s="1"/>
  <c r="AF10" i="8"/>
  <c r="AE10" i="8"/>
  <c r="AD10" i="8"/>
  <c r="AC10" i="8"/>
  <c r="AB10" i="8"/>
  <c r="AA10" i="8"/>
  <c r="Z10" i="8"/>
  <c r="I10" i="8"/>
  <c r="H10" i="8"/>
  <c r="G10" i="8"/>
  <c r="F10" i="8"/>
  <c r="E10" i="8"/>
  <c r="D10" i="8"/>
  <c r="G12" i="8" s="1"/>
  <c r="H9" i="8"/>
  <c r="G9" i="8"/>
  <c r="F9" i="8"/>
  <c r="D9" i="8"/>
  <c r="E9" i="8" s="1"/>
  <c r="G8" i="8"/>
  <c r="F8" i="8"/>
  <c r="D8" i="8"/>
  <c r="E8" i="8" s="1"/>
  <c r="F7" i="8"/>
  <c r="D7" i="8"/>
  <c r="I11" i="8" s="1"/>
  <c r="D6" i="8"/>
  <c r="J11" i="8" s="1"/>
  <c r="Y93" i="6"/>
  <c r="S97" i="6"/>
  <c r="V96" i="6"/>
  <c r="U90" i="6"/>
  <c r="S90" i="6"/>
  <c r="U86" i="6"/>
  <c r="S86" i="6"/>
  <c r="W85" i="6"/>
  <c r="U83" i="6"/>
  <c r="S83" i="6"/>
  <c r="Z64" i="6"/>
  <c r="P91" i="9" l="1"/>
  <c r="O12" i="8"/>
  <c r="N12" i="8"/>
  <c r="P26" i="8"/>
  <c r="K43" i="8"/>
  <c r="K57" i="8"/>
  <c r="O30" i="8"/>
  <c r="P30" i="8"/>
  <c r="F28" i="8"/>
  <c r="I31" i="8"/>
  <c r="G29" i="8"/>
  <c r="E27" i="8"/>
  <c r="M20" i="8"/>
  <c r="Q27" i="8"/>
  <c r="M16" i="8"/>
  <c r="K16" i="8"/>
  <c r="N16" i="8"/>
  <c r="G65" i="8"/>
  <c r="I67" i="8"/>
  <c r="F64" i="8"/>
  <c r="E64" i="8"/>
  <c r="H66" i="8"/>
  <c r="E63" i="8"/>
  <c r="N11" i="8"/>
  <c r="E28" i="8"/>
  <c r="O11" i="8"/>
  <c r="I39" i="8"/>
  <c r="F36" i="8"/>
  <c r="H38" i="8"/>
  <c r="J40" i="8"/>
  <c r="L40" i="8" s="1"/>
  <c r="L16" i="8"/>
  <c r="P16" i="8" s="1"/>
  <c r="K35" i="8"/>
  <c r="F26" i="8"/>
  <c r="I29" i="8"/>
  <c r="G27" i="8"/>
  <c r="F19" i="8"/>
  <c r="I22" i="8"/>
  <c r="G20" i="8"/>
  <c r="K25" i="8"/>
  <c r="L12" i="8"/>
  <c r="Q12" i="8" s="1"/>
  <c r="E18" i="8"/>
  <c r="N26" i="8"/>
  <c r="K14" i="8"/>
  <c r="K67" i="8"/>
  <c r="E23" i="8"/>
  <c r="H26" i="8"/>
  <c r="O26" i="8" s="1"/>
  <c r="I27" i="8"/>
  <c r="F24" i="8"/>
  <c r="F21" i="8"/>
  <c r="I24" i="8"/>
  <c r="G22" i="8"/>
  <c r="J25" i="8"/>
  <c r="E20" i="8"/>
  <c r="K23" i="8"/>
  <c r="Q20" i="8"/>
  <c r="O16" i="8"/>
  <c r="K44" i="8"/>
  <c r="E35" i="8"/>
  <c r="J17" i="8"/>
  <c r="H15" i="8"/>
  <c r="F13" i="8"/>
  <c r="J28" i="8"/>
  <c r="L11" i="8"/>
  <c r="P11" i="8" s="1"/>
  <c r="J21" i="8"/>
  <c r="M12" i="8"/>
  <c r="K12" i="8"/>
  <c r="I44" i="8"/>
  <c r="H43" i="8"/>
  <c r="F41" i="8"/>
  <c r="J45" i="8"/>
  <c r="L45" i="8" s="1"/>
  <c r="E25" i="8"/>
  <c r="P12" i="8"/>
  <c r="M18" i="8"/>
  <c r="K18" i="8"/>
  <c r="J32" i="8"/>
  <c r="L32" i="8" s="1"/>
  <c r="G47" i="8"/>
  <c r="K47" i="8" s="1"/>
  <c r="I49" i="8"/>
  <c r="K49" i="8" s="1"/>
  <c r="H48" i="8"/>
  <c r="F46" i="8"/>
  <c r="J50" i="8"/>
  <c r="L50" i="8" s="1"/>
  <c r="G62" i="8"/>
  <c r="K62" i="8" s="1"/>
  <c r="I64" i="8"/>
  <c r="F61" i="8"/>
  <c r="H63" i="8"/>
  <c r="J65" i="8"/>
  <c r="L65" i="8" s="1"/>
  <c r="M30" i="8"/>
  <c r="N30" i="8"/>
  <c r="E30" i="8"/>
  <c r="I34" i="8"/>
  <c r="K34" i="8" s="1"/>
  <c r="H33" i="8"/>
  <c r="F31" i="8"/>
  <c r="J35" i="8"/>
  <c r="L35" i="8" s="1"/>
  <c r="L14" i="8"/>
  <c r="N14" i="8" s="1"/>
  <c r="Q30" i="8"/>
  <c r="H19" i="8"/>
  <c r="I20" i="8"/>
  <c r="P20" i="8" s="1"/>
  <c r="F17" i="8"/>
  <c r="K30" i="8"/>
  <c r="E16" i="8"/>
  <c r="L23" i="8"/>
  <c r="O23" i="8" s="1"/>
  <c r="O18" i="8"/>
  <c r="E55" i="8"/>
  <c r="G57" i="8"/>
  <c r="I59" i="8"/>
  <c r="F56" i="8"/>
  <c r="H58" i="8"/>
  <c r="J60" i="8"/>
  <c r="L60" i="8" s="1"/>
  <c r="H13" i="8"/>
  <c r="J15" i="8"/>
  <c r="F11" i="8"/>
  <c r="J19" i="8"/>
  <c r="H17" i="8"/>
  <c r="F15" i="8"/>
  <c r="I18" i="8"/>
  <c r="P18" i="8" s="1"/>
  <c r="E50" i="8"/>
  <c r="G52" i="8"/>
  <c r="K52" i="8" s="1"/>
  <c r="I54" i="8"/>
  <c r="F51" i="8"/>
  <c r="K51" i="8" s="1"/>
  <c r="H53" i="8"/>
  <c r="J55" i="8"/>
  <c r="L55" i="8" s="1"/>
  <c r="K55" i="8"/>
  <c r="G60" i="8"/>
  <c r="K60" i="8" s="1"/>
  <c r="H65" i="8"/>
  <c r="K65" i="8" s="1"/>
  <c r="I65" i="8"/>
  <c r="G63" i="8"/>
  <c r="K63" i="8" s="1"/>
  <c r="H40" i="8"/>
  <c r="K40" i="8" s="1"/>
  <c r="E53" i="8"/>
  <c r="E58" i="8"/>
  <c r="E48" i="8"/>
  <c r="E33" i="8"/>
  <c r="I35" i="8"/>
  <c r="E43" i="8"/>
  <c r="G53" i="8"/>
  <c r="G58" i="8"/>
  <c r="K58" i="8" s="1"/>
  <c r="L18" i="8"/>
  <c r="N18" i="8" s="1"/>
  <c r="H20" i="8"/>
  <c r="H27" i="8"/>
  <c r="G48" i="8"/>
  <c r="I63" i="8"/>
  <c r="F66" i="8"/>
  <c r="G66" i="8"/>
  <c r="I66" i="8"/>
  <c r="E51" i="8"/>
  <c r="E56" i="8"/>
  <c r="L20" i="8"/>
  <c r="L27" i="8"/>
  <c r="M27" i="8" s="1"/>
  <c r="J33" i="8"/>
  <c r="L33" i="8" s="1"/>
  <c r="E46" i="8"/>
  <c r="G61" i="8"/>
  <c r="E11" i="8"/>
  <c r="E13" i="8"/>
  <c r="E15" i="8"/>
  <c r="E17" i="8"/>
  <c r="E24" i="8"/>
  <c r="E31" i="8"/>
  <c r="J38" i="8"/>
  <c r="L38" i="8" s="1"/>
  <c r="E41" i="8"/>
  <c r="G51" i="8"/>
  <c r="G56" i="8"/>
  <c r="H61" i="8"/>
  <c r="J22" i="8"/>
  <c r="J29" i="8"/>
  <c r="E36" i="8"/>
  <c r="G46" i="8"/>
  <c r="H51" i="8"/>
  <c r="H56" i="8"/>
  <c r="I61" i="8"/>
  <c r="J66" i="8"/>
  <c r="L66" i="8" s="1"/>
  <c r="F38" i="8"/>
  <c r="K38" i="8" s="1"/>
  <c r="J63" i="8"/>
  <c r="L63" i="8" s="1"/>
  <c r="H46" i="8"/>
  <c r="J51" i="8"/>
  <c r="L51" i="8" s="1"/>
  <c r="I13" i="8"/>
  <c r="E19" i="8"/>
  <c r="E26" i="8"/>
  <c r="H36" i="8"/>
  <c r="I41" i="8"/>
  <c r="J46" i="8"/>
  <c r="L46" i="8" s="1"/>
  <c r="E49" i="8"/>
  <c r="F59" i="8"/>
  <c r="J13" i="8"/>
  <c r="J24" i="8"/>
  <c r="J31" i="8"/>
  <c r="L31" i="8" s="1"/>
  <c r="J41" i="8"/>
  <c r="L41" i="8" s="1"/>
  <c r="F54" i="8"/>
  <c r="G59" i="8"/>
  <c r="H64" i="8"/>
  <c r="P91" i="8"/>
  <c r="J61" i="8"/>
  <c r="L61" i="8" s="1"/>
  <c r="E7" i="8"/>
  <c r="H24" i="8"/>
  <c r="H31" i="8"/>
  <c r="J56" i="8"/>
  <c r="L56" i="8" s="1"/>
  <c r="G64" i="8"/>
  <c r="J36" i="8"/>
  <c r="L36" i="8" s="1"/>
  <c r="E39" i="8"/>
  <c r="G49" i="8"/>
  <c r="G54" i="8"/>
  <c r="H59" i="8"/>
  <c r="E61" i="8"/>
  <c r="H54" i="8"/>
  <c r="E21" i="8"/>
  <c r="G39" i="8"/>
  <c r="K39" i="8" s="1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K17" i="8" l="1"/>
  <c r="M26" i="8"/>
  <c r="K26" i="8"/>
  <c r="K33" i="8"/>
  <c r="N23" i="8"/>
  <c r="K50" i="8"/>
  <c r="K66" i="8"/>
  <c r="P14" i="8"/>
  <c r="Q16" i="8"/>
  <c r="K48" i="8"/>
  <c r="K41" i="8"/>
  <c r="M11" i="8"/>
  <c r="K11" i="8"/>
  <c r="L15" i="8"/>
  <c r="M15" i="8" s="1"/>
  <c r="O13" i="8"/>
  <c r="L22" i="8"/>
  <c r="K46" i="8"/>
  <c r="P22" i="8"/>
  <c r="M19" i="8"/>
  <c r="K19" i="8"/>
  <c r="Q23" i="8"/>
  <c r="L25" i="8"/>
  <c r="N29" i="8"/>
  <c r="K29" i="8"/>
  <c r="K21" i="8"/>
  <c r="K24" i="8"/>
  <c r="K15" i="8"/>
  <c r="M23" i="8"/>
  <c r="O17" i="8"/>
  <c r="K31" i="8"/>
  <c r="O14" i="8"/>
  <c r="P23" i="8"/>
  <c r="K53" i="8"/>
  <c r="K32" i="8"/>
  <c r="L13" i="8"/>
  <c r="N13" i="8" s="1"/>
  <c r="K20" i="8"/>
  <c r="N20" i="8"/>
  <c r="K27" i="8"/>
  <c r="N27" i="8"/>
  <c r="P13" i="8"/>
  <c r="P29" i="8"/>
  <c r="O19" i="8"/>
  <c r="N22" i="8"/>
  <c r="P24" i="8"/>
  <c r="M28" i="8"/>
  <c r="K28" i="8"/>
  <c r="K22" i="8"/>
  <c r="Q14" i="8"/>
  <c r="P27" i="8"/>
  <c r="L19" i="8"/>
  <c r="Q19" i="8"/>
  <c r="O27" i="8"/>
  <c r="K36" i="8"/>
  <c r="O20" i="8"/>
  <c r="M14" i="8"/>
  <c r="L29" i="8"/>
  <c r="L21" i="8"/>
  <c r="K54" i="8"/>
  <c r="K56" i="8"/>
  <c r="Q11" i="8"/>
  <c r="L28" i="8"/>
  <c r="L24" i="8"/>
  <c r="N24" i="8" s="1"/>
  <c r="M13" i="8"/>
  <c r="K13" i="8"/>
  <c r="K64" i="8"/>
  <c r="K45" i="8"/>
  <c r="O15" i="8"/>
  <c r="K59" i="8"/>
  <c r="Q18" i="8"/>
  <c r="K61" i="8"/>
  <c r="Q17" i="8"/>
  <c r="L17" i="8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O22" i="8" l="1"/>
  <c r="M22" i="8"/>
  <c r="Q22" i="8"/>
  <c r="P28" i="8"/>
  <c r="O28" i="8"/>
  <c r="N28" i="8"/>
  <c r="Q15" i="8"/>
  <c r="P21" i="8"/>
  <c r="O21" i="8"/>
  <c r="N21" i="8"/>
  <c r="M24" i="8"/>
  <c r="Q28" i="8"/>
  <c r="Q21" i="8"/>
  <c r="M21" i="8"/>
  <c r="O25" i="8"/>
  <c r="N25" i="8"/>
  <c r="P25" i="8"/>
  <c r="M25" i="8"/>
  <c r="Q25" i="8"/>
  <c r="Q24" i="8"/>
  <c r="P15" i="8"/>
  <c r="N15" i="8"/>
  <c r="Q13" i="8"/>
  <c r="O24" i="8"/>
  <c r="M29" i="8"/>
  <c r="O29" i="8"/>
  <c r="Q29" i="8"/>
  <c r="N19" i="8"/>
  <c r="P19" i="8"/>
  <c r="P17" i="8"/>
  <c r="N17" i="8"/>
  <c r="M17" i="8"/>
</calcChain>
</file>

<file path=xl/sharedStrings.xml><?xml version="1.0" encoding="utf-8"?>
<sst xmlns="http://schemas.openxmlformats.org/spreadsheetml/2006/main" count="648" uniqueCount="155">
  <si>
    <t>INSERT</t>
  </si>
  <si>
    <t>TIME SERIES</t>
  </si>
  <si>
    <t>DATE</t>
  </si>
  <si>
    <t>MONTH</t>
  </si>
  <si>
    <t>PRCOMP1</t>
  </si>
  <si>
    <t>DATA</t>
  </si>
  <si>
    <t>antilog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</si>
  <si>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</si>
  <si>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</si>
  <si>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</si>
  <si>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</si>
  <si>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</si>
  <si>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</si>
  <si>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</si>
  <si>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</si>
  <si>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</si>
  <si>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</si>
  <si>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</si>
  <si>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</si>
  <si>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</si>
  <si>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</si>
  <si>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</si>
  <si>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</si>
  <si>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</si>
  <si>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</si>
  <si>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</si>
  <si>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</si>
  <si>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</si>
  <si>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</si>
  <si>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</si>
  <si>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</si>
  <si>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</si>
  <si>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</si>
  <si>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CORR-&gt;</t>
  </si>
  <si>
    <t>TIME</t>
  </si>
  <si>
    <t>PRC1 for MONTHS PREVIOUS</t>
  </si>
  <si>
    <t>Alagnak</t>
  </si>
  <si>
    <t>positive minus 2 and 3 years in July (-26, -38)</t>
  </si>
  <si>
    <t>negative Jan-March at minus 1.5 years</t>
  </si>
  <si>
    <t>3 years is more reasonable, given older ages at BB where most of run is 1.2 and 1.3</t>
  </si>
  <si>
    <t>probably have to look at individual age comp transitions</t>
  </si>
  <si>
    <t>Alagnak correlations</t>
  </si>
  <si>
    <t>following year</t>
  </si>
  <si>
    <t>River</t>
  </si>
  <si>
    <t>ReturnYear</t>
  </si>
  <si>
    <t>Total_Returns</t>
  </si>
  <si>
    <t>returns</t>
  </si>
  <si>
    <t>AC_1.1</t>
  </si>
  <si>
    <t>AC_1.2</t>
  </si>
  <si>
    <t>AC_1.3</t>
  </si>
  <si>
    <t>AC_1.4</t>
  </si>
  <si>
    <t>AC_2.1</t>
  </si>
  <si>
    <t>AC_2.2</t>
  </si>
  <si>
    <t>AC_2.3</t>
  </si>
  <si>
    <t>and low PC1 at -6 (but that is too soon for data to be available)</t>
  </si>
  <si>
    <t>with high PC1 at -23 to 25 say 24) and -36</t>
  </si>
  <si>
    <t>how correlated are -24 and -36?</t>
  </si>
  <si>
    <t>try mult reg with both!</t>
  </si>
  <si>
    <t>pc1-36</t>
  </si>
  <si>
    <t>predicted conversion for 2025 is unusually high at</t>
  </si>
  <si>
    <t xml:space="preserve">so </t>
  </si>
  <si>
    <t xml:space="preserve">in 2024 becomes </t>
  </si>
  <si>
    <t>or</t>
  </si>
  <si>
    <t>official is 2.88m</t>
  </si>
  <si>
    <t>similar to 2020 and 21</t>
  </si>
  <si>
    <t>if conversion is about 1 we get</t>
  </si>
  <si>
    <t>which is still way off scale</t>
  </si>
  <si>
    <t>at median conversion of 0.5 we get</t>
  </si>
  <si>
    <t>1.3s which is almost twice the official prdiction</t>
  </si>
  <si>
    <t>and has never been seen!</t>
  </si>
  <si>
    <t>comparison, in 2016 3m 1.2s became 2.5m 1.3s with a good PC1 (-36) of 2.6</t>
  </si>
  <si>
    <t>if conversion is</t>
  </si>
  <si>
    <t>from</t>
  </si>
  <si>
    <t xml:space="preserve">or </t>
  </si>
  <si>
    <t>which is very close to the official prediction!</t>
  </si>
  <si>
    <t>I am going to assume a more favorable transition due to the extremely high PC1, and set 1.3 the same as 1.2</t>
  </si>
  <si>
    <t xml:space="preserve">the maximum 1.3s ever seen is </t>
  </si>
  <si>
    <t>which came from 5.5m 1.2s and a PC1 of 1.9</t>
  </si>
  <si>
    <t>extreme!</t>
  </si>
  <si>
    <t>1.3s in 2025!</t>
  </si>
  <si>
    <t>there is a higher correlation of 1.2 to 1.3 (data since 2003)</t>
  </si>
  <si>
    <t>Case:</t>
  </si>
  <si>
    <t>Data</t>
  </si>
  <si>
    <t>observations</t>
  </si>
  <si>
    <t>5years</t>
  </si>
  <si>
    <t>values relative to t-5</t>
  </si>
  <si>
    <t>Year</t>
  </si>
  <si>
    <t>Xt</t>
  </si>
  <si>
    <t>ln Rects</t>
  </si>
  <si>
    <t>deltaLnR</t>
  </si>
  <si>
    <t>lnRt-1</t>
  </si>
  <si>
    <t>lnRt-2</t>
  </si>
  <si>
    <t>lnRt-3</t>
  </si>
  <si>
    <t>lnRt-4</t>
  </si>
  <si>
    <t>lnRt-5</t>
  </si>
  <si>
    <t>sigma lnR</t>
  </si>
  <si>
    <t>correlations with following year returns (since 2000)</t>
  </si>
  <si>
    <t>there are no strong correlations since 2000, AC1.2 and 2.2 are slight</t>
  </si>
  <si>
    <t>try multiple regression anyway, until I think of something better</t>
  </si>
  <si>
    <t>zero int</t>
  </si>
  <si>
    <t>System</t>
  </si>
  <si>
    <t>prediction</t>
  </si>
  <si>
    <t>Bristol Bay</t>
  </si>
  <si>
    <t>this is weak</t>
  </si>
  <si>
    <t>updated trend line gives prediction lower than the regression, but indistinguishable on log scale</t>
  </si>
  <si>
    <t>The intercept looks ugly, but we are far to the right of it</t>
  </si>
  <si>
    <t>mult reg predicts</t>
  </si>
  <si>
    <t>which is close to the official</t>
  </si>
  <si>
    <t>1.2 and 2.2 are at  high values historically</t>
  </si>
  <si>
    <t>this prediction is similar to the two outliers in the zero-intercept regression below</t>
  </si>
  <si>
    <t>What happen if we force a zero intercept?</t>
  </si>
  <si>
    <t>final</t>
  </si>
  <si>
    <t>prediction is</t>
  </si>
  <si>
    <t>which is a bit higher</t>
  </si>
  <si>
    <t>predicted 2025 vlue is higher than official forecast</t>
  </si>
  <si>
    <t>but is supported by multiple lines of argument: trend, multiple regression of ACs and environmental effect of highPC1 3 years ago</t>
  </si>
  <si>
    <t>WHAT I DID FOR THE 2024 RUN</t>
  </si>
  <si>
    <t>Comments</t>
  </si>
  <si>
    <t>2015 and 2016 seems to show no special relationship, suggesting no substantial El Nino effect.</t>
  </si>
  <si>
    <t>Perhaps treat as stationary since 2003.</t>
  </si>
  <si>
    <t>trend line</t>
  </si>
  <si>
    <t>Seems to consist of abrupt increases over 1-2 years, followed by slow multi-year declines</t>
  </si>
  <si>
    <t xml:space="preserve">2015 to 2019 </t>
  </si>
  <si>
    <t xml:space="preserve"> -0.373 per year</t>
  </si>
  <si>
    <t>Pessimistic:</t>
  </si>
  <si>
    <t>Assume the present decline will continue at a rate similar to 2015-2019</t>
  </si>
  <si>
    <t>Optimistic</t>
  </si>
  <si>
    <t>Extrapolate recent trend</t>
  </si>
  <si>
    <t>2024 value is</t>
  </si>
  <si>
    <t>antilog is</t>
  </si>
  <si>
    <t>Use average of the two predictions</t>
  </si>
  <si>
    <t xml:space="preserve">antilog is </t>
  </si>
  <si>
    <t>splits the short and long-term trends</t>
  </si>
  <si>
    <t>PERFORMANCE:</t>
  </si>
  <si>
    <t xml:space="preserve">Actual run was </t>
  </si>
  <si>
    <t>much nearer the optimistic prediction and almost right on the long term trend line</t>
  </si>
  <si>
    <t>Official forecast was</t>
  </si>
  <si>
    <t>a bit low, but similar to my own prediction</t>
  </si>
  <si>
    <t>zero intercept looks better overall</t>
  </si>
  <si>
    <t>2025 prediction</t>
  </si>
  <si>
    <t>official is 4.97</t>
  </si>
  <si>
    <t>trend line moves up to</t>
  </si>
  <si>
    <t>trend prediction is</t>
  </si>
  <si>
    <t>used multiple regression of previous years returns by age</t>
  </si>
  <si>
    <t>last years prediction would have been</t>
  </si>
  <si>
    <t>about half actual run size of</t>
  </si>
  <si>
    <t>2025 prediction is</t>
  </si>
  <si>
    <t>see returntable sheet line 55</t>
  </si>
  <si>
    <t>log xform looks fair, ignoring the low values (below 10000)</t>
  </si>
  <si>
    <t>suggest asymptote areound 5000000, which is the prediction anyway</t>
  </si>
  <si>
    <t>The zero intercept prediction is higher than the two right-hand points</t>
  </si>
  <si>
    <t>Delta ln run was large in 2024, but not much pattern</t>
  </si>
  <si>
    <t>All peaks since the 1980s are single evnts, followed by drops in deltaRun</t>
  </si>
  <si>
    <t>about half are positive (=increased next year runsize) half negative (decreased runsize)</t>
  </si>
  <si>
    <t>GO TO BROOD TABLE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</si>
</sst>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164" fontId="1" fillId="0" borderId="0" xfId="0" applyNumberFormat="1" applyFont="1"/>
    <xf numFmtId="10" fontId="0" fillId="0" borderId="0" xfId="0" applyNumberFormat="1"/>
    <xf numFmtId="0" fontId="3" fillId="0" borderId="0" xfId="0" applyFont="1"/>
    <xf numFmtId="1" fontId="0" fillId="0" borderId="0" xfId="0" applyNumberFormat="1"/>
    <xf numFmtId="1" fontId="0" fillId="0" borderId="0" xfId="0" quotePrefix="1" applyNumberFormat="1"/>
    <xf numFmtId="0" fontId="4" fillId="0" borderId="0" xfId="0" applyFont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4" xfId="0" applyFont="1" applyBorder="1"/>
    <xf numFmtId="1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" fontId="1" fillId="0" borderId="7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" fontId="4" fillId="0" borderId="0" xfId="0" applyNumberFormat="1" applyFon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[1]CorTemplate!$G$7:$AU$7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[1]CorTemplate!$G$5:$AU$5</c:f>
              <c:numCache>
                <c:formatCode>General</c:formatCode>
                <c:ptCount val="41"/>
                <c:pt idx="0">
                  <c:v>0.23250220767595539</c:v>
                </c:pt>
                <c:pt idx="1">
                  <c:v>0.19418495737894026</c:v>
                </c:pt>
                <c:pt idx="2">
                  <c:v>0.24480962492282948</c:v>
                </c:pt>
                <c:pt idx="3">
                  <c:v>0.17223421523244936</c:v>
                </c:pt>
                <c:pt idx="4">
                  <c:v>0.11419906818918081</c:v>
                </c:pt>
                <c:pt idx="5">
                  <c:v>0.2579026753096561</c:v>
                </c:pt>
                <c:pt idx="6">
                  <c:v>0.26056933640280466</c:v>
                </c:pt>
                <c:pt idx="7">
                  <c:v>0.24317859814811771</c:v>
                </c:pt>
                <c:pt idx="8">
                  <c:v>0.23271882222679649</c:v>
                </c:pt>
                <c:pt idx="9">
                  <c:v>0.17939586977624172</c:v>
                </c:pt>
                <c:pt idx="10">
                  <c:v>0.27123117035787181</c:v>
                </c:pt>
                <c:pt idx="11">
                  <c:v>0.3469047226065855</c:v>
                </c:pt>
                <c:pt idx="12">
                  <c:v>0.45182068630319128</c:v>
                </c:pt>
                <c:pt idx="13">
                  <c:v>0.3543722913029112</c:v>
                </c:pt>
                <c:pt idx="14">
                  <c:v>0.31166290284756998</c:v>
                </c:pt>
                <c:pt idx="15">
                  <c:v>0.33848075225612756</c:v>
                </c:pt>
                <c:pt idx="16">
                  <c:v>0.24207065961206078</c:v>
                </c:pt>
                <c:pt idx="17">
                  <c:v>0.31421534896795322</c:v>
                </c:pt>
                <c:pt idx="18">
                  <c:v>0.30173361634459944</c:v>
                </c:pt>
                <c:pt idx="19">
                  <c:v>0.34342066892694806</c:v>
                </c:pt>
                <c:pt idx="20">
                  <c:v>0.42605006226399789</c:v>
                </c:pt>
                <c:pt idx="21">
                  <c:v>0.39924915484704404</c:v>
                </c:pt>
                <c:pt idx="22">
                  <c:v>0.43677137512519842</c:v>
                </c:pt>
                <c:pt idx="23">
                  <c:v>0.4903756416006595</c:v>
                </c:pt>
                <c:pt idx="24">
                  <c:v>0.50357718221028069</c:v>
                </c:pt>
                <c:pt idx="25">
                  <c:v>0.43642354299234865</c:v>
                </c:pt>
                <c:pt idx="26">
                  <c:v>0.39491334064319572</c:v>
                </c:pt>
                <c:pt idx="27">
                  <c:v>0.29168503619934993</c:v>
                </c:pt>
                <c:pt idx="28">
                  <c:v>0.18503545015297554</c:v>
                </c:pt>
                <c:pt idx="29">
                  <c:v>0.18322866013093492</c:v>
                </c:pt>
                <c:pt idx="30">
                  <c:v>0.25986778197339788</c:v>
                </c:pt>
                <c:pt idx="31">
                  <c:v>0.25351675175491994</c:v>
                </c:pt>
                <c:pt idx="32">
                  <c:v>0.26279699201785972</c:v>
                </c:pt>
                <c:pt idx="33">
                  <c:v>0.17064659271504912</c:v>
                </c:pt>
                <c:pt idx="34">
                  <c:v>0.20698505503636089</c:v>
                </c:pt>
                <c:pt idx="35">
                  <c:v>0.24515131019009903</c:v>
                </c:pt>
                <c:pt idx="36">
                  <c:v>0.29944273231912383</c:v>
                </c:pt>
                <c:pt idx="37">
                  <c:v>0.33275297769843593</c:v>
                </c:pt>
                <c:pt idx="38">
                  <c:v>0.34778786657765137</c:v>
                </c:pt>
                <c:pt idx="39">
                  <c:v>0.40682254126251965</c:v>
                </c:pt>
                <c:pt idx="40">
                  <c:v>0.27106768349346116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A-4058-8E06-DC110C642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92303"/>
        <c:axId val="427594223"/>
      </c:scatterChart>
      <c:valAx>
        <c:axId val="42759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4223"/>
        <c:crosses val="autoZero"/>
        <c:crossBetween val="midCat"/>
      </c:valAx>
      <c:valAx>
        <c:axId val="4275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ln1.3 per 1.2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Cors!$G$5:$AU$5</c:f>
              <c:numCache>
                <c:formatCode>General</c:formatCode>
                <c:ptCount val="41"/>
                <c:pt idx="0">
                  <c:v>0.17604394575759499</c:v>
                </c:pt>
                <c:pt idx="1">
                  <c:v>0.11904786811992649</c:v>
                </c:pt>
                <c:pt idx="2">
                  <c:v>-5.9007615640359959E-2</c:v>
                </c:pt>
                <c:pt idx="3">
                  <c:v>-0.12343353979002256</c:v>
                </c:pt>
                <c:pt idx="4">
                  <c:v>-0.20154643222908689</c:v>
                </c:pt>
                <c:pt idx="5">
                  <c:v>-0.29462164200333363</c:v>
                </c:pt>
                <c:pt idx="6">
                  <c:v>-0.32515717464924965</c:v>
                </c:pt>
                <c:pt idx="7">
                  <c:v>-0.1310029293590162</c:v>
                </c:pt>
                <c:pt idx="8">
                  <c:v>-9.5982110754693109E-2</c:v>
                </c:pt>
                <c:pt idx="9">
                  <c:v>-0.10810589024226919</c:v>
                </c:pt>
                <c:pt idx="10">
                  <c:v>-5.3245256533789094E-2</c:v>
                </c:pt>
                <c:pt idx="11">
                  <c:v>-7.8271865349496123E-2</c:v>
                </c:pt>
                <c:pt idx="12">
                  <c:v>-5.9483803064584236E-2</c:v>
                </c:pt>
                <c:pt idx="13">
                  <c:v>0.13449603829614085</c:v>
                </c:pt>
                <c:pt idx="14">
                  <c:v>-4.7217114029783215E-2</c:v>
                </c:pt>
                <c:pt idx="15">
                  <c:v>0.11560268306954904</c:v>
                </c:pt>
                <c:pt idx="16">
                  <c:v>4.0321694704373079E-2</c:v>
                </c:pt>
                <c:pt idx="17">
                  <c:v>7.3917120141361883E-2</c:v>
                </c:pt>
                <c:pt idx="18">
                  <c:v>-8.7184432669186948E-3</c:v>
                </c:pt>
                <c:pt idx="19">
                  <c:v>0.14167161137455367</c:v>
                </c:pt>
                <c:pt idx="20">
                  <c:v>0.10359700677237627</c:v>
                </c:pt>
                <c:pt idx="21">
                  <c:v>8.3586782654654856E-2</c:v>
                </c:pt>
                <c:pt idx="22">
                  <c:v>0.13254574954318263</c:v>
                </c:pt>
                <c:pt idx="23">
                  <c:v>0.4277383852921865</c:v>
                </c:pt>
                <c:pt idx="24">
                  <c:v>0.37730401726841895</c:v>
                </c:pt>
                <c:pt idx="25">
                  <c:v>0.40081550832087198</c:v>
                </c:pt>
                <c:pt idx="26">
                  <c:v>0.25266790620603791</c:v>
                </c:pt>
                <c:pt idx="27">
                  <c:v>0.23060626116309446</c:v>
                </c:pt>
                <c:pt idx="28">
                  <c:v>0.17591842806298591</c:v>
                </c:pt>
                <c:pt idx="29">
                  <c:v>0.111131120724586</c:v>
                </c:pt>
                <c:pt idx="30">
                  <c:v>0.27653355985268818</c:v>
                </c:pt>
                <c:pt idx="31">
                  <c:v>0.30977637750226911</c:v>
                </c:pt>
                <c:pt idx="32">
                  <c:v>0.2905571714586736</c:v>
                </c:pt>
                <c:pt idx="33">
                  <c:v>0.36562135186049183</c:v>
                </c:pt>
                <c:pt idx="34">
                  <c:v>0.34546730071653364</c:v>
                </c:pt>
                <c:pt idx="35">
                  <c:v>0.40779272619254514</c:v>
                </c:pt>
                <c:pt idx="36">
                  <c:v>0.54466810687954792</c:v>
                </c:pt>
                <c:pt idx="37">
                  <c:v>0.35102838086912003</c:v>
                </c:pt>
                <c:pt idx="38">
                  <c:v>0.14483492352245819</c:v>
                </c:pt>
                <c:pt idx="39">
                  <c:v>0.14829693569390603</c:v>
                </c:pt>
                <c:pt idx="40">
                  <c:v>0.48820321346680018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C1-4465-A7EB-A4F49B347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92207"/>
        <c:axId val="354392687"/>
      </c:scatterChart>
      <c:valAx>
        <c:axId val="3543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687"/>
        <c:crosses val="autoZero"/>
        <c:crossBetween val="midCat"/>
      </c:valAx>
      <c:valAx>
        <c:axId val="3543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ln1.3 per 1.2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Cors!$G$5:$AU$5</c:f>
              <c:numCache>
                <c:formatCode>General</c:formatCode>
                <c:ptCount val="41"/>
                <c:pt idx="0">
                  <c:v>0.17604394575759499</c:v>
                </c:pt>
                <c:pt idx="1">
                  <c:v>0.11904786811992649</c:v>
                </c:pt>
                <c:pt idx="2">
                  <c:v>-5.9007615640359959E-2</c:v>
                </c:pt>
                <c:pt idx="3">
                  <c:v>-0.12343353979002256</c:v>
                </c:pt>
                <c:pt idx="4">
                  <c:v>-0.20154643222908689</c:v>
                </c:pt>
                <c:pt idx="5">
                  <c:v>-0.29462164200333363</c:v>
                </c:pt>
                <c:pt idx="6">
                  <c:v>-0.32515717464924965</c:v>
                </c:pt>
                <c:pt idx="7">
                  <c:v>-0.1310029293590162</c:v>
                </c:pt>
                <c:pt idx="8">
                  <c:v>-9.5982110754693109E-2</c:v>
                </c:pt>
                <c:pt idx="9">
                  <c:v>-0.10810589024226919</c:v>
                </c:pt>
                <c:pt idx="10">
                  <c:v>-5.3245256533789094E-2</c:v>
                </c:pt>
                <c:pt idx="11">
                  <c:v>-7.8271865349496123E-2</c:v>
                </c:pt>
                <c:pt idx="12">
                  <c:v>-5.9483803064584236E-2</c:v>
                </c:pt>
                <c:pt idx="13">
                  <c:v>0.13449603829614085</c:v>
                </c:pt>
                <c:pt idx="14">
                  <c:v>-4.7217114029783215E-2</c:v>
                </c:pt>
                <c:pt idx="15">
                  <c:v>0.11560268306954904</c:v>
                </c:pt>
                <c:pt idx="16">
                  <c:v>4.0321694704373079E-2</c:v>
                </c:pt>
                <c:pt idx="17">
                  <c:v>7.3917120141361883E-2</c:v>
                </c:pt>
                <c:pt idx="18">
                  <c:v>-8.7184432669186948E-3</c:v>
                </c:pt>
                <c:pt idx="19">
                  <c:v>0.14167161137455367</c:v>
                </c:pt>
                <c:pt idx="20">
                  <c:v>0.10359700677237627</c:v>
                </c:pt>
                <c:pt idx="21">
                  <c:v>8.3586782654654856E-2</c:v>
                </c:pt>
                <c:pt idx="22">
                  <c:v>0.13254574954318263</c:v>
                </c:pt>
                <c:pt idx="23">
                  <c:v>0.4277383852921865</c:v>
                </c:pt>
                <c:pt idx="24">
                  <c:v>0.37730401726841895</c:v>
                </c:pt>
                <c:pt idx="25">
                  <c:v>0.40081550832087198</c:v>
                </c:pt>
                <c:pt idx="26">
                  <c:v>0.25266790620603791</c:v>
                </c:pt>
                <c:pt idx="27">
                  <c:v>0.23060626116309446</c:v>
                </c:pt>
                <c:pt idx="28">
                  <c:v>0.17591842806298591</c:v>
                </c:pt>
                <c:pt idx="29">
                  <c:v>0.111131120724586</c:v>
                </c:pt>
                <c:pt idx="30">
                  <c:v>0.27653355985268818</c:v>
                </c:pt>
                <c:pt idx="31">
                  <c:v>0.30977637750226911</c:v>
                </c:pt>
                <c:pt idx="32">
                  <c:v>0.2905571714586736</c:v>
                </c:pt>
                <c:pt idx="33">
                  <c:v>0.36562135186049183</c:v>
                </c:pt>
                <c:pt idx="34">
                  <c:v>0.34546730071653364</c:v>
                </c:pt>
                <c:pt idx="35">
                  <c:v>0.40779272619254514</c:v>
                </c:pt>
                <c:pt idx="36">
                  <c:v>0.54466810687954792</c:v>
                </c:pt>
                <c:pt idx="37">
                  <c:v>0.35102838086912003</c:v>
                </c:pt>
                <c:pt idx="38">
                  <c:v>0.14483492352245819</c:v>
                </c:pt>
                <c:pt idx="39">
                  <c:v>0.14829693569390603</c:v>
                </c:pt>
                <c:pt idx="40">
                  <c:v>0.48820321346680018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45-4CAB-B371-F8ABBFF20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92207"/>
        <c:axId val="354392687"/>
      </c:scatterChart>
      <c:valAx>
        <c:axId val="3543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687"/>
        <c:crosses val="autoZero"/>
        <c:crossBetween val="midCat"/>
      </c:valAx>
      <c:valAx>
        <c:axId val="3543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1.2 to 1.3 conversion (logs) vs PC1-36 since 2004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030161854768155"/>
                  <c:y val="-0.20378244386118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broodtable!$AA$43:$AA$63</c:f>
              <c:numCache>
                <c:formatCode>General</c:formatCode>
                <c:ptCount val="21"/>
                <c:pt idx="0">
                  <c:v>2.8748315578692294</c:v>
                </c:pt>
                <c:pt idx="1">
                  <c:v>1.9076068417692387</c:v>
                </c:pt>
                <c:pt idx="2">
                  <c:v>2.2880968023692252</c:v>
                </c:pt>
                <c:pt idx="3">
                  <c:v>1.3046613783592229</c:v>
                </c:pt>
                <c:pt idx="4">
                  <c:v>-0.5079246517307725</c:v>
                </c:pt>
                <c:pt idx="5">
                  <c:v>2.1628221249392339</c:v>
                </c:pt>
                <c:pt idx="6">
                  <c:v>2.2741382218892316</c:v>
                </c:pt>
                <c:pt idx="7">
                  <c:v>3.1445083440692292</c:v>
                </c:pt>
                <c:pt idx="8">
                  <c:v>2.8559780762592273</c:v>
                </c:pt>
                <c:pt idx="9">
                  <c:v>2.1367981933692386</c:v>
                </c:pt>
                <c:pt idx="10">
                  <c:v>2.994733051169236</c:v>
                </c:pt>
                <c:pt idx="11">
                  <c:v>3.3148665312692316</c:v>
                </c:pt>
                <c:pt idx="12">
                  <c:v>2.6100064923692252</c:v>
                </c:pt>
                <c:pt idx="13">
                  <c:v>1.4034630548992453</c:v>
                </c:pt>
                <c:pt idx="14">
                  <c:v>-3.0684870940772491E-2</c:v>
                </c:pt>
                <c:pt idx="15">
                  <c:v>-3.6238594620772724E-2</c:v>
                </c:pt>
                <c:pt idx="16">
                  <c:v>0.6355308827592252</c:v>
                </c:pt>
                <c:pt idx="17">
                  <c:v>2.0574152523692271</c:v>
                </c:pt>
                <c:pt idx="18">
                  <c:v>0.16846339816923617</c:v>
                </c:pt>
                <c:pt idx="19">
                  <c:v>0.94188844476923839</c:v>
                </c:pt>
                <c:pt idx="20">
                  <c:v>3.013470621229243</c:v>
                </c:pt>
              </c:numCache>
            </c:numRef>
          </c:xVal>
          <c:yVal>
            <c:numRef>
              <c:f>broodtable!$Z$43:$Z$63</c:f>
              <c:numCache>
                <c:formatCode>General</c:formatCode>
                <c:ptCount val="21"/>
                <c:pt idx="0">
                  <c:v>0.41336916950159558</c:v>
                </c:pt>
                <c:pt idx="1">
                  <c:v>-0.32743966173860617</c:v>
                </c:pt>
                <c:pt idx="2">
                  <c:v>2.3688070330064863</c:v>
                </c:pt>
                <c:pt idx="3">
                  <c:v>3.4121976172015636E-2</c:v>
                </c:pt>
                <c:pt idx="4">
                  <c:v>0.31889173506263158</c:v>
                </c:pt>
                <c:pt idx="5">
                  <c:v>0.47066764107356213</c:v>
                </c:pt>
                <c:pt idx="6">
                  <c:v>0.91673367462889965</c:v>
                </c:pt>
                <c:pt idx="7">
                  <c:v>0.86123465766858176</c:v>
                </c:pt>
                <c:pt idx="8">
                  <c:v>0.78696923546066722</c:v>
                </c:pt>
                <c:pt idx="9">
                  <c:v>0.90456202117038498</c:v>
                </c:pt>
                <c:pt idx="10">
                  <c:v>0.40748764597127796</c:v>
                </c:pt>
                <c:pt idx="11">
                  <c:v>1.4650854653470478</c:v>
                </c:pt>
                <c:pt idx="12">
                  <c:v>-0.21146701024661071</c:v>
                </c:pt>
                <c:pt idx="13">
                  <c:v>0.36243996980436877</c:v>
                </c:pt>
                <c:pt idx="14">
                  <c:v>-0.77343629720605933</c:v>
                </c:pt>
                <c:pt idx="15">
                  <c:v>-1.0061200929063885</c:v>
                </c:pt>
                <c:pt idx="16">
                  <c:v>0.78379846293178257</c:v>
                </c:pt>
                <c:pt idx="17">
                  <c:v>0.38384132171908769</c:v>
                </c:pt>
                <c:pt idx="18">
                  <c:v>0.23147775658511094</c:v>
                </c:pt>
                <c:pt idx="19">
                  <c:v>5.29734003531993E-2</c:v>
                </c:pt>
                <c:pt idx="20">
                  <c:v>0.15952065516912481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0-45A9-859B-2C9E41162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129840"/>
        <c:axId val="988015808"/>
      </c:scatterChart>
      <c:valAx>
        <c:axId val="118512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015808"/>
        <c:crosses val="autoZero"/>
        <c:crossBetween val="midCat"/>
      </c:valAx>
      <c:valAx>
        <c:axId val="98801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12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28477690288713"/>
          <c:y val="5.3788976377952755E-2"/>
          <c:w val="0.79899300087489067"/>
          <c:h val="0.83969973753280835"/>
        </c:manualLayout>
      </c:layout>
      <c:scatterChart>
        <c:scatterStyle val="lineMarker"/>
        <c:varyColors val="0"/>
        <c:ser>
          <c:idx val="0"/>
          <c:order val="0"/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00-9E72-4E47-B955-582A89719946}"/>
              </c:ext>
            </c:extLst>
          </c:dPt>
          <c:xVal>
            <c:numRef>
              <c:f>[2]Alagnak!$B$6:$B$67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[2]Alagnak!$C$6:$C$67</c:f>
              <c:numCache>
                <c:formatCode>General</c:formatCode>
                <c:ptCount val="62"/>
                <c:pt idx="0">
                  <c:v>378138.28100000002</c:v>
                </c:pt>
                <c:pt idx="1">
                  <c:v>759383.0503</c:v>
                </c:pt>
                <c:pt idx="2">
                  <c:v>397860.60820000002</c:v>
                </c:pt>
                <c:pt idx="3">
                  <c:v>394077.15909999999</c:v>
                </c:pt>
                <c:pt idx="4">
                  <c:v>344305.58559999999</c:v>
                </c:pt>
                <c:pt idx="5">
                  <c:v>314033.55739999999</c:v>
                </c:pt>
                <c:pt idx="6">
                  <c:v>324288.95520000003</c:v>
                </c:pt>
                <c:pt idx="7">
                  <c:v>500779.51150000002</c:v>
                </c:pt>
                <c:pt idx="8">
                  <c:v>537293.52439999999</c:v>
                </c:pt>
                <c:pt idx="9">
                  <c:v>302589.30719999998</c:v>
                </c:pt>
                <c:pt idx="10">
                  <c:v>63552.969369999999</c:v>
                </c:pt>
                <c:pt idx="11">
                  <c:v>247579.7304</c:v>
                </c:pt>
                <c:pt idx="12">
                  <c:v>112656.7016</c:v>
                </c:pt>
                <c:pt idx="13">
                  <c:v>157449.67069999999</c:v>
                </c:pt>
                <c:pt idx="14">
                  <c:v>234915.33420000001</c:v>
                </c:pt>
                <c:pt idx="15">
                  <c:v>1110702.155</c:v>
                </c:pt>
                <c:pt idx="16">
                  <c:v>1620186.939</c:v>
                </c:pt>
                <c:pt idx="17">
                  <c:v>855660.86230000004</c:v>
                </c:pt>
                <c:pt idx="18">
                  <c:v>667234.69750000001</c:v>
                </c:pt>
                <c:pt idx="19">
                  <c:v>1345575.82</c:v>
                </c:pt>
                <c:pt idx="20">
                  <c:v>2664575.1779999998</c:v>
                </c:pt>
                <c:pt idx="21">
                  <c:v>1193249.4439999999</c:v>
                </c:pt>
                <c:pt idx="22">
                  <c:v>843580.10880000005</c:v>
                </c:pt>
                <c:pt idx="23">
                  <c:v>1020938.708</c:v>
                </c:pt>
                <c:pt idx="24">
                  <c:v>780737.31909999996</c:v>
                </c:pt>
                <c:pt idx="25">
                  <c:v>851134.59849999996</c:v>
                </c:pt>
                <c:pt idx="26">
                  <c:v>1379369.767</c:v>
                </c:pt>
                <c:pt idx="27">
                  <c:v>1591425.186</c:v>
                </c:pt>
                <c:pt idx="28">
                  <c:v>1684654.871</c:v>
                </c:pt>
                <c:pt idx="29">
                  <c:v>1461638.5859999999</c:v>
                </c:pt>
                <c:pt idx="30">
                  <c:v>2451734.915</c:v>
                </c:pt>
                <c:pt idx="31">
                  <c:v>2062023.399</c:v>
                </c:pt>
                <c:pt idx="32">
                  <c:v>2198777.9410000001</c:v>
                </c:pt>
                <c:pt idx="33">
                  <c:v>2383541.7349999999</c:v>
                </c:pt>
                <c:pt idx="34">
                  <c:v>814336.19790000003</c:v>
                </c:pt>
                <c:pt idx="35">
                  <c:v>1185591.3030000001</c:v>
                </c:pt>
                <c:pt idx="36">
                  <c:v>3028936.65</c:v>
                </c:pt>
                <c:pt idx="37">
                  <c:v>2189169.9539999999</c:v>
                </c:pt>
                <c:pt idx="38">
                  <c:v>1186912.5549999999</c:v>
                </c:pt>
                <c:pt idx="39">
                  <c:v>941300.53280000004</c:v>
                </c:pt>
                <c:pt idx="40">
                  <c:v>4157797.3450000002</c:v>
                </c:pt>
                <c:pt idx="41">
                  <c:v>7525949.1359999999</c:v>
                </c:pt>
                <c:pt idx="42">
                  <c:v>5224715.5789999999</c:v>
                </c:pt>
                <c:pt idx="43">
                  <c:v>3342878.9169999999</c:v>
                </c:pt>
                <c:pt idx="44">
                  <c:v>4771232.682</c:v>
                </c:pt>
                <c:pt idx="45">
                  <c:v>4706011.4550000001</c:v>
                </c:pt>
                <c:pt idx="46">
                  <c:v>2369159.9279999998</c:v>
                </c:pt>
                <c:pt idx="47">
                  <c:v>2815554.2560000001</c:v>
                </c:pt>
                <c:pt idx="48">
                  <c:v>2249301.6710000001</c:v>
                </c:pt>
                <c:pt idx="49">
                  <c:v>2227427.4</c:v>
                </c:pt>
                <c:pt idx="50">
                  <c:v>1930231.2080000001</c:v>
                </c:pt>
                <c:pt idx="51">
                  <c:v>1621056.35</c:v>
                </c:pt>
                <c:pt idx="52">
                  <c:v>8244122.3530000001</c:v>
                </c:pt>
                <c:pt idx="53">
                  <c:v>4938142.3360000001</c:v>
                </c:pt>
                <c:pt idx="54">
                  <c:v>4430315.2450000001</c:v>
                </c:pt>
                <c:pt idx="55">
                  <c:v>2873549.53</c:v>
                </c:pt>
                <c:pt idx="56">
                  <c:v>1855135.622</c:v>
                </c:pt>
                <c:pt idx="57">
                  <c:v>4561207.9639999997</c:v>
                </c:pt>
                <c:pt idx="58">
                  <c:v>6124320.6040000003</c:v>
                </c:pt>
                <c:pt idx="59">
                  <c:v>4645074.1610000003</c:v>
                </c:pt>
                <c:pt idx="60">
                  <c:v>2539456.1979999999</c:v>
                </c:pt>
                <c:pt idx="61">
                  <c:v>4335434.7163846698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72-4E47-B955-582A89719946}"/>
            </c:ext>
          </c:extLst>
        </c:ser>
        <c:ser>
          <c:idx val="1"/>
          <c:order val="1"/>
          <c:xVal>
            <c:numRef>
              <c:f>[2]Alagnak!$B$68</c:f>
              <c:numCache>
                <c:formatCode>General</c:formatCode>
                <c:ptCount val="1"/>
                <c:pt idx="0">
                  <c:v>2025</c:v>
                </c:pt>
              </c:numCache>
            </c:numRef>
          </c:xVal>
          <c:yVal>
            <c:numRef>
              <c:f>[2]Alagnak!$C$68</c:f>
              <c:numCache>
                <c:formatCode>General</c:formatCode>
                <c:ptCount val="1"/>
                <c:pt idx="0">
                  <c:v>5756468.7830224112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72-4E47-B955-582A89719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557440"/>
        <c:axId val="234596992"/>
      </c:scatterChart>
      <c:valAx>
        <c:axId val="234557440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34596992"/>
        <c:crosses val="autoZero"/>
        <c:crossBetween val="midCat"/>
      </c:valAx>
      <c:valAx>
        <c:axId val="234596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45574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[3]Alagnak!$B$6:$B$67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[3]Alagnak!$C$6:$C$67</c:f>
              <c:numCache>
                <c:formatCode>General</c:formatCode>
                <c:ptCount val="62"/>
                <c:pt idx="0">
                  <c:v>378138.28100000002</c:v>
                </c:pt>
                <c:pt idx="1">
                  <c:v>759383.0503</c:v>
                </c:pt>
                <c:pt idx="2">
                  <c:v>397860.60820000002</c:v>
                </c:pt>
                <c:pt idx="3">
                  <c:v>394077.15909999999</c:v>
                </c:pt>
                <c:pt idx="4">
                  <c:v>344305.58559999999</c:v>
                </c:pt>
                <c:pt idx="5">
                  <c:v>314033.55739999999</c:v>
                </c:pt>
                <c:pt idx="6">
                  <c:v>324288.95520000003</c:v>
                </c:pt>
                <c:pt idx="7">
                  <c:v>500779.51150000002</c:v>
                </c:pt>
                <c:pt idx="8">
                  <c:v>537293.52439999999</c:v>
                </c:pt>
                <c:pt idx="9">
                  <c:v>302589.30719999998</c:v>
                </c:pt>
                <c:pt idx="10">
                  <c:v>63552.969369999999</c:v>
                </c:pt>
                <c:pt idx="11">
                  <c:v>247579.7304</c:v>
                </c:pt>
                <c:pt idx="12">
                  <c:v>112656.7016</c:v>
                </c:pt>
                <c:pt idx="13">
                  <c:v>157449.67069999999</c:v>
                </c:pt>
                <c:pt idx="14">
                  <c:v>234915.33420000001</c:v>
                </c:pt>
                <c:pt idx="15">
                  <c:v>1110702.155</c:v>
                </c:pt>
                <c:pt idx="16">
                  <c:v>1620186.939</c:v>
                </c:pt>
                <c:pt idx="17">
                  <c:v>855660.86230000004</c:v>
                </c:pt>
                <c:pt idx="18">
                  <c:v>667234.69750000001</c:v>
                </c:pt>
                <c:pt idx="19">
                  <c:v>1345575.82</c:v>
                </c:pt>
                <c:pt idx="20">
                  <c:v>2664575.1779999998</c:v>
                </c:pt>
                <c:pt idx="21">
                  <c:v>1193249.4439999999</c:v>
                </c:pt>
                <c:pt idx="22">
                  <c:v>843580.10880000005</c:v>
                </c:pt>
                <c:pt idx="23">
                  <c:v>1020938.708</c:v>
                </c:pt>
                <c:pt idx="24">
                  <c:v>780737.31909999996</c:v>
                </c:pt>
                <c:pt idx="25">
                  <c:v>851134.59849999996</c:v>
                </c:pt>
                <c:pt idx="26">
                  <c:v>1379369.767</c:v>
                </c:pt>
                <c:pt idx="27">
                  <c:v>1591425.186</c:v>
                </c:pt>
                <c:pt idx="28">
                  <c:v>1684654.871</c:v>
                </c:pt>
                <c:pt idx="29">
                  <c:v>1461638.5859999999</c:v>
                </c:pt>
                <c:pt idx="30">
                  <c:v>2451734.915</c:v>
                </c:pt>
                <c:pt idx="31">
                  <c:v>2062023.399</c:v>
                </c:pt>
                <c:pt idx="32">
                  <c:v>2198777.9410000001</c:v>
                </c:pt>
                <c:pt idx="33">
                  <c:v>2383541.7349999999</c:v>
                </c:pt>
                <c:pt idx="34">
                  <c:v>814336.19790000003</c:v>
                </c:pt>
                <c:pt idx="35">
                  <c:v>1185591.3030000001</c:v>
                </c:pt>
                <c:pt idx="36">
                  <c:v>3028936.65</c:v>
                </c:pt>
                <c:pt idx="37">
                  <c:v>2189169.9539999999</c:v>
                </c:pt>
                <c:pt idx="38">
                  <c:v>1186912.5549999999</c:v>
                </c:pt>
                <c:pt idx="39">
                  <c:v>941300.53280000004</c:v>
                </c:pt>
                <c:pt idx="40">
                  <c:v>4157797.3450000002</c:v>
                </c:pt>
                <c:pt idx="41">
                  <c:v>7525949.1359999999</c:v>
                </c:pt>
                <c:pt idx="42">
                  <c:v>5224715.5789999999</c:v>
                </c:pt>
                <c:pt idx="43">
                  <c:v>3342878.9169999999</c:v>
                </c:pt>
                <c:pt idx="44">
                  <c:v>4771232.682</c:v>
                </c:pt>
                <c:pt idx="45">
                  <c:v>4706011.4550000001</c:v>
                </c:pt>
                <c:pt idx="46">
                  <c:v>2369159.9279999998</c:v>
                </c:pt>
                <c:pt idx="47">
                  <c:v>2815554.2560000001</c:v>
                </c:pt>
                <c:pt idx="48">
                  <c:v>2249301.6710000001</c:v>
                </c:pt>
                <c:pt idx="49">
                  <c:v>2227427.4</c:v>
                </c:pt>
                <c:pt idx="50">
                  <c:v>1930231.2080000001</c:v>
                </c:pt>
                <c:pt idx="51">
                  <c:v>1621056.35</c:v>
                </c:pt>
                <c:pt idx="52">
                  <c:v>8244122.3530000001</c:v>
                </c:pt>
                <c:pt idx="53">
                  <c:v>4938142.3360000001</c:v>
                </c:pt>
                <c:pt idx="54">
                  <c:v>4430315.2450000001</c:v>
                </c:pt>
                <c:pt idx="55">
                  <c:v>2873549.53</c:v>
                </c:pt>
                <c:pt idx="56">
                  <c:v>1855135.622</c:v>
                </c:pt>
                <c:pt idx="57">
                  <c:v>4561207.9639999997</c:v>
                </c:pt>
                <c:pt idx="58">
                  <c:v>6124320.6040000003</c:v>
                </c:pt>
                <c:pt idx="59">
                  <c:v>4645074.1610000003</c:v>
                </c:pt>
                <c:pt idx="60">
                  <c:v>2539456.1979999999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BD-457F-B4D1-3969C911E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45888"/>
        <c:axId val="257880448"/>
      </c:scatterChart>
      <c:valAx>
        <c:axId val="257845888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57880448"/>
        <c:crosses val="autoZero"/>
        <c:crossBetween val="midCat"/>
      </c:valAx>
      <c:valAx>
        <c:axId val="257880448"/>
        <c:scaling>
          <c:logBase val="10"/>
          <c:orientation val="minMax"/>
          <c:min val="1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78458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Alagnak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1.5887282578423676E-2"/>
                  <c:y val="0.33910834062408868"/>
                </c:manualLayout>
              </c:layout>
              <c:numFmt formatCode="General" sourceLinked="0"/>
            </c:trendlineLbl>
          </c:trendline>
          <c:xVal>
            <c:numRef>
              <c:f>[3]Alagnak!$B$21:$B$67</c:f>
              <c:numCache>
                <c:formatCode>General</c:formatCode>
                <c:ptCount val="47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  <c:pt idx="43">
                  <c:v>2021</c:v>
                </c:pt>
                <c:pt idx="44">
                  <c:v>2022</c:v>
                </c:pt>
                <c:pt idx="45">
                  <c:v>2023</c:v>
                </c:pt>
                <c:pt idx="46">
                  <c:v>2024</c:v>
                </c:pt>
              </c:numCache>
            </c:numRef>
          </c:xVal>
          <c:yVal>
            <c:numRef>
              <c:f>[3]Alagnak!$D$21:$D$67</c:f>
              <c:numCache>
                <c:formatCode>General</c:formatCode>
                <c:ptCount val="47"/>
                <c:pt idx="0">
                  <c:v>13.92050294537121</c:v>
                </c:pt>
                <c:pt idx="1">
                  <c:v>14.298052094995585</c:v>
                </c:pt>
                <c:pt idx="2">
                  <c:v>13.659629387718452</c:v>
                </c:pt>
                <c:pt idx="3">
                  <c:v>13.410897133320763</c:v>
                </c:pt>
                <c:pt idx="4">
                  <c:v>14.11233259836041</c:v>
                </c:pt>
                <c:pt idx="5">
                  <c:v>14.795555194995371</c:v>
                </c:pt>
                <c:pt idx="6">
                  <c:v>13.992190768913709</c:v>
                </c:pt>
                <c:pt idx="7">
                  <c:v>13.6454101483614</c:v>
                </c:pt>
                <c:pt idx="8">
                  <c:v>13.836233064003027</c:v>
                </c:pt>
                <c:pt idx="9">
                  <c:v>13.567994033066578</c:v>
                </c:pt>
                <c:pt idx="10">
                  <c:v>13.654325560148614</c:v>
                </c:pt>
                <c:pt idx="11">
                  <c:v>14.137137262238774</c:v>
                </c:pt>
                <c:pt idx="12">
                  <c:v>14.280140516116788</c:v>
                </c:pt>
                <c:pt idx="13">
                  <c:v>14.337071276456888</c:v>
                </c:pt>
                <c:pt idx="14">
                  <c:v>14.195068683533261</c:v>
                </c:pt>
                <c:pt idx="15">
                  <c:v>14.712306460487602</c:v>
                </c:pt>
                <c:pt idx="16">
                  <c:v>14.539198291215317</c:v>
                </c:pt>
                <c:pt idx="17">
                  <c:v>14.603412282627978</c:v>
                </c:pt>
                <c:pt idx="18">
                  <c:v>14.684098063438057</c:v>
                </c:pt>
                <c:pt idx="19">
                  <c:v>13.610128579248757</c:v>
                </c:pt>
                <c:pt idx="20">
                  <c:v>13.985752197970738</c:v>
                </c:pt>
                <c:pt idx="21">
                  <c:v>14.923722175297431</c:v>
                </c:pt>
                <c:pt idx="22">
                  <c:v>14.599033013509443</c:v>
                </c:pt>
                <c:pt idx="23">
                  <c:v>13.986866001964891</c:v>
                </c:pt>
                <c:pt idx="24">
                  <c:v>13.755017743560861</c:v>
                </c:pt>
                <c:pt idx="25">
                  <c:v>15.240496007636093</c:v>
                </c:pt>
                <c:pt idx="26">
                  <c:v>15.833867491675264</c:v>
                </c:pt>
                <c:pt idx="27">
                  <c:v>15.468910919692382</c:v>
                </c:pt>
                <c:pt idx="28">
                  <c:v>15.022342944883881</c:v>
                </c:pt>
                <c:pt idx="29">
                  <c:v>15.378115253378191</c:v>
                </c:pt>
                <c:pt idx="30">
                  <c:v>15.364351282393129</c:v>
                </c:pt>
                <c:pt idx="31">
                  <c:v>14.678045989515756</c:v>
                </c:pt>
                <c:pt idx="32">
                  <c:v>14.850669693958194</c:v>
                </c:pt>
                <c:pt idx="33">
                  <c:v>14.626130357561905</c:v>
                </c:pt>
                <c:pt idx="34">
                  <c:v>14.616357845203359</c:v>
                </c:pt>
                <c:pt idx="35">
                  <c:v>14.473150350597185</c:v>
                </c:pt>
                <c:pt idx="36">
                  <c:v>14.2985885626059</c:v>
                </c:pt>
                <c:pt idx="37">
                  <c:v>15.92501106234281</c:v>
                </c:pt>
                <c:pt idx="38">
                  <c:v>15.412499773097196</c:v>
                </c:pt>
                <c:pt idx="39">
                  <c:v>15.303981300889015</c:v>
                </c:pt>
                <c:pt idx="40">
                  <c:v>14.871058593600591</c:v>
                </c:pt>
                <c:pt idx="41">
                  <c:v>14.433468362941447</c:v>
                </c:pt>
                <c:pt idx="42">
                  <c:v>15.333098050795561</c:v>
                </c:pt>
                <c:pt idx="43">
                  <c:v>15.627778386446868</c:v>
                </c:pt>
                <c:pt idx="44">
                  <c:v>15.351317895872269</c:v>
                </c:pt>
                <c:pt idx="45">
                  <c:v>14.747460520797464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BE-4EE3-83E7-14AA37EB255E}"/>
            </c:ext>
          </c:extLst>
        </c:ser>
        <c:ser>
          <c:idx val="1"/>
          <c:order val="1"/>
          <c:xVal>
            <c:numRef>
              <c:f>[2]Alagnak!$B$68</c:f>
              <c:numCache>
                <c:formatCode>General</c:formatCode>
                <c:ptCount val="1"/>
                <c:pt idx="0">
                  <c:v>2025</c:v>
                </c:pt>
              </c:numCache>
            </c:numRef>
          </c:xVal>
          <c:yVal>
            <c:numRef>
              <c:f>[2]Alagnak!$D$68</c:f>
              <c:numCache>
                <c:formatCode>General</c:formatCode>
                <c:ptCount val="1"/>
                <c:pt idx="0">
                  <c:v>15.565834786171816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BE-4EE3-83E7-14AA37EB2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942272"/>
        <c:axId val="258330624"/>
      </c:scatterChart>
      <c:valAx>
        <c:axId val="257942272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58330624"/>
        <c:crosses val="autoZero"/>
        <c:crossBetween val="midCat"/>
      </c:valAx>
      <c:valAx>
        <c:axId val="258330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942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Alagnak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1.5887282578423676E-2"/>
                  <c:y val="0.33910834062408868"/>
                </c:manualLayout>
              </c:layout>
              <c:numFmt formatCode="General" sourceLinked="0"/>
            </c:trendlineLbl>
          </c:trendline>
          <c:xVal>
            <c:numRef>
              <c:f>[2]Alagnak!$B$21:$B$67</c:f>
              <c:numCache>
                <c:formatCode>General</c:formatCode>
                <c:ptCount val="47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  <c:pt idx="43">
                  <c:v>2021</c:v>
                </c:pt>
                <c:pt idx="44">
                  <c:v>2022</c:v>
                </c:pt>
                <c:pt idx="45">
                  <c:v>2023</c:v>
                </c:pt>
                <c:pt idx="46">
                  <c:v>2024</c:v>
                </c:pt>
              </c:numCache>
            </c:numRef>
          </c:xVal>
          <c:yVal>
            <c:numRef>
              <c:f>[2]Alagnak!$D$21:$D$67</c:f>
              <c:numCache>
                <c:formatCode>General</c:formatCode>
                <c:ptCount val="47"/>
                <c:pt idx="0">
                  <c:v>13.92050294537121</c:v>
                </c:pt>
                <c:pt idx="1">
                  <c:v>14.298052094995585</c:v>
                </c:pt>
                <c:pt idx="2">
                  <c:v>13.659629387718452</c:v>
                </c:pt>
                <c:pt idx="3">
                  <c:v>13.410897133320763</c:v>
                </c:pt>
                <c:pt idx="4">
                  <c:v>14.11233259836041</c:v>
                </c:pt>
                <c:pt idx="5">
                  <c:v>14.795555194995371</c:v>
                </c:pt>
                <c:pt idx="6">
                  <c:v>13.992190768913709</c:v>
                </c:pt>
                <c:pt idx="7">
                  <c:v>13.6454101483614</c:v>
                </c:pt>
                <c:pt idx="8">
                  <c:v>13.836233064003027</c:v>
                </c:pt>
                <c:pt idx="9">
                  <c:v>13.567994033066578</c:v>
                </c:pt>
                <c:pt idx="10">
                  <c:v>13.654325560148614</c:v>
                </c:pt>
                <c:pt idx="11">
                  <c:v>14.137137262238774</c:v>
                </c:pt>
                <c:pt idx="12">
                  <c:v>14.280140516116788</c:v>
                </c:pt>
                <c:pt idx="13">
                  <c:v>14.337071276456888</c:v>
                </c:pt>
                <c:pt idx="14">
                  <c:v>14.195068683533261</c:v>
                </c:pt>
                <c:pt idx="15">
                  <c:v>14.712306460487602</c:v>
                </c:pt>
                <c:pt idx="16">
                  <c:v>14.539198291215317</c:v>
                </c:pt>
                <c:pt idx="17">
                  <c:v>14.603412282627978</c:v>
                </c:pt>
                <c:pt idx="18">
                  <c:v>14.684098063438057</c:v>
                </c:pt>
                <c:pt idx="19">
                  <c:v>13.610128579248757</c:v>
                </c:pt>
                <c:pt idx="20">
                  <c:v>13.985752197970738</c:v>
                </c:pt>
                <c:pt idx="21">
                  <c:v>14.923722175297431</c:v>
                </c:pt>
                <c:pt idx="22">
                  <c:v>14.599033013509443</c:v>
                </c:pt>
                <c:pt idx="23">
                  <c:v>13.986866001964891</c:v>
                </c:pt>
                <c:pt idx="24">
                  <c:v>13.755017743560861</c:v>
                </c:pt>
                <c:pt idx="25">
                  <c:v>15.240496007636093</c:v>
                </c:pt>
                <c:pt idx="26">
                  <c:v>15.833867491675264</c:v>
                </c:pt>
                <c:pt idx="27">
                  <c:v>15.468910919692382</c:v>
                </c:pt>
                <c:pt idx="28">
                  <c:v>15.022342944883881</c:v>
                </c:pt>
                <c:pt idx="29">
                  <c:v>15.378115253378191</c:v>
                </c:pt>
                <c:pt idx="30">
                  <c:v>15.364351282393129</c:v>
                </c:pt>
                <c:pt idx="31">
                  <c:v>14.678045989515756</c:v>
                </c:pt>
                <c:pt idx="32">
                  <c:v>14.850669693958194</c:v>
                </c:pt>
                <c:pt idx="33">
                  <c:v>14.626130357561905</c:v>
                </c:pt>
                <c:pt idx="34">
                  <c:v>14.616357845203359</c:v>
                </c:pt>
                <c:pt idx="35">
                  <c:v>14.473150350597185</c:v>
                </c:pt>
                <c:pt idx="36">
                  <c:v>14.2985885626059</c:v>
                </c:pt>
                <c:pt idx="37">
                  <c:v>15.92501106234281</c:v>
                </c:pt>
                <c:pt idx="38">
                  <c:v>15.412499773097196</c:v>
                </c:pt>
                <c:pt idx="39">
                  <c:v>15.303981300889015</c:v>
                </c:pt>
                <c:pt idx="40">
                  <c:v>14.871058593600591</c:v>
                </c:pt>
                <c:pt idx="41">
                  <c:v>14.433468362941447</c:v>
                </c:pt>
                <c:pt idx="42">
                  <c:v>15.333098050795561</c:v>
                </c:pt>
                <c:pt idx="43">
                  <c:v>15.627778386446868</c:v>
                </c:pt>
                <c:pt idx="44">
                  <c:v>15.351317895872269</c:v>
                </c:pt>
                <c:pt idx="45">
                  <c:v>14.747460520797464</c:v>
                </c:pt>
                <c:pt idx="46">
                  <c:v>15.282332443765249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E8-4A0A-AD15-CCBE50CFE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942272"/>
        <c:axId val="258330624"/>
      </c:scatterChart>
      <c:valAx>
        <c:axId val="257942272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58330624"/>
        <c:crosses val="autoZero"/>
        <c:crossBetween val="midCat"/>
      </c:valAx>
      <c:valAx>
        <c:axId val="258330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942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Alagnak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1.5887282578423676E-2"/>
                  <c:y val="0.33910834062408868"/>
                </c:manualLayout>
              </c:layout>
              <c:numFmt formatCode="General" sourceLinked="0"/>
            </c:trendlineLbl>
          </c:trendline>
          <c:xVal>
            <c:numRef>
              <c:f>[2]Alagnak!$B$21:$B$67</c:f>
              <c:numCache>
                <c:formatCode>General</c:formatCode>
                <c:ptCount val="47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  <c:pt idx="43">
                  <c:v>2021</c:v>
                </c:pt>
                <c:pt idx="44">
                  <c:v>2022</c:v>
                </c:pt>
                <c:pt idx="45">
                  <c:v>2023</c:v>
                </c:pt>
                <c:pt idx="46">
                  <c:v>2024</c:v>
                </c:pt>
              </c:numCache>
            </c:numRef>
          </c:xVal>
          <c:yVal>
            <c:numRef>
              <c:f>[2]Alagnak!$E$21:$E$67</c:f>
              <c:numCache>
                <c:formatCode>General</c:formatCode>
                <c:ptCount val="47"/>
                <c:pt idx="0">
                  <c:v>1.5535224971613459</c:v>
                </c:pt>
                <c:pt idx="1">
                  <c:v>0.37754914962437525</c:v>
                </c:pt>
                <c:pt idx="2">
                  <c:v>-0.63842270727713313</c:v>
                </c:pt>
                <c:pt idx="3">
                  <c:v>-0.24873225439768909</c:v>
                </c:pt>
                <c:pt idx="4">
                  <c:v>0.70143546503964771</c:v>
                </c:pt>
                <c:pt idx="5">
                  <c:v>0.68322259663496077</c:v>
                </c:pt>
                <c:pt idx="6">
                  <c:v>-0.80336442608166259</c:v>
                </c:pt>
                <c:pt idx="7">
                  <c:v>-0.34678062055230896</c:v>
                </c:pt>
                <c:pt idx="8">
                  <c:v>0.19082291564162723</c:v>
                </c:pt>
                <c:pt idx="9">
                  <c:v>-0.2682390309364493</c:v>
                </c:pt>
                <c:pt idx="10">
                  <c:v>8.6331527082036175E-2</c:v>
                </c:pt>
                <c:pt idx="11">
                  <c:v>0.48281170209016011</c:v>
                </c:pt>
                <c:pt idx="12">
                  <c:v>0.14300325387801394</c:v>
                </c:pt>
                <c:pt idx="13">
                  <c:v>5.6930760340099695E-2</c:v>
                </c:pt>
                <c:pt idx="14">
                  <c:v>-0.14200259292362638</c:v>
                </c:pt>
                <c:pt idx="15">
                  <c:v>0.51723777695434059</c:v>
                </c:pt>
                <c:pt idx="16">
                  <c:v>-0.17310816927228423</c:v>
                </c:pt>
                <c:pt idx="17">
                  <c:v>6.4213991412660931E-2</c:v>
                </c:pt>
                <c:pt idx="18">
                  <c:v>8.0685780810078711E-2</c:v>
                </c:pt>
                <c:pt idx="19">
                  <c:v>-1.0739694841893002</c:v>
                </c:pt>
                <c:pt idx="20">
                  <c:v>0.37562361872198125</c:v>
                </c:pt>
                <c:pt idx="21">
                  <c:v>0.93796997732669318</c:v>
                </c:pt>
                <c:pt idx="22">
                  <c:v>-0.32468916178798857</c:v>
                </c:pt>
                <c:pt idx="23">
                  <c:v>-0.61216701154455144</c:v>
                </c:pt>
                <c:pt idx="24">
                  <c:v>-0.23184825840403001</c:v>
                </c:pt>
                <c:pt idx="25">
                  <c:v>1.4854782640752315</c:v>
                </c:pt>
                <c:pt idx="26">
                  <c:v>0.59337148403917084</c:v>
                </c:pt>
                <c:pt idx="27">
                  <c:v>-0.36495657198288178</c:v>
                </c:pt>
                <c:pt idx="28">
                  <c:v>-0.44656797480850052</c:v>
                </c:pt>
                <c:pt idx="29">
                  <c:v>0.35577230849430919</c:v>
                </c:pt>
                <c:pt idx="30">
                  <c:v>-1.3763970985062102E-2</c:v>
                </c:pt>
                <c:pt idx="31">
                  <c:v>-0.68630529287737296</c:v>
                </c:pt>
                <c:pt idx="32">
                  <c:v>0.17262370444243835</c:v>
                </c:pt>
                <c:pt idx="33">
                  <c:v>-0.22453933639628865</c:v>
                </c:pt>
                <c:pt idx="34">
                  <c:v>-9.7725123585465923E-3</c:v>
                </c:pt>
                <c:pt idx="35">
                  <c:v>-0.14320749460617321</c:v>
                </c:pt>
                <c:pt idx="36">
                  <c:v>-0.1745617879912853</c:v>
                </c:pt>
                <c:pt idx="37">
                  <c:v>1.6264224997369094</c:v>
                </c:pt>
                <c:pt idx="38">
                  <c:v>-0.51251128924561407</c:v>
                </c:pt>
                <c:pt idx="39">
                  <c:v>-0.10851847220818023</c:v>
                </c:pt>
                <c:pt idx="40">
                  <c:v>-0.43292270728842475</c:v>
                </c:pt>
                <c:pt idx="41">
                  <c:v>-0.43759023065914349</c:v>
                </c:pt>
                <c:pt idx="42">
                  <c:v>0.89962968785411412</c:v>
                </c:pt>
                <c:pt idx="43">
                  <c:v>0.29468033565130725</c:v>
                </c:pt>
                <c:pt idx="44">
                  <c:v>-0.27646049057459976</c:v>
                </c:pt>
                <c:pt idx="45">
                  <c:v>-0.60385737507480464</c:v>
                </c:pt>
                <c:pt idx="46">
                  <c:v>0.53487192296778474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54-4291-8915-EF18844DB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942272"/>
        <c:axId val="258330624"/>
      </c:scatterChart>
      <c:valAx>
        <c:axId val="257942272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58330624"/>
        <c:crosses val="autoZero"/>
        <c:crossBetween val="midCat"/>
      </c:valAx>
      <c:valAx>
        <c:axId val="258330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delta 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942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[2]Alagnak!$AK$17:$AK$73</c:f>
              <c:numCache>
                <c:formatCode>General</c:formatCode>
                <c:ptCount val="57"/>
                <c:pt idx="0">
                  <c:v>1771488.0674796803</c:v>
                </c:pt>
                <c:pt idx="1">
                  <c:v>1633085.8405814276</c:v>
                </c:pt>
                <c:pt idx="2">
                  <c:v>1646105.8943439575</c:v>
                </c:pt>
                <c:pt idx="3">
                  <c:v>1847747.020167243</c:v>
                </c:pt>
                <c:pt idx="4">
                  <c:v>1801929.6478116687</c:v>
                </c:pt>
                <c:pt idx="5">
                  <c:v>1720986.4668545625</c:v>
                </c:pt>
                <c:pt idx="6">
                  <c:v>1533222.7510112317</c:v>
                </c:pt>
                <c:pt idx="7">
                  <c:v>1612604.2531708842</c:v>
                </c:pt>
                <c:pt idx="8">
                  <c:v>1561726.5338337258</c:v>
                </c:pt>
                <c:pt idx="9">
                  <c:v>1604730.7521536169</c:v>
                </c:pt>
                <c:pt idx="10">
                  <c:v>1531819.4704780476</c:v>
                </c:pt>
                <c:pt idx="11">
                  <c:v>2280966.1646935879</c:v>
                </c:pt>
                <c:pt idx="12">
                  <c:v>1529375.4600384748</c:v>
                </c:pt>
                <c:pt idx="13">
                  <c:v>1531819.4839488892</c:v>
                </c:pt>
                <c:pt idx="14">
                  <c:v>1531819.4704783212</c:v>
                </c:pt>
                <c:pt idx="15">
                  <c:v>2114653.8056908138</c:v>
                </c:pt>
                <c:pt idx="16">
                  <c:v>2514363.6563666514</c:v>
                </c:pt>
                <c:pt idx="17">
                  <c:v>1530169.052842828</c:v>
                </c:pt>
                <c:pt idx="18">
                  <c:v>1712354.5574994008</c:v>
                </c:pt>
                <c:pt idx="19">
                  <c:v>1531819.47047806</c:v>
                </c:pt>
                <c:pt idx="20">
                  <c:v>1531819.4704780581</c:v>
                </c:pt>
                <c:pt idx="21">
                  <c:v>1950693.015907435</c:v>
                </c:pt>
                <c:pt idx="22">
                  <c:v>1621638.7910398312</c:v>
                </c:pt>
                <c:pt idx="23">
                  <c:v>1531819.4704781226</c:v>
                </c:pt>
                <c:pt idx="24">
                  <c:v>1531819.4704780534</c:v>
                </c:pt>
                <c:pt idx="25">
                  <c:v>1531819.4704780355</c:v>
                </c:pt>
                <c:pt idx="26">
                  <c:v>2270301.7914694524</c:v>
                </c:pt>
                <c:pt idx="27">
                  <c:v>1530730.4920796775</c:v>
                </c:pt>
                <c:pt idx="28">
                  <c:v>2582083.3865894401</c:v>
                </c:pt>
                <c:pt idx="29">
                  <c:v>1531819.4704780581</c:v>
                </c:pt>
                <c:pt idx="30">
                  <c:v>1533337.9345116224</c:v>
                </c:pt>
                <c:pt idx="31">
                  <c:v>1531462.2930048942</c:v>
                </c:pt>
                <c:pt idx="32">
                  <c:v>3636063.8212924758</c:v>
                </c:pt>
                <c:pt idx="33">
                  <c:v>1573719.4431502677</c:v>
                </c:pt>
                <c:pt idx="34">
                  <c:v>1533759.2568412747</c:v>
                </c:pt>
                <c:pt idx="35">
                  <c:v>1541959.6336418574</c:v>
                </c:pt>
                <c:pt idx="36">
                  <c:v>2363813.5570542491</c:v>
                </c:pt>
                <c:pt idx="37">
                  <c:v>7299165.959721338</c:v>
                </c:pt>
                <c:pt idx="38">
                  <c:v>1664480.0943697153</c:v>
                </c:pt>
                <c:pt idx="39">
                  <c:v>3372992.2055447553</c:v>
                </c:pt>
                <c:pt idx="40">
                  <c:v>4395778.4301523622</c:v>
                </c:pt>
                <c:pt idx="41">
                  <c:v>2424799.5794989816</c:v>
                </c:pt>
                <c:pt idx="42">
                  <c:v>2301275.4989482267</c:v>
                </c:pt>
                <c:pt idx="43">
                  <c:v>2223521.8042797148</c:v>
                </c:pt>
                <c:pt idx="44">
                  <c:v>2051002.9073125585</c:v>
                </c:pt>
                <c:pt idx="45">
                  <c:v>2057098.5760609575</c:v>
                </c:pt>
                <c:pt idx="46">
                  <c:v>2010061.5789507334</c:v>
                </c:pt>
                <c:pt idx="47">
                  <c:v>2294690.1997230495</c:v>
                </c:pt>
                <c:pt idx="48">
                  <c:v>4732162.3691501394</c:v>
                </c:pt>
                <c:pt idx="49">
                  <c:v>2696918.2257922855</c:v>
                </c:pt>
                <c:pt idx="50">
                  <c:v>4309374.463034465</c:v>
                </c:pt>
                <c:pt idx="51">
                  <c:v>3196329.7595694233</c:v>
                </c:pt>
                <c:pt idx="52">
                  <c:v>2808135.0958093824</c:v>
                </c:pt>
                <c:pt idx="53">
                  <c:v>3440637.930409431</c:v>
                </c:pt>
                <c:pt idx="54">
                  <c:v>3942652.6110163834</c:v>
                </c:pt>
                <c:pt idx="55">
                  <c:v>2679668.9401956615</c:v>
                </c:pt>
                <c:pt idx="56">
                  <c:v>2024008.5237318403</c:v>
                </c:pt>
              </c:numCache>
            </c:numRef>
          </c:xVal>
          <c:yVal>
            <c:numRef>
              <c:f>[2]Alagnak!$Y$17:$Y$73</c:f>
              <c:numCache>
                <c:formatCode>0</c:formatCode>
                <c:ptCount val="57"/>
                <c:pt idx="0">
                  <c:v>314033.55737485801</c:v>
                </c:pt>
                <c:pt idx="1">
                  <c:v>324288.95516926399</c:v>
                </c:pt>
                <c:pt idx="2">
                  <c:v>500779.51142110903</c:v>
                </c:pt>
                <c:pt idx="3">
                  <c:v>537293.52445327595</c:v>
                </c:pt>
                <c:pt idx="4">
                  <c:v>302589.30717202002</c:v>
                </c:pt>
                <c:pt idx="5">
                  <c:v>63552.969370713901</c:v>
                </c:pt>
                <c:pt idx="6">
                  <c:v>247579.730446879</c:v>
                </c:pt>
                <c:pt idx="7">
                  <c:v>112656.701619766</c:v>
                </c:pt>
                <c:pt idx="8">
                  <c:v>157449.67068392399</c:v>
                </c:pt>
                <c:pt idx="9">
                  <c:v>234915.33416411001</c:v>
                </c:pt>
                <c:pt idx="10">
                  <c:v>1110702.1544836799</c:v>
                </c:pt>
                <c:pt idx="11">
                  <c:v>1620186.93918502</c:v>
                </c:pt>
                <c:pt idx="12">
                  <c:v>855660.862369649</c:v>
                </c:pt>
                <c:pt idx="13">
                  <c:v>667234.69757733005</c:v>
                </c:pt>
                <c:pt idx="14">
                  <c:v>1345575.8198595301</c:v>
                </c:pt>
                <c:pt idx="15">
                  <c:v>2664575.17756896</c:v>
                </c:pt>
                <c:pt idx="16">
                  <c:v>1193249.44342189</c:v>
                </c:pt>
                <c:pt idx="17">
                  <c:v>843580.10872609494</c:v>
                </c:pt>
                <c:pt idx="18">
                  <c:v>1020938.7083222501</c:v>
                </c:pt>
                <c:pt idx="19">
                  <c:v>780737.31908047304</c:v>
                </c:pt>
                <c:pt idx="20">
                  <c:v>851134.59856892901</c:v>
                </c:pt>
                <c:pt idx="21">
                  <c:v>1379369.7665329501</c:v>
                </c:pt>
                <c:pt idx="22">
                  <c:v>1591425.18648978</c:v>
                </c:pt>
                <c:pt idx="23">
                  <c:v>1684654.8706050799</c:v>
                </c:pt>
                <c:pt idx="24">
                  <c:v>1461638.5858147</c:v>
                </c:pt>
                <c:pt idx="25">
                  <c:v>2451734.9146045898</c:v>
                </c:pt>
                <c:pt idx="26">
                  <c:v>2062023.39943197</c:v>
                </c:pt>
                <c:pt idx="27">
                  <c:v>2198777.94068358</c:v>
                </c:pt>
                <c:pt idx="28">
                  <c:v>2383541.7351381201</c:v>
                </c:pt>
                <c:pt idx="29">
                  <c:v>814336.19779917598</c:v>
                </c:pt>
                <c:pt idx="30">
                  <c:v>1185591.3031894399</c:v>
                </c:pt>
                <c:pt idx="31">
                  <c:v>3028936.64962732</c:v>
                </c:pt>
                <c:pt idx="32">
                  <c:v>2189169.9536476801</c:v>
                </c:pt>
                <c:pt idx="33">
                  <c:v>1186912.5549520601</c:v>
                </c:pt>
                <c:pt idx="34">
                  <c:v>941300.53276682703</c:v>
                </c:pt>
                <c:pt idx="35">
                  <c:v>4157797.3451392301</c:v>
                </c:pt>
                <c:pt idx="36">
                  <c:v>7525949.1367229596</c:v>
                </c:pt>
                <c:pt idx="37">
                  <c:v>5224715.57924587</c:v>
                </c:pt>
                <c:pt idx="38">
                  <c:v>3342878.9177765902</c:v>
                </c:pt>
                <c:pt idx="39">
                  <c:v>4771232.6823479496</c:v>
                </c:pt>
                <c:pt idx="40">
                  <c:v>4706011.4554488799</c:v>
                </c:pt>
                <c:pt idx="41">
                  <c:v>2369159.9284568802</c:v>
                </c:pt>
                <c:pt idx="42">
                  <c:v>2815554.2563738301</c:v>
                </c:pt>
                <c:pt idx="43">
                  <c:v>2249301.6714230999</c:v>
                </c:pt>
                <c:pt idx="44">
                  <c:v>2227427.3991779098</c:v>
                </c:pt>
                <c:pt idx="45">
                  <c:v>1930231.20777954</c:v>
                </c:pt>
                <c:pt idx="46">
                  <c:v>1621056.34954884</c:v>
                </c:pt>
                <c:pt idx="47">
                  <c:v>8244122.3534390004</c:v>
                </c:pt>
                <c:pt idx="48">
                  <c:v>4938142.3356476501</c:v>
                </c:pt>
                <c:pt idx="49">
                  <c:v>4430315.2449948899</c:v>
                </c:pt>
                <c:pt idx="50">
                  <c:v>2873549.5305123501</c:v>
                </c:pt>
                <c:pt idx="51">
                  <c:v>1855135.6227310901</c:v>
                </c:pt>
                <c:pt idx="52">
                  <c:v>4561207.9638651703</c:v>
                </c:pt>
                <c:pt idx="53">
                  <c:v>6124320.6042396696</c:v>
                </c:pt>
                <c:pt idx="54">
                  <c:v>4645074.1605213201</c:v>
                </c:pt>
                <c:pt idx="55">
                  <c:v>2539456.19806688</c:v>
                </c:pt>
                <c:pt idx="56">
                  <c:v>4335434.7163846698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E-4C22-BB45-0D3D4B137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71807"/>
        <c:axId val="49088607"/>
      </c:scatterChart>
      <c:valAx>
        <c:axId val="4907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88607"/>
        <c:crosses val="autoZero"/>
        <c:crossBetween val="midCat"/>
      </c:valAx>
      <c:valAx>
        <c:axId val="4908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[2]Alagnak!$AL$17:$AL$73</c:f>
              <c:numCache>
                <c:formatCode>General</c:formatCode>
                <c:ptCount val="57"/>
                <c:pt idx="0">
                  <c:v>366154.32107129833</c:v>
                </c:pt>
                <c:pt idx="1">
                  <c:v>185135.38357163232</c:v>
                </c:pt>
                <c:pt idx="2">
                  <c:v>286656.83781537053</c:v>
                </c:pt>
                <c:pt idx="3">
                  <c:v>509697.41020111443</c:v>
                </c:pt>
                <c:pt idx="4">
                  <c:v>424206.6415812209</c:v>
                </c:pt>
                <c:pt idx="5">
                  <c:v>347221.64314221975</c:v>
                </c:pt>
                <c:pt idx="6">
                  <c:v>2823.2797288561428</c:v>
                </c:pt>
                <c:pt idx="7">
                  <c:v>231969.43844091179</c:v>
                </c:pt>
                <c:pt idx="8">
                  <c:v>53850.540163720594</c:v>
                </c:pt>
                <c:pt idx="9">
                  <c:v>141175.01930862144</c:v>
                </c:pt>
                <c:pt idx="10">
                  <c:v>6.3094975440893247E-8</c:v>
                </c:pt>
                <c:pt idx="11">
                  <c:v>1491848.4369501173</c:v>
                </c:pt>
                <c:pt idx="12">
                  <c:v>1555758.7015041581</c:v>
                </c:pt>
                <c:pt idx="13">
                  <c:v>4.481586039822677E-2</c:v>
                </c:pt>
                <c:pt idx="14">
                  <c:v>2.353058179595958E-6</c:v>
                </c:pt>
                <c:pt idx="15">
                  <c:v>886450.86228560086</c:v>
                </c:pt>
                <c:pt idx="16">
                  <c:v>2010041.471005481</c:v>
                </c:pt>
                <c:pt idx="17">
                  <c:v>1050589.4555364279</c:v>
                </c:pt>
                <c:pt idx="18">
                  <c:v>545868.50874709699</c:v>
                </c:pt>
                <c:pt idx="19">
                  <c:v>6.8096824062451383E-8</c:v>
                </c:pt>
                <c:pt idx="20">
                  <c:v>7.2138603977474113E-8</c:v>
                </c:pt>
                <c:pt idx="21">
                  <c:v>637077.79912966315</c:v>
                </c:pt>
                <c:pt idx="22">
                  <c:v>136608.9973626438</c:v>
                </c:pt>
                <c:pt idx="23">
                  <c:v>1.5865177430524419E-7</c:v>
                </c:pt>
                <c:pt idx="24">
                  <c:v>1.7778824549235743E-7</c:v>
                </c:pt>
                <c:pt idx="25">
                  <c:v>2.691746583555957E-8</c:v>
                </c:pt>
                <c:pt idx="26">
                  <c:v>1741836.2064703859</c:v>
                </c:pt>
                <c:pt idx="27">
                  <c:v>693199.82908460731</c:v>
                </c:pt>
                <c:pt idx="28">
                  <c:v>1597379.0454959851</c:v>
                </c:pt>
                <c:pt idx="29">
                  <c:v>5.7270963472574672E-8</c:v>
                </c:pt>
                <c:pt idx="30">
                  <c:v>2309.4820342293287</c:v>
                </c:pt>
                <c:pt idx="31">
                  <c:v>227364.80701936921</c:v>
                </c:pt>
                <c:pt idx="32">
                  <c:v>3201523.1599711129</c:v>
                </c:pt>
                <c:pt idx="33">
                  <c:v>65660.020813630967</c:v>
                </c:pt>
                <c:pt idx="34">
                  <c:v>4119.1073983868082</c:v>
                </c:pt>
                <c:pt idx="35">
                  <c:v>101244.71347152487</c:v>
                </c:pt>
                <c:pt idx="36">
                  <c:v>1536261.2739030547</c:v>
                </c:pt>
                <c:pt idx="37">
                  <c:v>9421374.6417691763</c:v>
                </c:pt>
                <c:pt idx="38">
                  <c:v>236621.93519055378</c:v>
                </c:pt>
                <c:pt idx="39">
                  <c:v>2838011.3031508853</c:v>
                </c:pt>
                <c:pt idx="40">
                  <c:v>4424202.9678305779</c:v>
                </c:pt>
                <c:pt idx="41">
                  <c:v>1363571.0664464943</c:v>
                </c:pt>
                <c:pt idx="42">
                  <c:v>1280592.0682627482</c:v>
                </c:pt>
                <c:pt idx="43">
                  <c:v>1180249.8388724476</c:v>
                </c:pt>
                <c:pt idx="44">
                  <c:v>844722.05882110854</c:v>
                </c:pt>
                <c:pt idx="45">
                  <c:v>1283009.8104701622</c:v>
                </c:pt>
                <c:pt idx="46">
                  <c:v>817517.62997384381</c:v>
                </c:pt>
                <c:pt idx="47">
                  <c:v>1278540.5264564687</c:v>
                </c:pt>
                <c:pt idx="48">
                  <c:v>6677818.4474011036</c:v>
                </c:pt>
                <c:pt idx="49">
                  <c:v>2308199.354108206</c:v>
                </c:pt>
                <c:pt idx="50">
                  <c:v>4246898.0398011571</c:v>
                </c:pt>
                <c:pt idx="51">
                  <c:v>2534819.8404245451</c:v>
                </c:pt>
                <c:pt idx="52">
                  <c:v>1965519.8371879994</c:v>
                </c:pt>
                <c:pt idx="53">
                  <c:v>2923055.1935560252</c:v>
                </c:pt>
                <c:pt idx="54">
                  <c:v>4028002.897202237</c:v>
                </c:pt>
                <c:pt idx="55">
                  <c:v>2168886.8352148305</c:v>
                </c:pt>
                <c:pt idx="56">
                  <c:v>795573.84370873426</c:v>
                </c:pt>
              </c:numCache>
            </c:numRef>
          </c:xVal>
          <c:yVal>
            <c:numRef>
              <c:f>[2]Alagnak!$Y$17:$Y$73</c:f>
              <c:numCache>
                <c:formatCode>0</c:formatCode>
                <c:ptCount val="57"/>
                <c:pt idx="0">
                  <c:v>314033.55737485801</c:v>
                </c:pt>
                <c:pt idx="1">
                  <c:v>324288.95516926399</c:v>
                </c:pt>
                <c:pt idx="2">
                  <c:v>500779.51142110903</c:v>
                </c:pt>
                <c:pt idx="3">
                  <c:v>537293.52445327595</c:v>
                </c:pt>
                <c:pt idx="4">
                  <c:v>302589.30717202002</c:v>
                </c:pt>
                <c:pt idx="5">
                  <c:v>63552.969370713901</c:v>
                </c:pt>
                <c:pt idx="6">
                  <c:v>247579.730446879</c:v>
                </c:pt>
                <c:pt idx="7">
                  <c:v>112656.701619766</c:v>
                </c:pt>
                <c:pt idx="8">
                  <c:v>157449.67068392399</c:v>
                </c:pt>
                <c:pt idx="9">
                  <c:v>234915.33416411001</c:v>
                </c:pt>
                <c:pt idx="10">
                  <c:v>1110702.1544836799</c:v>
                </c:pt>
                <c:pt idx="11">
                  <c:v>1620186.93918502</c:v>
                </c:pt>
                <c:pt idx="12">
                  <c:v>855660.862369649</c:v>
                </c:pt>
                <c:pt idx="13">
                  <c:v>667234.69757733005</c:v>
                </c:pt>
                <c:pt idx="14">
                  <c:v>1345575.8198595301</c:v>
                </c:pt>
                <c:pt idx="15">
                  <c:v>2664575.17756896</c:v>
                </c:pt>
                <c:pt idx="16">
                  <c:v>1193249.44342189</c:v>
                </c:pt>
                <c:pt idx="17">
                  <c:v>843580.10872609494</c:v>
                </c:pt>
                <c:pt idx="18">
                  <c:v>1020938.7083222501</c:v>
                </c:pt>
                <c:pt idx="19">
                  <c:v>780737.31908047304</c:v>
                </c:pt>
                <c:pt idx="20">
                  <c:v>851134.59856892901</c:v>
                </c:pt>
                <c:pt idx="21">
                  <c:v>1379369.7665329501</c:v>
                </c:pt>
                <c:pt idx="22">
                  <c:v>1591425.18648978</c:v>
                </c:pt>
                <c:pt idx="23">
                  <c:v>1684654.8706050799</c:v>
                </c:pt>
                <c:pt idx="24">
                  <c:v>1461638.5858147</c:v>
                </c:pt>
                <c:pt idx="25">
                  <c:v>2451734.9146045898</c:v>
                </c:pt>
                <c:pt idx="26">
                  <c:v>2062023.39943197</c:v>
                </c:pt>
                <c:pt idx="27">
                  <c:v>2198777.94068358</c:v>
                </c:pt>
                <c:pt idx="28">
                  <c:v>2383541.7351381201</c:v>
                </c:pt>
                <c:pt idx="29">
                  <c:v>814336.19779917598</c:v>
                </c:pt>
                <c:pt idx="30">
                  <c:v>1185591.3031894399</c:v>
                </c:pt>
                <c:pt idx="31">
                  <c:v>3028936.64962732</c:v>
                </c:pt>
                <c:pt idx="32">
                  <c:v>2189169.9536476801</c:v>
                </c:pt>
                <c:pt idx="33">
                  <c:v>1186912.5549520601</c:v>
                </c:pt>
                <c:pt idx="34">
                  <c:v>941300.53276682703</c:v>
                </c:pt>
                <c:pt idx="35">
                  <c:v>4157797.3451392301</c:v>
                </c:pt>
                <c:pt idx="36">
                  <c:v>7525949.1367229596</c:v>
                </c:pt>
                <c:pt idx="37">
                  <c:v>5224715.57924587</c:v>
                </c:pt>
                <c:pt idx="38">
                  <c:v>3342878.9177765902</c:v>
                </c:pt>
                <c:pt idx="39">
                  <c:v>4771232.6823479496</c:v>
                </c:pt>
                <c:pt idx="40">
                  <c:v>4706011.4554488799</c:v>
                </c:pt>
                <c:pt idx="41">
                  <c:v>2369159.9284568802</c:v>
                </c:pt>
                <c:pt idx="42">
                  <c:v>2815554.2563738301</c:v>
                </c:pt>
                <c:pt idx="43">
                  <c:v>2249301.6714230999</c:v>
                </c:pt>
                <c:pt idx="44">
                  <c:v>2227427.3991779098</c:v>
                </c:pt>
                <c:pt idx="45">
                  <c:v>1930231.20777954</c:v>
                </c:pt>
                <c:pt idx="46">
                  <c:v>1621056.34954884</c:v>
                </c:pt>
                <c:pt idx="47">
                  <c:v>8244122.3534390004</c:v>
                </c:pt>
                <c:pt idx="48">
                  <c:v>4938142.3356476501</c:v>
                </c:pt>
                <c:pt idx="49">
                  <c:v>4430315.2449948899</c:v>
                </c:pt>
                <c:pt idx="50">
                  <c:v>2873549.5305123501</c:v>
                </c:pt>
                <c:pt idx="51">
                  <c:v>1855135.6227310901</c:v>
                </c:pt>
                <c:pt idx="52">
                  <c:v>4561207.9638651703</c:v>
                </c:pt>
                <c:pt idx="53">
                  <c:v>6124320.6042396696</c:v>
                </c:pt>
                <c:pt idx="54">
                  <c:v>4645074.1605213201</c:v>
                </c:pt>
                <c:pt idx="55">
                  <c:v>2539456.19806688</c:v>
                </c:pt>
                <c:pt idx="56">
                  <c:v>4335434.7163846698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A2-4757-A256-FC8AB7117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71807"/>
        <c:axId val="49088607"/>
      </c:scatterChart>
      <c:valAx>
        <c:axId val="4907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88607"/>
        <c:crosses val="autoZero"/>
        <c:crossBetween val="midCat"/>
      </c:valAx>
      <c:valAx>
        <c:axId val="4908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[2]Alagnak!$AL$17:$AL$73</c:f>
              <c:numCache>
                <c:formatCode>General</c:formatCode>
                <c:ptCount val="57"/>
                <c:pt idx="0">
                  <c:v>366154.32107129833</c:v>
                </c:pt>
                <c:pt idx="1">
                  <c:v>185135.38357163232</c:v>
                </c:pt>
                <c:pt idx="2">
                  <c:v>286656.83781537053</c:v>
                </c:pt>
                <c:pt idx="3">
                  <c:v>509697.41020111443</c:v>
                </c:pt>
                <c:pt idx="4">
                  <c:v>424206.6415812209</c:v>
                </c:pt>
                <c:pt idx="5">
                  <c:v>347221.64314221975</c:v>
                </c:pt>
                <c:pt idx="6">
                  <c:v>2823.2797288561428</c:v>
                </c:pt>
                <c:pt idx="7">
                  <c:v>231969.43844091179</c:v>
                </c:pt>
                <c:pt idx="8">
                  <c:v>53850.540163720594</c:v>
                </c:pt>
                <c:pt idx="9">
                  <c:v>141175.01930862144</c:v>
                </c:pt>
                <c:pt idx="10">
                  <c:v>6.3094975440893247E-8</c:v>
                </c:pt>
                <c:pt idx="11">
                  <c:v>1491848.4369501173</c:v>
                </c:pt>
                <c:pt idx="12">
                  <c:v>1555758.7015041581</c:v>
                </c:pt>
                <c:pt idx="13">
                  <c:v>4.481586039822677E-2</c:v>
                </c:pt>
                <c:pt idx="14">
                  <c:v>2.353058179595958E-6</c:v>
                </c:pt>
                <c:pt idx="15">
                  <c:v>886450.86228560086</c:v>
                </c:pt>
                <c:pt idx="16">
                  <c:v>2010041.471005481</c:v>
                </c:pt>
                <c:pt idx="17">
                  <c:v>1050589.4555364279</c:v>
                </c:pt>
                <c:pt idx="18">
                  <c:v>545868.50874709699</c:v>
                </c:pt>
                <c:pt idx="19">
                  <c:v>6.8096824062451383E-8</c:v>
                </c:pt>
                <c:pt idx="20">
                  <c:v>7.2138603977474113E-8</c:v>
                </c:pt>
                <c:pt idx="21">
                  <c:v>637077.79912966315</c:v>
                </c:pt>
                <c:pt idx="22">
                  <c:v>136608.9973626438</c:v>
                </c:pt>
                <c:pt idx="23">
                  <c:v>1.5865177430524419E-7</c:v>
                </c:pt>
                <c:pt idx="24">
                  <c:v>1.7778824549235743E-7</c:v>
                </c:pt>
                <c:pt idx="25">
                  <c:v>2.691746583555957E-8</c:v>
                </c:pt>
                <c:pt idx="26">
                  <c:v>1741836.2064703859</c:v>
                </c:pt>
                <c:pt idx="27">
                  <c:v>693199.82908460731</c:v>
                </c:pt>
                <c:pt idx="28">
                  <c:v>1597379.0454959851</c:v>
                </c:pt>
                <c:pt idx="29">
                  <c:v>5.7270963472574672E-8</c:v>
                </c:pt>
                <c:pt idx="30">
                  <c:v>2309.4820342293287</c:v>
                </c:pt>
                <c:pt idx="31">
                  <c:v>227364.80701936921</c:v>
                </c:pt>
                <c:pt idx="32">
                  <c:v>3201523.1599711129</c:v>
                </c:pt>
                <c:pt idx="33">
                  <c:v>65660.020813630967</c:v>
                </c:pt>
                <c:pt idx="34">
                  <c:v>4119.1073983868082</c:v>
                </c:pt>
                <c:pt idx="35">
                  <c:v>101244.71347152487</c:v>
                </c:pt>
                <c:pt idx="36">
                  <c:v>1536261.2739030547</c:v>
                </c:pt>
                <c:pt idx="37">
                  <c:v>9421374.6417691763</c:v>
                </c:pt>
                <c:pt idx="38">
                  <c:v>236621.93519055378</c:v>
                </c:pt>
                <c:pt idx="39">
                  <c:v>2838011.3031508853</c:v>
                </c:pt>
                <c:pt idx="40">
                  <c:v>4424202.9678305779</c:v>
                </c:pt>
                <c:pt idx="41">
                  <c:v>1363571.0664464943</c:v>
                </c:pt>
                <c:pt idx="42">
                  <c:v>1280592.0682627482</c:v>
                </c:pt>
                <c:pt idx="43">
                  <c:v>1180249.8388724476</c:v>
                </c:pt>
                <c:pt idx="44">
                  <c:v>844722.05882110854</c:v>
                </c:pt>
                <c:pt idx="45">
                  <c:v>1283009.8104701622</c:v>
                </c:pt>
                <c:pt idx="46">
                  <c:v>817517.62997384381</c:v>
                </c:pt>
                <c:pt idx="47">
                  <c:v>1278540.5264564687</c:v>
                </c:pt>
                <c:pt idx="48">
                  <c:v>6677818.4474011036</c:v>
                </c:pt>
                <c:pt idx="49">
                  <c:v>2308199.354108206</c:v>
                </c:pt>
                <c:pt idx="50">
                  <c:v>4246898.0398011571</c:v>
                </c:pt>
                <c:pt idx="51">
                  <c:v>2534819.8404245451</c:v>
                </c:pt>
                <c:pt idx="52">
                  <c:v>1965519.8371879994</c:v>
                </c:pt>
                <c:pt idx="53">
                  <c:v>2923055.1935560252</c:v>
                </c:pt>
                <c:pt idx="54">
                  <c:v>4028002.897202237</c:v>
                </c:pt>
                <c:pt idx="55">
                  <c:v>2168886.8352148305</c:v>
                </c:pt>
                <c:pt idx="56">
                  <c:v>795573.84370873426</c:v>
                </c:pt>
              </c:numCache>
            </c:numRef>
          </c:xVal>
          <c:yVal>
            <c:numRef>
              <c:f>[2]Alagnak!$Y$17:$Y$73</c:f>
              <c:numCache>
                <c:formatCode>0</c:formatCode>
                <c:ptCount val="57"/>
                <c:pt idx="0">
                  <c:v>314033.55737485801</c:v>
                </c:pt>
                <c:pt idx="1">
                  <c:v>324288.95516926399</c:v>
                </c:pt>
                <c:pt idx="2">
                  <c:v>500779.51142110903</c:v>
                </c:pt>
                <c:pt idx="3">
                  <c:v>537293.52445327595</c:v>
                </c:pt>
                <c:pt idx="4">
                  <c:v>302589.30717202002</c:v>
                </c:pt>
                <c:pt idx="5">
                  <c:v>63552.969370713901</c:v>
                </c:pt>
                <c:pt idx="6">
                  <c:v>247579.730446879</c:v>
                </c:pt>
                <c:pt idx="7">
                  <c:v>112656.701619766</c:v>
                </c:pt>
                <c:pt idx="8">
                  <c:v>157449.67068392399</c:v>
                </c:pt>
                <c:pt idx="9">
                  <c:v>234915.33416411001</c:v>
                </c:pt>
                <c:pt idx="10">
                  <c:v>1110702.1544836799</c:v>
                </c:pt>
                <c:pt idx="11">
                  <c:v>1620186.93918502</c:v>
                </c:pt>
                <c:pt idx="12">
                  <c:v>855660.862369649</c:v>
                </c:pt>
                <c:pt idx="13">
                  <c:v>667234.69757733005</c:v>
                </c:pt>
                <c:pt idx="14">
                  <c:v>1345575.8198595301</c:v>
                </c:pt>
                <c:pt idx="15">
                  <c:v>2664575.17756896</c:v>
                </c:pt>
                <c:pt idx="16">
                  <c:v>1193249.44342189</c:v>
                </c:pt>
                <c:pt idx="17">
                  <c:v>843580.10872609494</c:v>
                </c:pt>
                <c:pt idx="18">
                  <c:v>1020938.7083222501</c:v>
                </c:pt>
                <c:pt idx="19">
                  <c:v>780737.31908047304</c:v>
                </c:pt>
                <c:pt idx="20">
                  <c:v>851134.59856892901</c:v>
                </c:pt>
                <c:pt idx="21">
                  <c:v>1379369.7665329501</c:v>
                </c:pt>
                <c:pt idx="22">
                  <c:v>1591425.18648978</c:v>
                </c:pt>
                <c:pt idx="23">
                  <c:v>1684654.8706050799</c:v>
                </c:pt>
                <c:pt idx="24">
                  <c:v>1461638.5858147</c:v>
                </c:pt>
                <c:pt idx="25">
                  <c:v>2451734.9146045898</c:v>
                </c:pt>
                <c:pt idx="26">
                  <c:v>2062023.39943197</c:v>
                </c:pt>
                <c:pt idx="27">
                  <c:v>2198777.94068358</c:v>
                </c:pt>
                <c:pt idx="28">
                  <c:v>2383541.7351381201</c:v>
                </c:pt>
                <c:pt idx="29">
                  <c:v>814336.19779917598</c:v>
                </c:pt>
                <c:pt idx="30">
                  <c:v>1185591.3031894399</c:v>
                </c:pt>
                <c:pt idx="31">
                  <c:v>3028936.64962732</c:v>
                </c:pt>
                <c:pt idx="32">
                  <c:v>2189169.9536476801</c:v>
                </c:pt>
                <c:pt idx="33">
                  <c:v>1186912.5549520601</c:v>
                </c:pt>
                <c:pt idx="34">
                  <c:v>941300.53276682703</c:v>
                </c:pt>
                <c:pt idx="35">
                  <c:v>4157797.3451392301</c:v>
                </c:pt>
                <c:pt idx="36">
                  <c:v>7525949.1367229596</c:v>
                </c:pt>
                <c:pt idx="37">
                  <c:v>5224715.57924587</c:v>
                </c:pt>
                <c:pt idx="38">
                  <c:v>3342878.9177765902</c:v>
                </c:pt>
                <c:pt idx="39">
                  <c:v>4771232.6823479496</c:v>
                </c:pt>
                <c:pt idx="40">
                  <c:v>4706011.4554488799</c:v>
                </c:pt>
                <c:pt idx="41">
                  <c:v>2369159.9284568802</c:v>
                </c:pt>
                <c:pt idx="42">
                  <c:v>2815554.2563738301</c:v>
                </c:pt>
                <c:pt idx="43">
                  <c:v>2249301.6714230999</c:v>
                </c:pt>
                <c:pt idx="44">
                  <c:v>2227427.3991779098</c:v>
                </c:pt>
                <c:pt idx="45">
                  <c:v>1930231.20777954</c:v>
                </c:pt>
                <c:pt idx="46">
                  <c:v>1621056.34954884</c:v>
                </c:pt>
                <c:pt idx="47">
                  <c:v>8244122.3534390004</c:v>
                </c:pt>
                <c:pt idx="48">
                  <c:v>4938142.3356476501</c:v>
                </c:pt>
                <c:pt idx="49">
                  <c:v>4430315.2449948899</c:v>
                </c:pt>
                <c:pt idx="50">
                  <c:v>2873549.5305123501</c:v>
                </c:pt>
                <c:pt idx="51">
                  <c:v>1855135.6227310901</c:v>
                </c:pt>
                <c:pt idx="52">
                  <c:v>4561207.9638651703</c:v>
                </c:pt>
                <c:pt idx="53">
                  <c:v>6124320.6042396696</c:v>
                </c:pt>
                <c:pt idx="54">
                  <c:v>4645074.1605213201</c:v>
                </c:pt>
                <c:pt idx="55">
                  <c:v>2539456.19806688</c:v>
                </c:pt>
                <c:pt idx="56">
                  <c:v>4335434.7163846698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9-496C-A874-DF3C8B924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71807"/>
        <c:axId val="49088607"/>
      </c:scatterChart>
      <c:valAx>
        <c:axId val="49071807"/>
        <c:scaling>
          <c:logBase val="10"/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88607"/>
        <c:crosses val="autoZero"/>
        <c:crossBetween val="midCat"/>
      </c:valAx>
      <c:valAx>
        <c:axId val="49088607"/>
        <c:scaling>
          <c:logBase val="10"/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Alagnak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1.5887282578423676E-2"/>
                  <c:y val="0.33910834062408868"/>
                </c:manualLayout>
              </c:layout>
              <c:numFmt formatCode="General" sourceLinked="0"/>
            </c:trendlineLbl>
          </c:trendline>
          <c:xVal>
            <c:numRef>
              <c:f>[2]Alagnak!$B$21:$B$67</c:f>
              <c:numCache>
                <c:formatCode>General</c:formatCode>
                <c:ptCount val="47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  <c:pt idx="43">
                  <c:v>2021</c:v>
                </c:pt>
                <c:pt idx="44">
                  <c:v>2022</c:v>
                </c:pt>
                <c:pt idx="45">
                  <c:v>2023</c:v>
                </c:pt>
                <c:pt idx="46">
                  <c:v>2024</c:v>
                </c:pt>
              </c:numCache>
            </c:numRef>
          </c:xVal>
          <c:yVal>
            <c:numRef>
              <c:f>[2]Alagnak!$D$21:$D$67</c:f>
              <c:numCache>
                <c:formatCode>General</c:formatCode>
                <c:ptCount val="47"/>
                <c:pt idx="0">
                  <c:v>13.92050294537121</c:v>
                </c:pt>
                <c:pt idx="1">
                  <c:v>14.298052094995585</c:v>
                </c:pt>
                <c:pt idx="2">
                  <c:v>13.659629387718452</c:v>
                </c:pt>
                <c:pt idx="3">
                  <c:v>13.410897133320763</c:v>
                </c:pt>
                <c:pt idx="4">
                  <c:v>14.11233259836041</c:v>
                </c:pt>
                <c:pt idx="5">
                  <c:v>14.795555194995371</c:v>
                </c:pt>
                <c:pt idx="6">
                  <c:v>13.992190768913709</c:v>
                </c:pt>
                <c:pt idx="7">
                  <c:v>13.6454101483614</c:v>
                </c:pt>
                <c:pt idx="8">
                  <c:v>13.836233064003027</c:v>
                </c:pt>
                <c:pt idx="9">
                  <c:v>13.567994033066578</c:v>
                </c:pt>
                <c:pt idx="10">
                  <c:v>13.654325560148614</c:v>
                </c:pt>
                <c:pt idx="11">
                  <c:v>14.137137262238774</c:v>
                </c:pt>
                <c:pt idx="12">
                  <c:v>14.280140516116788</c:v>
                </c:pt>
                <c:pt idx="13">
                  <c:v>14.337071276456888</c:v>
                </c:pt>
                <c:pt idx="14">
                  <c:v>14.195068683533261</c:v>
                </c:pt>
                <c:pt idx="15">
                  <c:v>14.712306460487602</c:v>
                </c:pt>
                <c:pt idx="16">
                  <c:v>14.539198291215317</c:v>
                </c:pt>
                <c:pt idx="17">
                  <c:v>14.603412282627978</c:v>
                </c:pt>
                <c:pt idx="18">
                  <c:v>14.684098063438057</c:v>
                </c:pt>
                <c:pt idx="19">
                  <c:v>13.610128579248757</c:v>
                </c:pt>
                <c:pt idx="20">
                  <c:v>13.985752197970738</c:v>
                </c:pt>
                <c:pt idx="21">
                  <c:v>14.923722175297431</c:v>
                </c:pt>
                <c:pt idx="22">
                  <c:v>14.599033013509443</c:v>
                </c:pt>
                <c:pt idx="23">
                  <c:v>13.986866001964891</c:v>
                </c:pt>
                <c:pt idx="24">
                  <c:v>13.755017743560861</c:v>
                </c:pt>
                <c:pt idx="25">
                  <c:v>15.240496007636093</c:v>
                </c:pt>
                <c:pt idx="26">
                  <c:v>15.833867491675264</c:v>
                </c:pt>
                <c:pt idx="27">
                  <c:v>15.468910919692382</c:v>
                </c:pt>
                <c:pt idx="28">
                  <c:v>15.022342944883881</c:v>
                </c:pt>
                <c:pt idx="29">
                  <c:v>15.378115253378191</c:v>
                </c:pt>
                <c:pt idx="30">
                  <c:v>15.364351282393129</c:v>
                </c:pt>
                <c:pt idx="31">
                  <c:v>14.678045989515756</c:v>
                </c:pt>
                <c:pt idx="32">
                  <c:v>14.850669693958194</c:v>
                </c:pt>
                <c:pt idx="33">
                  <c:v>14.626130357561905</c:v>
                </c:pt>
                <c:pt idx="34">
                  <c:v>14.616357845203359</c:v>
                </c:pt>
                <c:pt idx="35">
                  <c:v>14.473150350597185</c:v>
                </c:pt>
                <c:pt idx="36">
                  <c:v>14.2985885626059</c:v>
                </c:pt>
                <c:pt idx="37">
                  <c:v>15.92501106234281</c:v>
                </c:pt>
                <c:pt idx="38">
                  <c:v>15.412499773097196</c:v>
                </c:pt>
                <c:pt idx="39">
                  <c:v>15.303981300889015</c:v>
                </c:pt>
                <c:pt idx="40">
                  <c:v>14.871058593600591</c:v>
                </c:pt>
                <c:pt idx="41">
                  <c:v>14.433468362941447</c:v>
                </c:pt>
                <c:pt idx="42">
                  <c:v>15.333098050795561</c:v>
                </c:pt>
                <c:pt idx="43">
                  <c:v>15.627778386446868</c:v>
                </c:pt>
                <c:pt idx="44">
                  <c:v>15.351317895872269</c:v>
                </c:pt>
                <c:pt idx="45">
                  <c:v>14.747460520797464</c:v>
                </c:pt>
                <c:pt idx="46">
                  <c:v>15.282332443765249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A9-4AAB-9F21-9A698FD65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942272"/>
        <c:axId val="258330624"/>
      </c:scatterChart>
      <c:valAx>
        <c:axId val="257942272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58330624"/>
        <c:crosses val="autoZero"/>
        <c:crossBetween val="midCat"/>
      </c:valAx>
      <c:valAx>
        <c:axId val="258330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942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28477690288713"/>
          <c:y val="5.3788976377952755E-2"/>
          <c:w val="0.79899300087489067"/>
          <c:h val="0.83969973753280835"/>
        </c:manualLayout>
      </c:layout>
      <c:scatterChart>
        <c:scatterStyle val="lineMarker"/>
        <c:varyColors val="0"/>
        <c:ser>
          <c:idx val="0"/>
          <c:order val="0"/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00-220F-4B7A-84F9-70FC5F43CC0F}"/>
              </c:ext>
            </c:extLst>
          </c:dPt>
          <c:xVal>
            <c:numRef>
              <c:f>[2]Alagnak!$B$6:$B$67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[2]Alagnak!$C$6:$C$67</c:f>
              <c:numCache>
                <c:formatCode>General</c:formatCode>
                <c:ptCount val="62"/>
                <c:pt idx="0">
                  <c:v>378138.28100000002</c:v>
                </c:pt>
                <c:pt idx="1">
                  <c:v>759383.0503</c:v>
                </c:pt>
                <c:pt idx="2">
                  <c:v>397860.60820000002</c:v>
                </c:pt>
                <c:pt idx="3">
                  <c:v>394077.15909999999</c:v>
                </c:pt>
                <c:pt idx="4">
                  <c:v>344305.58559999999</c:v>
                </c:pt>
                <c:pt idx="5">
                  <c:v>314033.55739999999</c:v>
                </c:pt>
                <c:pt idx="6">
                  <c:v>324288.95520000003</c:v>
                </c:pt>
                <c:pt idx="7">
                  <c:v>500779.51150000002</c:v>
                </c:pt>
                <c:pt idx="8">
                  <c:v>537293.52439999999</c:v>
                </c:pt>
                <c:pt idx="9">
                  <c:v>302589.30719999998</c:v>
                </c:pt>
                <c:pt idx="10">
                  <c:v>63552.969369999999</c:v>
                </c:pt>
                <c:pt idx="11">
                  <c:v>247579.7304</c:v>
                </c:pt>
                <c:pt idx="12">
                  <c:v>112656.7016</c:v>
                </c:pt>
                <c:pt idx="13">
                  <c:v>157449.67069999999</c:v>
                </c:pt>
                <c:pt idx="14">
                  <c:v>234915.33420000001</c:v>
                </c:pt>
                <c:pt idx="15">
                  <c:v>1110702.155</c:v>
                </c:pt>
                <c:pt idx="16">
                  <c:v>1620186.939</c:v>
                </c:pt>
                <c:pt idx="17">
                  <c:v>855660.86230000004</c:v>
                </c:pt>
                <c:pt idx="18">
                  <c:v>667234.69750000001</c:v>
                </c:pt>
                <c:pt idx="19">
                  <c:v>1345575.82</c:v>
                </c:pt>
                <c:pt idx="20">
                  <c:v>2664575.1779999998</c:v>
                </c:pt>
                <c:pt idx="21">
                  <c:v>1193249.4439999999</c:v>
                </c:pt>
                <c:pt idx="22">
                  <c:v>843580.10880000005</c:v>
                </c:pt>
                <c:pt idx="23">
                  <c:v>1020938.708</c:v>
                </c:pt>
                <c:pt idx="24">
                  <c:v>780737.31909999996</c:v>
                </c:pt>
                <c:pt idx="25">
                  <c:v>851134.59849999996</c:v>
                </c:pt>
                <c:pt idx="26">
                  <c:v>1379369.767</c:v>
                </c:pt>
                <c:pt idx="27">
                  <c:v>1591425.186</c:v>
                </c:pt>
                <c:pt idx="28">
                  <c:v>1684654.871</c:v>
                </c:pt>
                <c:pt idx="29">
                  <c:v>1461638.5859999999</c:v>
                </c:pt>
                <c:pt idx="30">
                  <c:v>2451734.915</c:v>
                </c:pt>
                <c:pt idx="31">
                  <c:v>2062023.399</c:v>
                </c:pt>
                <c:pt idx="32">
                  <c:v>2198777.9410000001</c:v>
                </c:pt>
                <c:pt idx="33">
                  <c:v>2383541.7349999999</c:v>
                </c:pt>
                <c:pt idx="34">
                  <c:v>814336.19790000003</c:v>
                </c:pt>
                <c:pt idx="35">
                  <c:v>1185591.3030000001</c:v>
                </c:pt>
                <c:pt idx="36">
                  <c:v>3028936.65</c:v>
                </c:pt>
                <c:pt idx="37">
                  <c:v>2189169.9539999999</c:v>
                </c:pt>
                <c:pt idx="38">
                  <c:v>1186912.5549999999</c:v>
                </c:pt>
                <c:pt idx="39">
                  <c:v>941300.53280000004</c:v>
                </c:pt>
                <c:pt idx="40">
                  <c:v>4157797.3450000002</c:v>
                </c:pt>
                <c:pt idx="41">
                  <c:v>7525949.1359999999</c:v>
                </c:pt>
                <c:pt idx="42">
                  <c:v>5224715.5789999999</c:v>
                </c:pt>
                <c:pt idx="43">
                  <c:v>3342878.9169999999</c:v>
                </c:pt>
                <c:pt idx="44">
                  <c:v>4771232.682</c:v>
                </c:pt>
                <c:pt idx="45">
                  <c:v>4706011.4550000001</c:v>
                </c:pt>
                <c:pt idx="46">
                  <c:v>2369159.9279999998</c:v>
                </c:pt>
                <c:pt idx="47">
                  <c:v>2815554.2560000001</c:v>
                </c:pt>
                <c:pt idx="48">
                  <c:v>2249301.6710000001</c:v>
                </c:pt>
                <c:pt idx="49">
                  <c:v>2227427.4</c:v>
                </c:pt>
                <c:pt idx="50">
                  <c:v>1930231.2080000001</c:v>
                </c:pt>
                <c:pt idx="51">
                  <c:v>1621056.35</c:v>
                </c:pt>
                <c:pt idx="52">
                  <c:v>8244122.3530000001</c:v>
                </c:pt>
                <c:pt idx="53">
                  <c:v>4938142.3360000001</c:v>
                </c:pt>
                <c:pt idx="54">
                  <c:v>4430315.2450000001</c:v>
                </c:pt>
                <c:pt idx="55">
                  <c:v>2873549.53</c:v>
                </c:pt>
                <c:pt idx="56">
                  <c:v>1855135.622</c:v>
                </c:pt>
                <c:pt idx="57">
                  <c:v>4561207.9639999997</c:v>
                </c:pt>
                <c:pt idx="58">
                  <c:v>6124320.6040000003</c:v>
                </c:pt>
                <c:pt idx="59">
                  <c:v>4645074.1610000003</c:v>
                </c:pt>
                <c:pt idx="60">
                  <c:v>2539456.1979999999</c:v>
                </c:pt>
                <c:pt idx="61">
                  <c:v>4335434.7163846698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0F-4B7A-84F9-70FC5F43CC0F}"/>
            </c:ext>
          </c:extLst>
        </c:ser>
        <c:ser>
          <c:idx val="1"/>
          <c:order val="1"/>
          <c:xVal>
            <c:numRef>
              <c:f>[2]Alagnak!$B$68</c:f>
              <c:numCache>
                <c:formatCode>General</c:formatCode>
                <c:ptCount val="1"/>
                <c:pt idx="0">
                  <c:v>2025</c:v>
                </c:pt>
              </c:numCache>
            </c:numRef>
          </c:xVal>
          <c:yVal>
            <c:numRef>
              <c:f>[2]Alagnak!$C$68</c:f>
              <c:numCache>
                <c:formatCode>General</c:formatCode>
                <c:ptCount val="1"/>
                <c:pt idx="0">
                  <c:v>5756468.7830224112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0F-4B7A-84F9-70FC5F43C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557440"/>
        <c:axId val="234596992"/>
      </c:scatterChart>
      <c:valAx>
        <c:axId val="234557440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34596992"/>
        <c:crosses val="autoZero"/>
        <c:crossBetween val="midCat"/>
      </c:valAx>
      <c:valAx>
        <c:axId val="234596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45574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[3]Alagnak!$B$6:$B$67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[3]Alagnak!$C$6:$C$67</c:f>
              <c:numCache>
                <c:formatCode>General</c:formatCode>
                <c:ptCount val="62"/>
                <c:pt idx="0">
                  <c:v>378138.28100000002</c:v>
                </c:pt>
                <c:pt idx="1">
                  <c:v>759383.0503</c:v>
                </c:pt>
                <c:pt idx="2">
                  <c:v>397860.60820000002</c:v>
                </c:pt>
                <c:pt idx="3">
                  <c:v>394077.15909999999</c:v>
                </c:pt>
                <c:pt idx="4">
                  <c:v>344305.58559999999</c:v>
                </c:pt>
                <c:pt idx="5">
                  <c:v>314033.55739999999</c:v>
                </c:pt>
                <c:pt idx="6">
                  <c:v>324288.95520000003</c:v>
                </c:pt>
                <c:pt idx="7">
                  <c:v>500779.51150000002</c:v>
                </c:pt>
                <c:pt idx="8">
                  <c:v>537293.52439999999</c:v>
                </c:pt>
                <c:pt idx="9">
                  <c:v>302589.30719999998</c:v>
                </c:pt>
                <c:pt idx="10">
                  <c:v>63552.969369999999</c:v>
                </c:pt>
                <c:pt idx="11">
                  <c:v>247579.7304</c:v>
                </c:pt>
                <c:pt idx="12">
                  <c:v>112656.7016</c:v>
                </c:pt>
                <c:pt idx="13">
                  <c:v>157449.67069999999</c:v>
                </c:pt>
                <c:pt idx="14">
                  <c:v>234915.33420000001</c:v>
                </c:pt>
                <c:pt idx="15">
                  <c:v>1110702.155</c:v>
                </c:pt>
                <c:pt idx="16">
                  <c:v>1620186.939</c:v>
                </c:pt>
                <c:pt idx="17">
                  <c:v>855660.86230000004</c:v>
                </c:pt>
                <c:pt idx="18">
                  <c:v>667234.69750000001</c:v>
                </c:pt>
                <c:pt idx="19">
                  <c:v>1345575.82</c:v>
                </c:pt>
                <c:pt idx="20">
                  <c:v>2664575.1779999998</c:v>
                </c:pt>
                <c:pt idx="21">
                  <c:v>1193249.4439999999</c:v>
                </c:pt>
                <c:pt idx="22">
                  <c:v>843580.10880000005</c:v>
                </c:pt>
                <c:pt idx="23">
                  <c:v>1020938.708</c:v>
                </c:pt>
                <c:pt idx="24">
                  <c:v>780737.31909999996</c:v>
                </c:pt>
                <c:pt idx="25">
                  <c:v>851134.59849999996</c:v>
                </c:pt>
                <c:pt idx="26">
                  <c:v>1379369.767</c:v>
                </c:pt>
                <c:pt idx="27">
                  <c:v>1591425.186</c:v>
                </c:pt>
                <c:pt idx="28">
                  <c:v>1684654.871</c:v>
                </c:pt>
                <c:pt idx="29">
                  <c:v>1461638.5859999999</c:v>
                </c:pt>
                <c:pt idx="30">
                  <c:v>2451734.915</c:v>
                </c:pt>
                <c:pt idx="31">
                  <c:v>2062023.399</c:v>
                </c:pt>
                <c:pt idx="32">
                  <c:v>2198777.9410000001</c:v>
                </c:pt>
                <c:pt idx="33">
                  <c:v>2383541.7349999999</c:v>
                </c:pt>
                <c:pt idx="34">
                  <c:v>814336.19790000003</c:v>
                </c:pt>
                <c:pt idx="35">
                  <c:v>1185591.3030000001</c:v>
                </c:pt>
                <c:pt idx="36">
                  <c:v>3028936.65</c:v>
                </c:pt>
                <c:pt idx="37">
                  <c:v>2189169.9539999999</c:v>
                </c:pt>
                <c:pt idx="38">
                  <c:v>1186912.5549999999</c:v>
                </c:pt>
                <c:pt idx="39">
                  <c:v>941300.53280000004</c:v>
                </c:pt>
                <c:pt idx="40">
                  <c:v>4157797.3450000002</c:v>
                </c:pt>
                <c:pt idx="41">
                  <c:v>7525949.1359999999</c:v>
                </c:pt>
                <c:pt idx="42">
                  <c:v>5224715.5789999999</c:v>
                </c:pt>
                <c:pt idx="43">
                  <c:v>3342878.9169999999</c:v>
                </c:pt>
                <c:pt idx="44">
                  <c:v>4771232.682</c:v>
                </c:pt>
                <c:pt idx="45">
                  <c:v>4706011.4550000001</c:v>
                </c:pt>
                <c:pt idx="46">
                  <c:v>2369159.9279999998</c:v>
                </c:pt>
                <c:pt idx="47">
                  <c:v>2815554.2560000001</c:v>
                </c:pt>
                <c:pt idx="48">
                  <c:v>2249301.6710000001</c:v>
                </c:pt>
                <c:pt idx="49">
                  <c:v>2227427.4</c:v>
                </c:pt>
                <c:pt idx="50">
                  <c:v>1930231.2080000001</c:v>
                </c:pt>
                <c:pt idx="51">
                  <c:v>1621056.35</c:v>
                </c:pt>
                <c:pt idx="52">
                  <c:v>8244122.3530000001</c:v>
                </c:pt>
                <c:pt idx="53">
                  <c:v>4938142.3360000001</c:v>
                </c:pt>
                <c:pt idx="54">
                  <c:v>4430315.2450000001</c:v>
                </c:pt>
                <c:pt idx="55">
                  <c:v>2873549.53</c:v>
                </c:pt>
                <c:pt idx="56">
                  <c:v>1855135.622</c:v>
                </c:pt>
                <c:pt idx="57">
                  <c:v>4561207.9639999997</c:v>
                </c:pt>
                <c:pt idx="58">
                  <c:v>6124320.6040000003</c:v>
                </c:pt>
                <c:pt idx="59">
                  <c:v>4645074.1610000003</c:v>
                </c:pt>
                <c:pt idx="60">
                  <c:v>2539456.1979999999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E-41A2-A335-1812D09DF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45888"/>
        <c:axId val="257880448"/>
      </c:scatterChart>
      <c:valAx>
        <c:axId val="257845888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57880448"/>
        <c:crosses val="autoZero"/>
        <c:crossBetween val="midCat"/>
      </c:valAx>
      <c:valAx>
        <c:axId val="257880448"/>
        <c:scaling>
          <c:logBase val="10"/>
          <c:orientation val="minMax"/>
          <c:min val="1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78458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Alagnak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1.5887282578423676E-2"/>
                  <c:y val="0.33910834062408868"/>
                </c:manualLayout>
              </c:layout>
              <c:numFmt formatCode="General" sourceLinked="0"/>
            </c:trendlineLbl>
          </c:trendline>
          <c:xVal>
            <c:numRef>
              <c:f>[3]Alagnak!$B$21:$B$67</c:f>
              <c:numCache>
                <c:formatCode>General</c:formatCode>
                <c:ptCount val="47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  <c:pt idx="43">
                  <c:v>2021</c:v>
                </c:pt>
                <c:pt idx="44">
                  <c:v>2022</c:v>
                </c:pt>
                <c:pt idx="45">
                  <c:v>2023</c:v>
                </c:pt>
                <c:pt idx="46">
                  <c:v>2024</c:v>
                </c:pt>
              </c:numCache>
            </c:numRef>
          </c:xVal>
          <c:yVal>
            <c:numRef>
              <c:f>[3]Alagnak!$D$21:$D$67</c:f>
              <c:numCache>
                <c:formatCode>General</c:formatCode>
                <c:ptCount val="47"/>
                <c:pt idx="0">
                  <c:v>13.92050294537121</c:v>
                </c:pt>
                <c:pt idx="1">
                  <c:v>14.298052094995585</c:v>
                </c:pt>
                <c:pt idx="2">
                  <c:v>13.659629387718452</c:v>
                </c:pt>
                <c:pt idx="3">
                  <c:v>13.410897133320763</c:v>
                </c:pt>
                <c:pt idx="4">
                  <c:v>14.11233259836041</c:v>
                </c:pt>
                <c:pt idx="5">
                  <c:v>14.795555194995371</c:v>
                </c:pt>
                <c:pt idx="6">
                  <c:v>13.992190768913709</c:v>
                </c:pt>
                <c:pt idx="7">
                  <c:v>13.6454101483614</c:v>
                </c:pt>
                <c:pt idx="8">
                  <c:v>13.836233064003027</c:v>
                </c:pt>
                <c:pt idx="9">
                  <c:v>13.567994033066578</c:v>
                </c:pt>
                <c:pt idx="10">
                  <c:v>13.654325560148614</c:v>
                </c:pt>
                <c:pt idx="11">
                  <c:v>14.137137262238774</c:v>
                </c:pt>
                <c:pt idx="12">
                  <c:v>14.280140516116788</c:v>
                </c:pt>
                <c:pt idx="13">
                  <c:v>14.337071276456888</c:v>
                </c:pt>
                <c:pt idx="14">
                  <c:v>14.195068683533261</c:v>
                </c:pt>
                <c:pt idx="15">
                  <c:v>14.712306460487602</c:v>
                </c:pt>
                <c:pt idx="16">
                  <c:v>14.539198291215317</c:v>
                </c:pt>
                <c:pt idx="17">
                  <c:v>14.603412282627978</c:v>
                </c:pt>
                <c:pt idx="18">
                  <c:v>14.684098063438057</c:v>
                </c:pt>
                <c:pt idx="19">
                  <c:v>13.610128579248757</c:v>
                </c:pt>
                <c:pt idx="20">
                  <c:v>13.985752197970738</c:v>
                </c:pt>
                <c:pt idx="21">
                  <c:v>14.923722175297431</c:v>
                </c:pt>
                <c:pt idx="22">
                  <c:v>14.599033013509443</c:v>
                </c:pt>
                <c:pt idx="23">
                  <c:v>13.986866001964891</c:v>
                </c:pt>
                <c:pt idx="24">
                  <c:v>13.755017743560861</c:v>
                </c:pt>
                <c:pt idx="25">
                  <c:v>15.240496007636093</c:v>
                </c:pt>
                <c:pt idx="26">
                  <c:v>15.833867491675264</c:v>
                </c:pt>
                <c:pt idx="27">
                  <c:v>15.468910919692382</c:v>
                </c:pt>
                <c:pt idx="28">
                  <c:v>15.022342944883881</c:v>
                </c:pt>
                <c:pt idx="29">
                  <c:v>15.378115253378191</c:v>
                </c:pt>
                <c:pt idx="30">
                  <c:v>15.364351282393129</c:v>
                </c:pt>
                <c:pt idx="31">
                  <c:v>14.678045989515756</c:v>
                </c:pt>
                <c:pt idx="32">
                  <c:v>14.850669693958194</c:v>
                </c:pt>
                <c:pt idx="33">
                  <c:v>14.626130357561905</c:v>
                </c:pt>
                <c:pt idx="34">
                  <c:v>14.616357845203359</c:v>
                </c:pt>
                <c:pt idx="35">
                  <c:v>14.473150350597185</c:v>
                </c:pt>
                <c:pt idx="36">
                  <c:v>14.2985885626059</c:v>
                </c:pt>
                <c:pt idx="37">
                  <c:v>15.92501106234281</c:v>
                </c:pt>
                <c:pt idx="38">
                  <c:v>15.412499773097196</c:v>
                </c:pt>
                <c:pt idx="39">
                  <c:v>15.303981300889015</c:v>
                </c:pt>
                <c:pt idx="40">
                  <c:v>14.871058593600591</c:v>
                </c:pt>
                <c:pt idx="41">
                  <c:v>14.433468362941447</c:v>
                </c:pt>
                <c:pt idx="42">
                  <c:v>15.333098050795561</c:v>
                </c:pt>
                <c:pt idx="43">
                  <c:v>15.627778386446868</c:v>
                </c:pt>
                <c:pt idx="44">
                  <c:v>15.351317895872269</c:v>
                </c:pt>
                <c:pt idx="45">
                  <c:v>14.747460520797464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48-4F60-A6FE-124CC537D360}"/>
            </c:ext>
          </c:extLst>
        </c:ser>
        <c:ser>
          <c:idx val="1"/>
          <c:order val="1"/>
          <c:xVal>
            <c:numRef>
              <c:f>[2]Alagnak!$B$68</c:f>
              <c:numCache>
                <c:formatCode>General</c:formatCode>
                <c:ptCount val="1"/>
                <c:pt idx="0">
                  <c:v>2025</c:v>
                </c:pt>
              </c:numCache>
            </c:numRef>
          </c:xVal>
          <c:yVal>
            <c:numRef>
              <c:f>[2]Alagnak!$D$68</c:f>
              <c:numCache>
                <c:formatCode>General</c:formatCode>
                <c:ptCount val="1"/>
                <c:pt idx="0">
                  <c:v>15.565834786171816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48-4F60-A6FE-124CC537D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942272"/>
        <c:axId val="258330624"/>
      </c:scatterChart>
      <c:valAx>
        <c:axId val="257942272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58330624"/>
        <c:crosses val="autoZero"/>
        <c:crossBetween val="midCat"/>
      </c:valAx>
      <c:valAx>
        <c:axId val="258330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942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Alagnak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1.5887282578423676E-2"/>
                  <c:y val="0.33910834062408868"/>
                </c:manualLayout>
              </c:layout>
              <c:numFmt formatCode="General" sourceLinked="0"/>
            </c:trendlineLbl>
          </c:trendline>
          <c:xVal>
            <c:numRef>
              <c:f>[2]Alagnak!$B$21:$B$67</c:f>
              <c:numCache>
                <c:formatCode>General</c:formatCode>
                <c:ptCount val="47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  <c:pt idx="43">
                  <c:v>2021</c:v>
                </c:pt>
                <c:pt idx="44">
                  <c:v>2022</c:v>
                </c:pt>
                <c:pt idx="45">
                  <c:v>2023</c:v>
                </c:pt>
                <c:pt idx="46">
                  <c:v>2024</c:v>
                </c:pt>
              </c:numCache>
            </c:numRef>
          </c:xVal>
          <c:yVal>
            <c:numRef>
              <c:f>[2]Alagnak!$D$21:$D$67</c:f>
              <c:numCache>
                <c:formatCode>General</c:formatCode>
                <c:ptCount val="47"/>
                <c:pt idx="0">
                  <c:v>13.92050294537121</c:v>
                </c:pt>
                <c:pt idx="1">
                  <c:v>14.298052094995585</c:v>
                </c:pt>
                <c:pt idx="2">
                  <c:v>13.659629387718452</c:v>
                </c:pt>
                <c:pt idx="3">
                  <c:v>13.410897133320763</c:v>
                </c:pt>
                <c:pt idx="4">
                  <c:v>14.11233259836041</c:v>
                </c:pt>
                <c:pt idx="5">
                  <c:v>14.795555194995371</c:v>
                </c:pt>
                <c:pt idx="6">
                  <c:v>13.992190768913709</c:v>
                </c:pt>
                <c:pt idx="7">
                  <c:v>13.6454101483614</c:v>
                </c:pt>
                <c:pt idx="8">
                  <c:v>13.836233064003027</c:v>
                </c:pt>
                <c:pt idx="9">
                  <c:v>13.567994033066578</c:v>
                </c:pt>
                <c:pt idx="10">
                  <c:v>13.654325560148614</c:v>
                </c:pt>
                <c:pt idx="11">
                  <c:v>14.137137262238774</c:v>
                </c:pt>
                <c:pt idx="12">
                  <c:v>14.280140516116788</c:v>
                </c:pt>
                <c:pt idx="13">
                  <c:v>14.337071276456888</c:v>
                </c:pt>
                <c:pt idx="14">
                  <c:v>14.195068683533261</c:v>
                </c:pt>
                <c:pt idx="15">
                  <c:v>14.712306460487602</c:v>
                </c:pt>
                <c:pt idx="16">
                  <c:v>14.539198291215317</c:v>
                </c:pt>
                <c:pt idx="17">
                  <c:v>14.603412282627978</c:v>
                </c:pt>
                <c:pt idx="18">
                  <c:v>14.684098063438057</c:v>
                </c:pt>
                <c:pt idx="19">
                  <c:v>13.610128579248757</c:v>
                </c:pt>
                <c:pt idx="20">
                  <c:v>13.985752197970738</c:v>
                </c:pt>
                <c:pt idx="21">
                  <c:v>14.923722175297431</c:v>
                </c:pt>
                <c:pt idx="22">
                  <c:v>14.599033013509443</c:v>
                </c:pt>
                <c:pt idx="23">
                  <c:v>13.986866001964891</c:v>
                </c:pt>
                <c:pt idx="24">
                  <c:v>13.755017743560861</c:v>
                </c:pt>
                <c:pt idx="25">
                  <c:v>15.240496007636093</c:v>
                </c:pt>
                <c:pt idx="26">
                  <c:v>15.833867491675264</c:v>
                </c:pt>
                <c:pt idx="27">
                  <c:v>15.468910919692382</c:v>
                </c:pt>
                <c:pt idx="28">
                  <c:v>15.022342944883881</c:v>
                </c:pt>
                <c:pt idx="29">
                  <c:v>15.378115253378191</c:v>
                </c:pt>
                <c:pt idx="30">
                  <c:v>15.364351282393129</c:v>
                </c:pt>
                <c:pt idx="31">
                  <c:v>14.678045989515756</c:v>
                </c:pt>
                <c:pt idx="32">
                  <c:v>14.850669693958194</c:v>
                </c:pt>
                <c:pt idx="33">
                  <c:v>14.626130357561905</c:v>
                </c:pt>
                <c:pt idx="34">
                  <c:v>14.616357845203359</c:v>
                </c:pt>
                <c:pt idx="35">
                  <c:v>14.473150350597185</c:v>
                </c:pt>
                <c:pt idx="36">
                  <c:v>14.2985885626059</c:v>
                </c:pt>
                <c:pt idx="37">
                  <c:v>15.92501106234281</c:v>
                </c:pt>
                <c:pt idx="38">
                  <c:v>15.412499773097196</c:v>
                </c:pt>
                <c:pt idx="39">
                  <c:v>15.303981300889015</c:v>
                </c:pt>
                <c:pt idx="40">
                  <c:v>14.871058593600591</c:v>
                </c:pt>
                <c:pt idx="41">
                  <c:v>14.433468362941447</c:v>
                </c:pt>
                <c:pt idx="42">
                  <c:v>15.333098050795561</c:v>
                </c:pt>
                <c:pt idx="43">
                  <c:v>15.627778386446868</c:v>
                </c:pt>
                <c:pt idx="44">
                  <c:v>15.351317895872269</c:v>
                </c:pt>
                <c:pt idx="45">
                  <c:v>14.747460520797464</c:v>
                </c:pt>
                <c:pt idx="46">
                  <c:v>15.282332443765249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7D-44CE-BCC2-BF4E5AB61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942272"/>
        <c:axId val="258330624"/>
      </c:scatterChart>
      <c:valAx>
        <c:axId val="257942272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58330624"/>
        <c:crosses val="autoZero"/>
        <c:crossBetween val="midCat"/>
      </c:valAx>
      <c:valAx>
        <c:axId val="258330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942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Alagnak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1.5887282578423676E-2"/>
                  <c:y val="0.33910834062408868"/>
                </c:manualLayout>
              </c:layout>
              <c:numFmt formatCode="General" sourceLinked="0"/>
            </c:trendlineLbl>
          </c:trendline>
          <c:xVal>
            <c:numRef>
              <c:f>[2]Alagnak!$B$21:$B$67</c:f>
              <c:numCache>
                <c:formatCode>General</c:formatCode>
                <c:ptCount val="47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  <c:pt idx="43">
                  <c:v>2021</c:v>
                </c:pt>
                <c:pt idx="44">
                  <c:v>2022</c:v>
                </c:pt>
                <c:pt idx="45">
                  <c:v>2023</c:v>
                </c:pt>
                <c:pt idx="46">
                  <c:v>2024</c:v>
                </c:pt>
              </c:numCache>
            </c:numRef>
          </c:xVal>
          <c:yVal>
            <c:numRef>
              <c:f>[2]Alagnak!$E$21:$E$67</c:f>
              <c:numCache>
                <c:formatCode>General</c:formatCode>
                <c:ptCount val="47"/>
                <c:pt idx="0">
                  <c:v>1.5535224971613459</c:v>
                </c:pt>
                <c:pt idx="1">
                  <c:v>0.37754914962437525</c:v>
                </c:pt>
                <c:pt idx="2">
                  <c:v>-0.63842270727713313</c:v>
                </c:pt>
                <c:pt idx="3">
                  <c:v>-0.24873225439768909</c:v>
                </c:pt>
                <c:pt idx="4">
                  <c:v>0.70143546503964771</c:v>
                </c:pt>
                <c:pt idx="5">
                  <c:v>0.68322259663496077</c:v>
                </c:pt>
                <c:pt idx="6">
                  <c:v>-0.80336442608166259</c:v>
                </c:pt>
                <c:pt idx="7">
                  <c:v>-0.34678062055230896</c:v>
                </c:pt>
                <c:pt idx="8">
                  <c:v>0.19082291564162723</c:v>
                </c:pt>
                <c:pt idx="9">
                  <c:v>-0.2682390309364493</c:v>
                </c:pt>
                <c:pt idx="10">
                  <c:v>8.6331527082036175E-2</c:v>
                </c:pt>
                <c:pt idx="11">
                  <c:v>0.48281170209016011</c:v>
                </c:pt>
                <c:pt idx="12">
                  <c:v>0.14300325387801394</c:v>
                </c:pt>
                <c:pt idx="13">
                  <c:v>5.6930760340099695E-2</c:v>
                </c:pt>
                <c:pt idx="14">
                  <c:v>-0.14200259292362638</c:v>
                </c:pt>
                <c:pt idx="15">
                  <c:v>0.51723777695434059</c:v>
                </c:pt>
                <c:pt idx="16">
                  <c:v>-0.17310816927228423</c:v>
                </c:pt>
                <c:pt idx="17">
                  <c:v>6.4213991412660931E-2</c:v>
                </c:pt>
                <c:pt idx="18">
                  <c:v>8.0685780810078711E-2</c:v>
                </c:pt>
                <c:pt idx="19">
                  <c:v>-1.0739694841893002</c:v>
                </c:pt>
                <c:pt idx="20">
                  <c:v>0.37562361872198125</c:v>
                </c:pt>
                <c:pt idx="21">
                  <c:v>0.93796997732669318</c:v>
                </c:pt>
                <c:pt idx="22">
                  <c:v>-0.32468916178798857</c:v>
                </c:pt>
                <c:pt idx="23">
                  <c:v>-0.61216701154455144</c:v>
                </c:pt>
                <c:pt idx="24">
                  <c:v>-0.23184825840403001</c:v>
                </c:pt>
                <c:pt idx="25">
                  <c:v>1.4854782640752315</c:v>
                </c:pt>
                <c:pt idx="26">
                  <c:v>0.59337148403917084</c:v>
                </c:pt>
                <c:pt idx="27">
                  <c:v>-0.36495657198288178</c:v>
                </c:pt>
                <c:pt idx="28">
                  <c:v>-0.44656797480850052</c:v>
                </c:pt>
                <c:pt idx="29">
                  <c:v>0.35577230849430919</c:v>
                </c:pt>
                <c:pt idx="30">
                  <c:v>-1.3763970985062102E-2</c:v>
                </c:pt>
                <c:pt idx="31">
                  <c:v>-0.68630529287737296</c:v>
                </c:pt>
                <c:pt idx="32">
                  <c:v>0.17262370444243835</c:v>
                </c:pt>
                <c:pt idx="33">
                  <c:v>-0.22453933639628865</c:v>
                </c:pt>
                <c:pt idx="34">
                  <c:v>-9.7725123585465923E-3</c:v>
                </c:pt>
                <c:pt idx="35">
                  <c:v>-0.14320749460617321</c:v>
                </c:pt>
                <c:pt idx="36">
                  <c:v>-0.1745617879912853</c:v>
                </c:pt>
                <c:pt idx="37">
                  <c:v>1.6264224997369094</c:v>
                </c:pt>
                <c:pt idx="38">
                  <c:v>-0.51251128924561407</c:v>
                </c:pt>
                <c:pt idx="39">
                  <c:v>-0.10851847220818023</c:v>
                </c:pt>
                <c:pt idx="40">
                  <c:v>-0.43292270728842475</c:v>
                </c:pt>
                <c:pt idx="41">
                  <c:v>-0.43759023065914349</c:v>
                </c:pt>
                <c:pt idx="42">
                  <c:v>0.89962968785411412</c:v>
                </c:pt>
                <c:pt idx="43">
                  <c:v>0.29468033565130725</c:v>
                </c:pt>
                <c:pt idx="44">
                  <c:v>-0.27646049057459976</c:v>
                </c:pt>
                <c:pt idx="45">
                  <c:v>-0.60385737507480464</c:v>
                </c:pt>
                <c:pt idx="46">
                  <c:v>0.53487192296778474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18-4831-A76C-88BEFE421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942272"/>
        <c:axId val="258330624"/>
      </c:scatterChart>
      <c:valAx>
        <c:axId val="257942272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58330624"/>
        <c:crosses val="autoZero"/>
        <c:crossBetween val="midCat"/>
      </c:valAx>
      <c:valAx>
        <c:axId val="258330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delta 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942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[2]Alagnak!$AK$17:$AK$73</c:f>
              <c:numCache>
                <c:formatCode>General</c:formatCode>
                <c:ptCount val="57"/>
                <c:pt idx="0">
                  <c:v>1771488.0674796803</c:v>
                </c:pt>
                <c:pt idx="1">
                  <c:v>1633085.8405814276</c:v>
                </c:pt>
                <c:pt idx="2">
                  <c:v>1646105.8943439575</c:v>
                </c:pt>
                <c:pt idx="3">
                  <c:v>1847747.020167243</c:v>
                </c:pt>
                <c:pt idx="4">
                  <c:v>1801929.6478116687</c:v>
                </c:pt>
                <c:pt idx="5">
                  <c:v>1720986.4668545625</c:v>
                </c:pt>
                <c:pt idx="6">
                  <c:v>1533222.7510112317</c:v>
                </c:pt>
                <c:pt idx="7">
                  <c:v>1612604.2531708842</c:v>
                </c:pt>
                <c:pt idx="8">
                  <c:v>1561726.5338337258</c:v>
                </c:pt>
                <c:pt idx="9">
                  <c:v>1604730.7521536169</c:v>
                </c:pt>
                <c:pt idx="10">
                  <c:v>1531819.4704780476</c:v>
                </c:pt>
                <c:pt idx="11">
                  <c:v>2280966.1646935879</c:v>
                </c:pt>
                <c:pt idx="12">
                  <c:v>1529375.4600384748</c:v>
                </c:pt>
                <c:pt idx="13">
                  <c:v>1531819.4839488892</c:v>
                </c:pt>
                <c:pt idx="14">
                  <c:v>1531819.4704783212</c:v>
                </c:pt>
                <c:pt idx="15">
                  <c:v>2114653.8056908138</c:v>
                </c:pt>
                <c:pt idx="16">
                  <c:v>2514363.6563666514</c:v>
                </c:pt>
                <c:pt idx="17">
                  <c:v>1530169.052842828</c:v>
                </c:pt>
                <c:pt idx="18">
                  <c:v>1712354.5574994008</c:v>
                </c:pt>
                <c:pt idx="19">
                  <c:v>1531819.47047806</c:v>
                </c:pt>
                <c:pt idx="20">
                  <c:v>1531819.4704780581</c:v>
                </c:pt>
                <c:pt idx="21">
                  <c:v>1950693.015907435</c:v>
                </c:pt>
                <c:pt idx="22">
                  <c:v>1621638.7910398312</c:v>
                </c:pt>
                <c:pt idx="23">
                  <c:v>1531819.4704781226</c:v>
                </c:pt>
                <c:pt idx="24">
                  <c:v>1531819.4704780534</c:v>
                </c:pt>
                <c:pt idx="25">
                  <c:v>1531819.4704780355</c:v>
                </c:pt>
                <c:pt idx="26">
                  <c:v>2270301.7914694524</c:v>
                </c:pt>
                <c:pt idx="27">
                  <c:v>1530730.4920796775</c:v>
                </c:pt>
                <c:pt idx="28">
                  <c:v>2582083.3865894401</c:v>
                </c:pt>
                <c:pt idx="29">
                  <c:v>1531819.4704780581</c:v>
                </c:pt>
                <c:pt idx="30">
                  <c:v>1533337.9345116224</c:v>
                </c:pt>
                <c:pt idx="31">
                  <c:v>1531462.2930048942</c:v>
                </c:pt>
                <c:pt idx="32">
                  <c:v>3636063.8212924758</c:v>
                </c:pt>
                <c:pt idx="33">
                  <c:v>1573719.4431502677</c:v>
                </c:pt>
                <c:pt idx="34">
                  <c:v>1533759.2568412747</c:v>
                </c:pt>
                <c:pt idx="35">
                  <c:v>1541959.6336418574</c:v>
                </c:pt>
                <c:pt idx="36">
                  <c:v>2363813.5570542491</c:v>
                </c:pt>
                <c:pt idx="37">
                  <c:v>7299165.959721338</c:v>
                </c:pt>
                <c:pt idx="38">
                  <c:v>1664480.0943697153</c:v>
                </c:pt>
                <c:pt idx="39">
                  <c:v>3372992.2055447553</c:v>
                </c:pt>
                <c:pt idx="40">
                  <c:v>4395778.4301523622</c:v>
                </c:pt>
                <c:pt idx="41">
                  <c:v>2424799.5794989816</c:v>
                </c:pt>
                <c:pt idx="42">
                  <c:v>2301275.4989482267</c:v>
                </c:pt>
                <c:pt idx="43">
                  <c:v>2223521.8042797148</c:v>
                </c:pt>
                <c:pt idx="44">
                  <c:v>2051002.9073125585</c:v>
                </c:pt>
                <c:pt idx="45">
                  <c:v>2057098.5760609575</c:v>
                </c:pt>
                <c:pt idx="46">
                  <c:v>2010061.5789507334</c:v>
                </c:pt>
                <c:pt idx="47">
                  <c:v>2294690.1997230495</c:v>
                </c:pt>
                <c:pt idx="48">
                  <c:v>4732162.3691501394</c:v>
                </c:pt>
                <c:pt idx="49">
                  <c:v>2696918.2257922855</c:v>
                </c:pt>
                <c:pt idx="50">
                  <c:v>4309374.463034465</c:v>
                </c:pt>
                <c:pt idx="51">
                  <c:v>3196329.7595694233</c:v>
                </c:pt>
                <c:pt idx="52">
                  <c:v>2808135.0958093824</c:v>
                </c:pt>
                <c:pt idx="53">
                  <c:v>3440637.930409431</c:v>
                </c:pt>
                <c:pt idx="54">
                  <c:v>3942652.6110163834</c:v>
                </c:pt>
                <c:pt idx="55">
                  <c:v>2679668.9401956615</c:v>
                </c:pt>
                <c:pt idx="56">
                  <c:v>2024008.5237318403</c:v>
                </c:pt>
              </c:numCache>
            </c:numRef>
          </c:xVal>
          <c:yVal>
            <c:numRef>
              <c:f>[2]Alagnak!$Y$17:$Y$73</c:f>
              <c:numCache>
                <c:formatCode>0</c:formatCode>
                <c:ptCount val="57"/>
                <c:pt idx="0">
                  <c:v>314033.55737485801</c:v>
                </c:pt>
                <c:pt idx="1">
                  <c:v>324288.95516926399</c:v>
                </c:pt>
                <c:pt idx="2">
                  <c:v>500779.51142110903</c:v>
                </c:pt>
                <c:pt idx="3">
                  <c:v>537293.52445327595</c:v>
                </c:pt>
                <c:pt idx="4">
                  <c:v>302589.30717202002</c:v>
                </c:pt>
                <c:pt idx="5">
                  <c:v>63552.969370713901</c:v>
                </c:pt>
                <c:pt idx="6">
                  <c:v>247579.730446879</c:v>
                </c:pt>
                <c:pt idx="7">
                  <c:v>112656.701619766</c:v>
                </c:pt>
                <c:pt idx="8">
                  <c:v>157449.67068392399</c:v>
                </c:pt>
                <c:pt idx="9">
                  <c:v>234915.33416411001</c:v>
                </c:pt>
                <c:pt idx="10">
                  <c:v>1110702.1544836799</c:v>
                </c:pt>
                <c:pt idx="11">
                  <c:v>1620186.93918502</c:v>
                </c:pt>
                <c:pt idx="12">
                  <c:v>855660.862369649</c:v>
                </c:pt>
                <c:pt idx="13">
                  <c:v>667234.69757733005</c:v>
                </c:pt>
                <c:pt idx="14">
                  <c:v>1345575.8198595301</c:v>
                </c:pt>
                <c:pt idx="15">
                  <c:v>2664575.17756896</c:v>
                </c:pt>
                <c:pt idx="16">
                  <c:v>1193249.44342189</c:v>
                </c:pt>
                <c:pt idx="17">
                  <c:v>843580.10872609494</c:v>
                </c:pt>
                <c:pt idx="18">
                  <c:v>1020938.7083222501</c:v>
                </c:pt>
                <c:pt idx="19">
                  <c:v>780737.31908047304</c:v>
                </c:pt>
                <c:pt idx="20">
                  <c:v>851134.59856892901</c:v>
                </c:pt>
                <c:pt idx="21">
                  <c:v>1379369.7665329501</c:v>
                </c:pt>
                <c:pt idx="22">
                  <c:v>1591425.18648978</c:v>
                </c:pt>
                <c:pt idx="23">
                  <c:v>1684654.8706050799</c:v>
                </c:pt>
                <c:pt idx="24">
                  <c:v>1461638.5858147</c:v>
                </c:pt>
                <c:pt idx="25">
                  <c:v>2451734.9146045898</c:v>
                </c:pt>
                <c:pt idx="26">
                  <c:v>2062023.39943197</c:v>
                </c:pt>
                <c:pt idx="27">
                  <c:v>2198777.94068358</c:v>
                </c:pt>
                <c:pt idx="28">
                  <c:v>2383541.7351381201</c:v>
                </c:pt>
                <c:pt idx="29">
                  <c:v>814336.19779917598</c:v>
                </c:pt>
                <c:pt idx="30">
                  <c:v>1185591.3031894399</c:v>
                </c:pt>
                <c:pt idx="31">
                  <c:v>3028936.64962732</c:v>
                </c:pt>
                <c:pt idx="32">
                  <c:v>2189169.9536476801</c:v>
                </c:pt>
                <c:pt idx="33">
                  <c:v>1186912.5549520601</c:v>
                </c:pt>
                <c:pt idx="34">
                  <c:v>941300.53276682703</c:v>
                </c:pt>
                <c:pt idx="35">
                  <c:v>4157797.3451392301</c:v>
                </c:pt>
                <c:pt idx="36">
                  <c:v>7525949.1367229596</c:v>
                </c:pt>
                <c:pt idx="37">
                  <c:v>5224715.57924587</c:v>
                </c:pt>
                <c:pt idx="38">
                  <c:v>3342878.9177765902</c:v>
                </c:pt>
                <c:pt idx="39">
                  <c:v>4771232.6823479496</c:v>
                </c:pt>
                <c:pt idx="40">
                  <c:v>4706011.4554488799</c:v>
                </c:pt>
                <c:pt idx="41">
                  <c:v>2369159.9284568802</c:v>
                </c:pt>
                <c:pt idx="42">
                  <c:v>2815554.2563738301</c:v>
                </c:pt>
                <c:pt idx="43">
                  <c:v>2249301.6714230999</c:v>
                </c:pt>
                <c:pt idx="44">
                  <c:v>2227427.3991779098</c:v>
                </c:pt>
                <c:pt idx="45">
                  <c:v>1930231.20777954</c:v>
                </c:pt>
                <c:pt idx="46">
                  <c:v>1621056.34954884</c:v>
                </c:pt>
                <c:pt idx="47">
                  <c:v>8244122.3534390004</c:v>
                </c:pt>
                <c:pt idx="48">
                  <c:v>4938142.3356476501</c:v>
                </c:pt>
                <c:pt idx="49">
                  <c:v>4430315.2449948899</c:v>
                </c:pt>
                <c:pt idx="50">
                  <c:v>2873549.5305123501</c:v>
                </c:pt>
                <c:pt idx="51">
                  <c:v>1855135.6227310901</c:v>
                </c:pt>
                <c:pt idx="52">
                  <c:v>4561207.9638651703</c:v>
                </c:pt>
                <c:pt idx="53">
                  <c:v>6124320.6042396696</c:v>
                </c:pt>
                <c:pt idx="54">
                  <c:v>4645074.1605213201</c:v>
                </c:pt>
                <c:pt idx="55">
                  <c:v>2539456.19806688</c:v>
                </c:pt>
                <c:pt idx="56">
                  <c:v>4335434.7163846698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84-443F-A068-DAACC2746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71807"/>
        <c:axId val="49088607"/>
      </c:scatterChart>
      <c:valAx>
        <c:axId val="4907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88607"/>
        <c:crosses val="autoZero"/>
        <c:crossBetween val="midCat"/>
      </c:valAx>
      <c:valAx>
        <c:axId val="4908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[2]Alagnak!$AL$17:$AL$73</c:f>
              <c:numCache>
                <c:formatCode>General</c:formatCode>
                <c:ptCount val="57"/>
                <c:pt idx="0">
                  <c:v>366154.32107129833</c:v>
                </c:pt>
                <c:pt idx="1">
                  <c:v>185135.38357163232</c:v>
                </c:pt>
                <c:pt idx="2">
                  <c:v>286656.83781537053</c:v>
                </c:pt>
                <c:pt idx="3">
                  <c:v>509697.41020111443</c:v>
                </c:pt>
                <c:pt idx="4">
                  <c:v>424206.6415812209</c:v>
                </c:pt>
                <c:pt idx="5">
                  <c:v>347221.64314221975</c:v>
                </c:pt>
                <c:pt idx="6">
                  <c:v>2823.2797288561428</c:v>
                </c:pt>
                <c:pt idx="7">
                  <c:v>231969.43844091179</c:v>
                </c:pt>
                <c:pt idx="8">
                  <c:v>53850.540163720594</c:v>
                </c:pt>
                <c:pt idx="9">
                  <c:v>141175.01930862144</c:v>
                </c:pt>
                <c:pt idx="10">
                  <c:v>6.3094975440893247E-8</c:v>
                </c:pt>
                <c:pt idx="11">
                  <c:v>1491848.4369501173</c:v>
                </c:pt>
                <c:pt idx="12">
                  <c:v>1555758.7015041581</c:v>
                </c:pt>
                <c:pt idx="13">
                  <c:v>4.481586039822677E-2</c:v>
                </c:pt>
                <c:pt idx="14">
                  <c:v>2.353058179595958E-6</c:v>
                </c:pt>
                <c:pt idx="15">
                  <c:v>886450.86228560086</c:v>
                </c:pt>
                <c:pt idx="16">
                  <c:v>2010041.471005481</c:v>
                </c:pt>
                <c:pt idx="17">
                  <c:v>1050589.4555364279</c:v>
                </c:pt>
                <c:pt idx="18">
                  <c:v>545868.50874709699</c:v>
                </c:pt>
                <c:pt idx="19">
                  <c:v>6.8096824062451383E-8</c:v>
                </c:pt>
                <c:pt idx="20">
                  <c:v>7.2138603977474113E-8</c:v>
                </c:pt>
                <c:pt idx="21">
                  <c:v>637077.79912966315</c:v>
                </c:pt>
                <c:pt idx="22">
                  <c:v>136608.9973626438</c:v>
                </c:pt>
                <c:pt idx="23">
                  <c:v>1.5865177430524419E-7</c:v>
                </c:pt>
                <c:pt idx="24">
                  <c:v>1.7778824549235743E-7</c:v>
                </c:pt>
                <c:pt idx="25">
                  <c:v>2.691746583555957E-8</c:v>
                </c:pt>
                <c:pt idx="26">
                  <c:v>1741836.2064703859</c:v>
                </c:pt>
                <c:pt idx="27">
                  <c:v>693199.82908460731</c:v>
                </c:pt>
                <c:pt idx="28">
                  <c:v>1597379.0454959851</c:v>
                </c:pt>
                <c:pt idx="29">
                  <c:v>5.7270963472574672E-8</c:v>
                </c:pt>
                <c:pt idx="30">
                  <c:v>2309.4820342293287</c:v>
                </c:pt>
                <c:pt idx="31">
                  <c:v>227364.80701936921</c:v>
                </c:pt>
                <c:pt idx="32">
                  <c:v>3201523.1599711129</c:v>
                </c:pt>
                <c:pt idx="33">
                  <c:v>65660.020813630967</c:v>
                </c:pt>
                <c:pt idx="34">
                  <c:v>4119.1073983868082</c:v>
                </c:pt>
                <c:pt idx="35">
                  <c:v>101244.71347152487</c:v>
                </c:pt>
                <c:pt idx="36">
                  <c:v>1536261.2739030547</c:v>
                </c:pt>
                <c:pt idx="37">
                  <c:v>9421374.6417691763</c:v>
                </c:pt>
                <c:pt idx="38">
                  <c:v>236621.93519055378</c:v>
                </c:pt>
                <c:pt idx="39">
                  <c:v>2838011.3031508853</c:v>
                </c:pt>
                <c:pt idx="40">
                  <c:v>4424202.9678305779</c:v>
                </c:pt>
                <c:pt idx="41">
                  <c:v>1363571.0664464943</c:v>
                </c:pt>
                <c:pt idx="42">
                  <c:v>1280592.0682627482</c:v>
                </c:pt>
                <c:pt idx="43">
                  <c:v>1180249.8388724476</c:v>
                </c:pt>
                <c:pt idx="44">
                  <c:v>844722.05882110854</c:v>
                </c:pt>
                <c:pt idx="45">
                  <c:v>1283009.8104701622</c:v>
                </c:pt>
                <c:pt idx="46">
                  <c:v>817517.62997384381</c:v>
                </c:pt>
                <c:pt idx="47">
                  <c:v>1278540.5264564687</c:v>
                </c:pt>
                <c:pt idx="48">
                  <c:v>6677818.4474011036</c:v>
                </c:pt>
                <c:pt idx="49">
                  <c:v>2308199.354108206</c:v>
                </c:pt>
                <c:pt idx="50">
                  <c:v>4246898.0398011571</c:v>
                </c:pt>
                <c:pt idx="51">
                  <c:v>2534819.8404245451</c:v>
                </c:pt>
                <c:pt idx="52">
                  <c:v>1965519.8371879994</c:v>
                </c:pt>
                <c:pt idx="53">
                  <c:v>2923055.1935560252</c:v>
                </c:pt>
                <c:pt idx="54">
                  <c:v>4028002.897202237</c:v>
                </c:pt>
                <c:pt idx="55">
                  <c:v>2168886.8352148305</c:v>
                </c:pt>
                <c:pt idx="56">
                  <c:v>795573.84370873426</c:v>
                </c:pt>
              </c:numCache>
            </c:numRef>
          </c:xVal>
          <c:yVal>
            <c:numRef>
              <c:f>[2]Alagnak!$Y$17:$Y$73</c:f>
              <c:numCache>
                <c:formatCode>0</c:formatCode>
                <c:ptCount val="57"/>
                <c:pt idx="0">
                  <c:v>314033.55737485801</c:v>
                </c:pt>
                <c:pt idx="1">
                  <c:v>324288.95516926399</c:v>
                </c:pt>
                <c:pt idx="2">
                  <c:v>500779.51142110903</c:v>
                </c:pt>
                <c:pt idx="3">
                  <c:v>537293.52445327595</c:v>
                </c:pt>
                <c:pt idx="4">
                  <c:v>302589.30717202002</c:v>
                </c:pt>
                <c:pt idx="5">
                  <c:v>63552.969370713901</c:v>
                </c:pt>
                <c:pt idx="6">
                  <c:v>247579.730446879</c:v>
                </c:pt>
                <c:pt idx="7">
                  <c:v>112656.701619766</c:v>
                </c:pt>
                <c:pt idx="8">
                  <c:v>157449.67068392399</c:v>
                </c:pt>
                <c:pt idx="9">
                  <c:v>234915.33416411001</c:v>
                </c:pt>
                <c:pt idx="10">
                  <c:v>1110702.1544836799</c:v>
                </c:pt>
                <c:pt idx="11">
                  <c:v>1620186.93918502</c:v>
                </c:pt>
                <c:pt idx="12">
                  <c:v>855660.862369649</c:v>
                </c:pt>
                <c:pt idx="13">
                  <c:v>667234.69757733005</c:v>
                </c:pt>
                <c:pt idx="14">
                  <c:v>1345575.8198595301</c:v>
                </c:pt>
                <c:pt idx="15">
                  <c:v>2664575.17756896</c:v>
                </c:pt>
                <c:pt idx="16">
                  <c:v>1193249.44342189</c:v>
                </c:pt>
                <c:pt idx="17">
                  <c:v>843580.10872609494</c:v>
                </c:pt>
                <c:pt idx="18">
                  <c:v>1020938.7083222501</c:v>
                </c:pt>
                <c:pt idx="19">
                  <c:v>780737.31908047304</c:v>
                </c:pt>
                <c:pt idx="20">
                  <c:v>851134.59856892901</c:v>
                </c:pt>
                <c:pt idx="21">
                  <c:v>1379369.7665329501</c:v>
                </c:pt>
                <c:pt idx="22">
                  <c:v>1591425.18648978</c:v>
                </c:pt>
                <c:pt idx="23">
                  <c:v>1684654.8706050799</c:v>
                </c:pt>
                <c:pt idx="24">
                  <c:v>1461638.5858147</c:v>
                </c:pt>
                <c:pt idx="25">
                  <c:v>2451734.9146045898</c:v>
                </c:pt>
                <c:pt idx="26">
                  <c:v>2062023.39943197</c:v>
                </c:pt>
                <c:pt idx="27">
                  <c:v>2198777.94068358</c:v>
                </c:pt>
                <c:pt idx="28">
                  <c:v>2383541.7351381201</c:v>
                </c:pt>
                <c:pt idx="29">
                  <c:v>814336.19779917598</c:v>
                </c:pt>
                <c:pt idx="30">
                  <c:v>1185591.3031894399</c:v>
                </c:pt>
                <c:pt idx="31">
                  <c:v>3028936.64962732</c:v>
                </c:pt>
                <c:pt idx="32">
                  <c:v>2189169.9536476801</c:v>
                </c:pt>
                <c:pt idx="33">
                  <c:v>1186912.5549520601</c:v>
                </c:pt>
                <c:pt idx="34">
                  <c:v>941300.53276682703</c:v>
                </c:pt>
                <c:pt idx="35">
                  <c:v>4157797.3451392301</c:v>
                </c:pt>
                <c:pt idx="36">
                  <c:v>7525949.1367229596</c:v>
                </c:pt>
                <c:pt idx="37">
                  <c:v>5224715.57924587</c:v>
                </c:pt>
                <c:pt idx="38">
                  <c:v>3342878.9177765902</c:v>
                </c:pt>
                <c:pt idx="39">
                  <c:v>4771232.6823479496</c:v>
                </c:pt>
                <c:pt idx="40">
                  <c:v>4706011.4554488799</c:v>
                </c:pt>
                <c:pt idx="41">
                  <c:v>2369159.9284568802</c:v>
                </c:pt>
                <c:pt idx="42">
                  <c:v>2815554.2563738301</c:v>
                </c:pt>
                <c:pt idx="43">
                  <c:v>2249301.6714230999</c:v>
                </c:pt>
                <c:pt idx="44">
                  <c:v>2227427.3991779098</c:v>
                </c:pt>
                <c:pt idx="45">
                  <c:v>1930231.20777954</c:v>
                </c:pt>
                <c:pt idx="46">
                  <c:v>1621056.34954884</c:v>
                </c:pt>
                <c:pt idx="47">
                  <c:v>8244122.3534390004</c:v>
                </c:pt>
                <c:pt idx="48">
                  <c:v>4938142.3356476501</c:v>
                </c:pt>
                <c:pt idx="49">
                  <c:v>4430315.2449948899</c:v>
                </c:pt>
                <c:pt idx="50">
                  <c:v>2873549.5305123501</c:v>
                </c:pt>
                <c:pt idx="51">
                  <c:v>1855135.6227310901</c:v>
                </c:pt>
                <c:pt idx="52">
                  <c:v>4561207.9638651703</c:v>
                </c:pt>
                <c:pt idx="53">
                  <c:v>6124320.6042396696</c:v>
                </c:pt>
                <c:pt idx="54">
                  <c:v>4645074.1605213201</c:v>
                </c:pt>
                <c:pt idx="55">
                  <c:v>2539456.19806688</c:v>
                </c:pt>
                <c:pt idx="56">
                  <c:v>4335434.7163846698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51-462B-9C89-D08ECE099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71807"/>
        <c:axId val="49088607"/>
      </c:scatterChart>
      <c:valAx>
        <c:axId val="4907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88607"/>
        <c:crosses val="autoZero"/>
        <c:crossBetween val="midCat"/>
      </c:valAx>
      <c:valAx>
        <c:axId val="4908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[2]Alagnak!$AL$17:$AL$73</c:f>
              <c:numCache>
                <c:formatCode>General</c:formatCode>
                <c:ptCount val="57"/>
                <c:pt idx="0">
                  <c:v>366154.32107129833</c:v>
                </c:pt>
                <c:pt idx="1">
                  <c:v>185135.38357163232</c:v>
                </c:pt>
                <c:pt idx="2">
                  <c:v>286656.83781537053</c:v>
                </c:pt>
                <c:pt idx="3">
                  <c:v>509697.41020111443</c:v>
                </c:pt>
                <c:pt idx="4">
                  <c:v>424206.6415812209</c:v>
                </c:pt>
                <c:pt idx="5">
                  <c:v>347221.64314221975</c:v>
                </c:pt>
                <c:pt idx="6">
                  <c:v>2823.2797288561428</c:v>
                </c:pt>
                <c:pt idx="7">
                  <c:v>231969.43844091179</c:v>
                </c:pt>
                <c:pt idx="8">
                  <c:v>53850.540163720594</c:v>
                </c:pt>
                <c:pt idx="9">
                  <c:v>141175.01930862144</c:v>
                </c:pt>
                <c:pt idx="10">
                  <c:v>6.3094975440893247E-8</c:v>
                </c:pt>
                <c:pt idx="11">
                  <c:v>1491848.4369501173</c:v>
                </c:pt>
                <c:pt idx="12">
                  <c:v>1555758.7015041581</c:v>
                </c:pt>
                <c:pt idx="13">
                  <c:v>4.481586039822677E-2</c:v>
                </c:pt>
                <c:pt idx="14">
                  <c:v>2.353058179595958E-6</c:v>
                </c:pt>
                <c:pt idx="15">
                  <c:v>886450.86228560086</c:v>
                </c:pt>
                <c:pt idx="16">
                  <c:v>2010041.471005481</c:v>
                </c:pt>
                <c:pt idx="17">
                  <c:v>1050589.4555364279</c:v>
                </c:pt>
                <c:pt idx="18">
                  <c:v>545868.50874709699</c:v>
                </c:pt>
                <c:pt idx="19">
                  <c:v>6.8096824062451383E-8</c:v>
                </c:pt>
                <c:pt idx="20">
                  <c:v>7.2138603977474113E-8</c:v>
                </c:pt>
                <c:pt idx="21">
                  <c:v>637077.79912966315</c:v>
                </c:pt>
                <c:pt idx="22">
                  <c:v>136608.9973626438</c:v>
                </c:pt>
                <c:pt idx="23">
                  <c:v>1.5865177430524419E-7</c:v>
                </c:pt>
                <c:pt idx="24">
                  <c:v>1.7778824549235743E-7</c:v>
                </c:pt>
                <c:pt idx="25">
                  <c:v>2.691746583555957E-8</c:v>
                </c:pt>
                <c:pt idx="26">
                  <c:v>1741836.2064703859</c:v>
                </c:pt>
                <c:pt idx="27">
                  <c:v>693199.82908460731</c:v>
                </c:pt>
                <c:pt idx="28">
                  <c:v>1597379.0454959851</c:v>
                </c:pt>
                <c:pt idx="29">
                  <c:v>5.7270963472574672E-8</c:v>
                </c:pt>
                <c:pt idx="30">
                  <c:v>2309.4820342293287</c:v>
                </c:pt>
                <c:pt idx="31">
                  <c:v>227364.80701936921</c:v>
                </c:pt>
                <c:pt idx="32">
                  <c:v>3201523.1599711129</c:v>
                </c:pt>
                <c:pt idx="33">
                  <c:v>65660.020813630967</c:v>
                </c:pt>
                <c:pt idx="34">
                  <c:v>4119.1073983868082</c:v>
                </c:pt>
                <c:pt idx="35">
                  <c:v>101244.71347152487</c:v>
                </c:pt>
                <c:pt idx="36">
                  <c:v>1536261.2739030547</c:v>
                </c:pt>
                <c:pt idx="37">
                  <c:v>9421374.6417691763</c:v>
                </c:pt>
                <c:pt idx="38">
                  <c:v>236621.93519055378</c:v>
                </c:pt>
                <c:pt idx="39">
                  <c:v>2838011.3031508853</c:v>
                </c:pt>
                <c:pt idx="40">
                  <c:v>4424202.9678305779</c:v>
                </c:pt>
                <c:pt idx="41">
                  <c:v>1363571.0664464943</c:v>
                </c:pt>
                <c:pt idx="42">
                  <c:v>1280592.0682627482</c:v>
                </c:pt>
                <c:pt idx="43">
                  <c:v>1180249.8388724476</c:v>
                </c:pt>
                <c:pt idx="44">
                  <c:v>844722.05882110854</c:v>
                </c:pt>
                <c:pt idx="45">
                  <c:v>1283009.8104701622</c:v>
                </c:pt>
                <c:pt idx="46">
                  <c:v>817517.62997384381</c:v>
                </c:pt>
                <c:pt idx="47">
                  <c:v>1278540.5264564687</c:v>
                </c:pt>
                <c:pt idx="48">
                  <c:v>6677818.4474011036</c:v>
                </c:pt>
                <c:pt idx="49">
                  <c:v>2308199.354108206</c:v>
                </c:pt>
                <c:pt idx="50">
                  <c:v>4246898.0398011571</c:v>
                </c:pt>
                <c:pt idx="51">
                  <c:v>2534819.8404245451</c:v>
                </c:pt>
                <c:pt idx="52">
                  <c:v>1965519.8371879994</c:v>
                </c:pt>
                <c:pt idx="53">
                  <c:v>2923055.1935560252</c:v>
                </c:pt>
                <c:pt idx="54">
                  <c:v>4028002.897202237</c:v>
                </c:pt>
                <c:pt idx="55">
                  <c:v>2168886.8352148305</c:v>
                </c:pt>
                <c:pt idx="56">
                  <c:v>795573.84370873426</c:v>
                </c:pt>
              </c:numCache>
            </c:numRef>
          </c:xVal>
          <c:yVal>
            <c:numRef>
              <c:f>[2]Alagnak!$Y$17:$Y$73</c:f>
              <c:numCache>
                <c:formatCode>0</c:formatCode>
                <c:ptCount val="57"/>
                <c:pt idx="0">
                  <c:v>314033.55737485801</c:v>
                </c:pt>
                <c:pt idx="1">
                  <c:v>324288.95516926399</c:v>
                </c:pt>
                <c:pt idx="2">
                  <c:v>500779.51142110903</c:v>
                </c:pt>
                <c:pt idx="3">
                  <c:v>537293.52445327595</c:v>
                </c:pt>
                <c:pt idx="4">
                  <c:v>302589.30717202002</c:v>
                </c:pt>
                <c:pt idx="5">
                  <c:v>63552.969370713901</c:v>
                </c:pt>
                <c:pt idx="6">
                  <c:v>247579.730446879</c:v>
                </c:pt>
                <c:pt idx="7">
                  <c:v>112656.701619766</c:v>
                </c:pt>
                <c:pt idx="8">
                  <c:v>157449.67068392399</c:v>
                </c:pt>
                <c:pt idx="9">
                  <c:v>234915.33416411001</c:v>
                </c:pt>
                <c:pt idx="10">
                  <c:v>1110702.1544836799</c:v>
                </c:pt>
                <c:pt idx="11">
                  <c:v>1620186.93918502</c:v>
                </c:pt>
                <c:pt idx="12">
                  <c:v>855660.862369649</c:v>
                </c:pt>
                <c:pt idx="13">
                  <c:v>667234.69757733005</c:v>
                </c:pt>
                <c:pt idx="14">
                  <c:v>1345575.8198595301</c:v>
                </c:pt>
                <c:pt idx="15">
                  <c:v>2664575.17756896</c:v>
                </c:pt>
                <c:pt idx="16">
                  <c:v>1193249.44342189</c:v>
                </c:pt>
                <c:pt idx="17">
                  <c:v>843580.10872609494</c:v>
                </c:pt>
                <c:pt idx="18">
                  <c:v>1020938.7083222501</c:v>
                </c:pt>
                <c:pt idx="19">
                  <c:v>780737.31908047304</c:v>
                </c:pt>
                <c:pt idx="20">
                  <c:v>851134.59856892901</c:v>
                </c:pt>
                <c:pt idx="21">
                  <c:v>1379369.7665329501</c:v>
                </c:pt>
                <c:pt idx="22">
                  <c:v>1591425.18648978</c:v>
                </c:pt>
                <c:pt idx="23">
                  <c:v>1684654.8706050799</c:v>
                </c:pt>
                <c:pt idx="24">
                  <c:v>1461638.5858147</c:v>
                </c:pt>
                <c:pt idx="25">
                  <c:v>2451734.9146045898</c:v>
                </c:pt>
                <c:pt idx="26">
                  <c:v>2062023.39943197</c:v>
                </c:pt>
                <c:pt idx="27">
                  <c:v>2198777.94068358</c:v>
                </c:pt>
                <c:pt idx="28">
                  <c:v>2383541.7351381201</c:v>
                </c:pt>
                <c:pt idx="29">
                  <c:v>814336.19779917598</c:v>
                </c:pt>
                <c:pt idx="30">
                  <c:v>1185591.3031894399</c:v>
                </c:pt>
                <c:pt idx="31">
                  <c:v>3028936.64962732</c:v>
                </c:pt>
                <c:pt idx="32">
                  <c:v>2189169.9536476801</c:v>
                </c:pt>
                <c:pt idx="33">
                  <c:v>1186912.5549520601</c:v>
                </c:pt>
                <c:pt idx="34">
                  <c:v>941300.53276682703</c:v>
                </c:pt>
                <c:pt idx="35">
                  <c:v>4157797.3451392301</c:v>
                </c:pt>
                <c:pt idx="36">
                  <c:v>7525949.1367229596</c:v>
                </c:pt>
                <c:pt idx="37">
                  <c:v>5224715.57924587</c:v>
                </c:pt>
                <c:pt idx="38">
                  <c:v>3342878.9177765902</c:v>
                </c:pt>
                <c:pt idx="39">
                  <c:v>4771232.6823479496</c:v>
                </c:pt>
                <c:pt idx="40">
                  <c:v>4706011.4554488799</c:v>
                </c:pt>
                <c:pt idx="41">
                  <c:v>2369159.9284568802</c:v>
                </c:pt>
                <c:pt idx="42">
                  <c:v>2815554.2563738301</c:v>
                </c:pt>
                <c:pt idx="43">
                  <c:v>2249301.6714230999</c:v>
                </c:pt>
                <c:pt idx="44">
                  <c:v>2227427.3991779098</c:v>
                </c:pt>
                <c:pt idx="45">
                  <c:v>1930231.20777954</c:v>
                </c:pt>
                <c:pt idx="46">
                  <c:v>1621056.34954884</c:v>
                </c:pt>
                <c:pt idx="47">
                  <c:v>8244122.3534390004</c:v>
                </c:pt>
                <c:pt idx="48">
                  <c:v>4938142.3356476501</c:v>
                </c:pt>
                <c:pt idx="49">
                  <c:v>4430315.2449948899</c:v>
                </c:pt>
                <c:pt idx="50">
                  <c:v>2873549.5305123501</c:v>
                </c:pt>
                <c:pt idx="51">
                  <c:v>1855135.6227310901</c:v>
                </c:pt>
                <c:pt idx="52">
                  <c:v>4561207.9638651703</c:v>
                </c:pt>
                <c:pt idx="53">
                  <c:v>6124320.6042396696</c:v>
                </c:pt>
                <c:pt idx="54">
                  <c:v>4645074.1605213201</c:v>
                </c:pt>
                <c:pt idx="55">
                  <c:v>2539456.19806688</c:v>
                </c:pt>
                <c:pt idx="56">
                  <c:v>4335434.7163846698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45-437F-A254-F29DDA065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71807"/>
        <c:axId val="49088607"/>
      </c:scatterChart>
      <c:valAx>
        <c:axId val="49071807"/>
        <c:scaling>
          <c:logBase val="10"/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88607"/>
        <c:crosses val="autoZero"/>
        <c:crossBetween val="midCat"/>
      </c:valAx>
      <c:valAx>
        <c:axId val="49088607"/>
        <c:scaling>
          <c:logBase val="10"/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Alagnak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1.5887282578423676E-2"/>
                  <c:y val="0.33910834062408868"/>
                </c:manualLayout>
              </c:layout>
              <c:numFmt formatCode="General" sourceLinked="0"/>
            </c:trendlineLbl>
          </c:trendline>
          <c:xVal>
            <c:numRef>
              <c:f>[2]Alagnak!$B$21:$B$67</c:f>
              <c:numCache>
                <c:formatCode>General</c:formatCode>
                <c:ptCount val="47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  <c:pt idx="43">
                  <c:v>2021</c:v>
                </c:pt>
                <c:pt idx="44">
                  <c:v>2022</c:v>
                </c:pt>
                <c:pt idx="45">
                  <c:v>2023</c:v>
                </c:pt>
                <c:pt idx="46">
                  <c:v>2024</c:v>
                </c:pt>
              </c:numCache>
            </c:numRef>
          </c:xVal>
          <c:yVal>
            <c:numRef>
              <c:f>[2]Alagnak!$D$21:$D$67</c:f>
              <c:numCache>
                <c:formatCode>General</c:formatCode>
                <c:ptCount val="47"/>
                <c:pt idx="0">
                  <c:v>13.92050294537121</c:v>
                </c:pt>
                <c:pt idx="1">
                  <c:v>14.298052094995585</c:v>
                </c:pt>
                <c:pt idx="2">
                  <c:v>13.659629387718452</c:v>
                </c:pt>
                <c:pt idx="3">
                  <c:v>13.410897133320763</c:v>
                </c:pt>
                <c:pt idx="4">
                  <c:v>14.11233259836041</c:v>
                </c:pt>
                <c:pt idx="5">
                  <c:v>14.795555194995371</c:v>
                </c:pt>
                <c:pt idx="6">
                  <c:v>13.992190768913709</c:v>
                </c:pt>
                <c:pt idx="7">
                  <c:v>13.6454101483614</c:v>
                </c:pt>
                <c:pt idx="8">
                  <c:v>13.836233064003027</c:v>
                </c:pt>
                <c:pt idx="9">
                  <c:v>13.567994033066578</c:v>
                </c:pt>
                <c:pt idx="10">
                  <c:v>13.654325560148614</c:v>
                </c:pt>
                <c:pt idx="11">
                  <c:v>14.137137262238774</c:v>
                </c:pt>
                <c:pt idx="12">
                  <c:v>14.280140516116788</c:v>
                </c:pt>
                <c:pt idx="13">
                  <c:v>14.337071276456888</c:v>
                </c:pt>
                <c:pt idx="14">
                  <c:v>14.195068683533261</c:v>
                </c:pt>
                <c:pt idx="15">
                  <c:v>14.712306460487602</c:v>
                </c:pt>
                <c:pt idx="16">
                  <c:v>14.539198291215317</c:v>
                </c:pt>
                <c:pt idx="17">
                  <c:v>14.603412282627978</c:v>
                </c:pt>
                <c:pt idx="18">
                  <c:v>14.684098063438057</c:v>
                </c:pt>
                <c:pt idx="19">
                  <c:v>13.610128579248757</c:v>
                </c:pt>
                <c:pt idx="20">
                  <c:v>13.985752197970738</c:v>
                </c:pt>
                <c:pt idx="21">
                  <c:v>14.923722175297431</c:v>
                </c:pt>
                <c:pt idx="22">
                  <c:v>14.599033013509443</c:v>
                </c:pt>
                <c:pt idx="23">
                  <c:v>13.986866001964891</c:v>
                </c:pt>
                <c:pt idx="24">
                  <c:v>13.755017743560861</c:v>
                </c:pt>
                <c:pt idx="25">
                  <c:v>15.240496007636093</c:v>
                </c:pt>
                <c:pt idx="26">
                  <c:v>15.833867491675264</c:v>
                </c:pt>
                <c:pt idx="27">
                  <c:v>15.468910919692382</c:v>
                </c:pt>
                <c:pt idx="28">
                  <c:v>15.022342944883881</c:v>
                </c:pt>
                <c:pt idx="29">
                  <c:v>15.378115253378191</c:v>
                </c:pt>
                <c:pt idx="30">
                  <c:v>15.364351282393129</c:v>
                </c:pt>
                <c:pt idx="31">
                  <c:v>14.678045989515756</c:v>
                </c:pt>
                <c:pt idx="32">
                  <c:v>14.850669693958194</c:v>
                </c:pt>
                <c:pt idx="33">
                  <c:v>14.626130357561905</c:v>
                </c:pt>
                <c:pt idx="34">
                  <c:v>14.616357845203359</c:v>
                </c:pt>
                <c:pt idx="35">
                  <c:v>14.473150350597185</c:v>
                </c:pt>
                <c:pt idx="36">
                  <c:v>14.2985885626059</c:v>
                </c:pt>
                <c:pt idx="37">
                  <c:v>15.92501106234281</c:v>
                </c:pt>
                <c:pt idx="38">
                  <c:v>15.412499773097196</c:v>
                </c:pt>
                <c:pt idx="39">
                  <c:v>15.303981300889015</c:v>
                </c:pt>
                <c:pt idx="40">
                  <c:v>14.871058593600591</c:v>
                </c:pt>
                <c:pt idx="41">
                  <c:v>14.433468362941447</c:v>
                </c:pt>
                <c:pt idx="42">
                  <c:v>15.333098050795561</c:v>
                </c:pt>
                <c:pt idx="43">
                  <c:v>15.627778386446868</c:v>
                </c:pt>
                <c:pt idx="44">
                  <c:v>15.351317895872269</c:v>
                </c:pt>
                <c:pt idx="45">
                  <c:v>14.747460520797464</c:v>
                </c:pt>
                <c:pt idx="46">
                  <c:v>15.282332443765249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E7-4FA9-9015-5475E61E5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942272"/>
        <c:axId val="258330624"/>
      </c:scatterChart>
      <c:valAx>
        <c:axId val="257942272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58330624"/>
        <c:crosses val="autoZero"/>
        <c:crossBetween val="midCat"/>
      </c:valAx>
      <c:valAx>
        <c:axId val="258330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942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4E914-0D0A-422B-81C2-3FDD2ADB1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A0422E-72F0-4523-BFE7-A3F5615D1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311293</xdr:colOff>
      <xdr:row>16</xdr:row>
      <xdr:rowOff>88631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679F49-202B-279B-DEEC-77BCBECF6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4578493" cy="275563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8</xdr:col>
      <xdr:colOff>304800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0448A5-14C3-4FFF-831D-9A7C3E4D0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166687</xdr:colOff>
      <xdr:row>65</xdr:row>
      <xdr:rowOff>61912</xdr:rowOff>
    </xdr:from>
    <xdr:to>
      <xdr:col>20</xdr:col>
      <xdr:colOff>471487</xdr:colOff>
      <xdr:row>79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45957A-6788-0119-FDB0-E27AFEA2F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68</xdr:row>
      <xdr:rowOff>118110</xdr:rowOff>
    </xdr:from>
    <xdr:to>
      <xdr:col>8</xdr:col>
      <xdr:colOff>327660</xdr:colOff>
      <xdr:row>83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BA7AA1-91B1-4674-9106-A7BD5A19E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68</xdr:row>
      <xdr:rowOff>0</xdr:rowOff>
    </xdr:from>
    <xdr:to>
      <xdr:col>16</xdr:col>
      <xdr:colOff>304800</xdr:colOff>
      <xdr:row>83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5C3D91-7DB9-4429-8DB5-88FA24927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304800</xdr:colOff>
      <xdr:row>123</xdr:row>
      <xdr:rowOff>121920</xdr:rowOff>
    </xdr:to>
    <xdr:sp macro="" textlink="">
      <xdr:nvSpPr>
        <xdr:cNvPr id="4" name="AutoShape 2" descr="researchgate.net">
          <a:extLst>
            <a:ext uri="{FF2B5EF4-FFF2-40B4-BE49-F238E27FC236}">
              <a16:creationId xmlns:a16="http://schemas.microsoft.com/office/drawing/2014/main" id="{2D5E6164-F69D-4D49-92B1-5D146795CA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4505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304800</xdr:colOff>
      <xdr:row>123</xdr:row>
      <xdr:rowOff>121920</xdr:rowOff>
    </xdr:to>
    <xdr:sp macro="" textlink="">
      <xdr:nvSpPr>
        <xdr:cNvPr id="5" name="AutoShape 3" descr="researchgate.net">
          <a:extLst>
            <a:ext uri="{FF2B5EF4-FFF2-40B4-BE49-F238E27FC236}">
              <a16:creationId xmlns:a16="http://schemas.microsoft.com/office/drawing/2014/main" id="{1046B508-95A7-4D77-A835-EA54A008FF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4505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241935</xdr:colOff>
      <xdr:row>76</xdr:row>
      <xdr:rowOff>32385</xdr:rowOff>
    </xdr:from>
    <xdr:to>
      <xdr:col>25</xdr:col>
      <xdr:colOff>495300</xdr:colOff>
      <xdr:row>91</xdr:row>
      <xdr:rowOff>80010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D28979-BF59-47CF-8453-CBEBD68F8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102</xdr:row>
      <xdr:rowOff>0</xdr:rowOff>
    </xdr:from>
    <xdr:to>
      <xdr:col>8</xdr:col>
      <xdr:colOff>472440</xdr:colOff>
      <xdr:row>117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C44243-76AE-4144-BAA6-A3AA10D52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119</xdr:row>
      <xdr:rowOff>0</xdr:rowOff>
    </xdr:from>
    <xdr:to>
      <xdr:col>8</xdr:col>
      <xdr:colOff>472440</xdr:colOff>
      <xdr:row>134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2735B1-64E2-4CBE-9802-531012456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581025</xdr:colOff>
      <xdr:row>35</xdr:row>
      <xdr:rowOff>23812</xdr:rowOff>
    </xdr:from>
    <xdr:to>
      <xdr:col>46</xdr:col>
      <xdr:colOff>276225</xdr:colOff>
      <xdr:row>49</xdr:row>
      <xdr:rowOff>100012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7C03A6-298D-4EF2-8AC3-F0007143C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39</xdr:col>
      <xdr:colOff>0</xdr:colOff>
      <xdr:row>81</xdr:row>
      <xdr:rowOff>0</xdr:rowOff>
    </xdr:from>
    <xdr:to>
      <xdr:col>46</xdr:col>
      <xdr:colOff>304800</xdr:colOff>
      <xdr:row>95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0575B4D-A0DA-40CA-B89D-F3D571891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0</xdr:colOff>
      <xdr:row>98</xdr:row>
      <xdr:rowOff>0</xdr:rowOff>
    </xdr:from>
    <xdr:to>
      <xdr:col>46</xdr:col>
      <xdr:colOff>304800</xdr:colOff>
      <xdr:row>112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3E94297-D1B8-4890-A3DF-FF41996D5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0</xdr:colOff>
      <xdr:row>15</xdr:row>
      <xdr:rowOff>0</xdr:rowOff>
    </xdr:from>
    <xdr:to>
      <xdr:col>57</xdr:col>
      <xdr:colOff>548640</xdr:colOff>
      <xdr:row>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B029597-89A3-415A-BEE0-FA5E1BBE2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68</xdr:row>
      <xdr:rowOff>118110</xdr:rowOff>
    </xdr:from>
    <xdr:to>
      <xdr:col>8</xdr:col>
      <xdr:colOff>327660</xdr:colOff>
      <xdr:row>83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3FBE8E-8C6C-4522-80EC-6A7E94883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68</xdr:row>
      <xdr:rowOff>0</xdr:rowOff>
    </xdr:from>
    <xdr:to>
      <xdr:col>16</xdr:col>
      <xdr:colOff>304800</xdr:colOff>
      <xdr:row>83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EA31E4-C1D6-4D90-986D-6AD8AFE88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304800</xdr:colOff>
      <xdr:row>123</xdr:row>
      <xdr:rowOff>121920</xdr:rowOff>
    </xdr:to>
    <xdr:sp macro="" textlink="">
      <xdr:nvSpPr>
        <xdr:cNvPr id="4" name="AutoShape 2" descr="researchgate.net">
          <a:extLst>
            <a:ext uri="{FF2B5EF4-FFF2-40B4-BE49-F238E27FC236}">
              <a16:creationId xmlns:a16="http://schemas.microsoft.com/office/drawing/2014/main" id="{EB36AC16-B826-474B-965E-2ABEB9E40CC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4505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304800</xdr:colOff>
      <xdr:row>123</xdr:row>
      <xdr:rowOff>121920</xdr:rowOff>
    </xdr:to>
    <xdr:sp macro="" textlink="">
      <xdr:nvSpPr>
        <xdr:cNvPr id="5" name="AutoShape 3" descr="researchgate.net">
          <a:extLst>
            <a:ext uri="{FF2B5EF4-FFF2-40B4-BE49-F238E27FC236}">
              <a16:creationId xmlns:a16="http://schemas.microsoft.com/office/drawing/2014/main" id="{484677DB-1FA4-4B26-A07A-511A8B2F52E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4505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241935</xdr:colOff>
      <xdr:row>76</xdr:row>
      <xdr:rowOff>32385</xdr:rowOff>
    </xdr:from>
    <xdr:to>
      <xdr:col>25</xdr:col>
      <xdr:colOff>495300</xdr:colOff>
      <xdr:row>91</xdr:row>
      <xdr:rowOff>80010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5B9C12-7DB9-427D-868C-0810B74E0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102</xdr:row>
      <xdr:rowOff>0</xdr:rowOff>
    </xdr:from>
    <xdr:to>
      <xdr:col>8</xdr:col>
      <xdr:colOff>472440</xdr:colOff>
      <xdr:row>117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DCACCA-C730-44C6-93BF-C0551435B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119</xdr:row>
      <xdr:rowOff>0</xdr:rowOff>
    </xdr:from>
    <xdr:to>
      <xdr:col>8</xdr:col>
      <xdr:colOff>472440</xdr:colOff>
      <xdr:row>134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303ACE-3A04-4B02-8EE1-F4F4280EA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581025</xdr:colOff>
      <xdr:row>35</xdr:row>
      <xdr:rowOff>23812</xdr:rowOff>
    </xdr:from>
    <xdr:to>
      <xdr:col>46</xdr:col>
      <xdr:colOff>276225</xdr:colOff>
      <xdr:row>49</xdr:row>
      <xdr:rowOff>100012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C90277-D7AC-4F27-A18B-E3B314C69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39</xdr:col>
      <xdr:colOff>0</xdr:colOff>
      <xdr:row>81</xdr:row>
      <xdr:rowOff>0</xdr:rowOff>
    </xdr:from>
    <xdr:to>
      <xdr:col>46</xdr:col>
      <xdr:colOff>304800</xdr:colOff>
      <xdr:row>95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AF9A8E-CD41-47EC-B2A8-BFB09BB46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0</xdr:colOff>
      <xdr:row>98</xdr:row>
      <xdr:rowOff>0</xdr:rowOff>
    </xdr:from>
    <xdr:to>
      <xdr:col>46</xdr:col>
      <xdr:colOff>304800</xdr:colOff>
      <xdr:row>112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2A60C2C-5AE5-4FF5-AA1D-40535B368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0</xdr:colOff>
      <xdr:row>15</xdr:row>
      <xdr:rowOff>0</xdr:rowOff>
    </xdr:from>
    <xdr:to>
      <xdr:col>57</xdr:col>
      <xdr:colOff>548640</xdr:colOff>
      <xdr:row>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9F8F88C-5201-4959-BFED-B7AE88473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mac\OneDrive\Desktop\pacea.xlsx" TargetMode="External"/><Relationship Id="rId1" Type="http://schemas.openxmlformats.org/officeDocument/2006/relationships/externalLinkPath" Target="file:///C:\Users\abmac\OneDrive\Desktop\pace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5Prize\bristolbay\BristolBayPreds2025.xlsx" TargetMode="External"/><Relationship Id="rId1" Type="http://schemas.openxmlformats.org/officeDocument/2006/relationships/externalLinkPath" Target="/Alec&amp;BarbsFiles/Alec/AlecScience/SalmonPrize/2025Prize/bristolbay/BristolBayPreds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4RevisedData\ORGFinalSpreadsheets\Alagnak.xlsx" TargetMode="External"/><Relationship Id="rId1" Type="http://schemas.openxmlformats.org/officeDocument/2006/relationships/externalLinkPath" Target="/Alec&amp;BarbsFiles/Alec/AlecScience/SalmonPrize/2024RevisedData/ORGFinalSpreadsheets/Alagn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cea-all"/>
      <sheetName val="shortened"/>
      <sheetName val="envdata"/>
      <sheetName val="CorTemplate"/>
      <sheetName val="results"/>
    </sheetNames>
    <sheetDataSet>
      <sheetData sheetId="0"/>
      <sheetData sheetId="1"/>
      <sheetData sheetId="2"/>
      <sheetData sheetId="3">
        <row r="5">
          <cell r="G5">
            <v>0.23250220767595539</v>
          </cell>
          <cell r="H5">
            <v>0.19418495737894026</v>
          </cell>
          <cell r="I5">
            <v>0.24480962492282948</v>
          </cell>
          <cell r="J5">
            <v>0.17223421523244936</v>
          </cell>
          <cell r="K5">
            <v>0.11419906818918081</v>
          </cell>
          <cell r="L5">
            <v>0.2579026753096561</v>
          </cell>
          <cell r="M5">
            <v>0.26056933640280466</v>
          </cell>
          <cell r="N5">
            <v>0.24317859814811771</v>
          </cell>
          <cell r="O5">
            <v>0.23271882222679649</v>
          </cell>
          <cell r="P5">
            <v>0.17939586977624172</v>
          </cell>
          <cell r="Q5">
            <v>0.27123117035787181</v>
          </cell>
          <cell r="R5">
            <v>0.3469047226065855</v>
          </cell>
          <cell r="S5">
            <v>0.45182068630319128</v>
          </cell>
          <cell r="T5">
            <v>0.3543722913029112</v>
          </cell>
          <cell r="U5">
            <v>0.31166290284756998</v>
          </cell>
          <cell r="V5">
            <v>0.33848075225612756</v>
          </cell>
          <cell r="W5">
            <v>0.24207065961206078</v>
          </cell>
          <cell r="X5">
            <v>0.31421534896795322</v>
          </cell>
          <cell r="Y5">
            <v>0.30173361634459944</v>
          </cell>
          <cell r="Z5">
            <v>0.34342066892694806</v>
          </cell>
          <cell r="AA5">
            <v>0.42605006226399789</v>
          </cell>
          <cell r="AB5">
            <v>0.39924915484704404</v>
          </cell>
          <cell r="AC5">
            <v>0.43677137512519842</v>
          </cell>
          <cell r="AD5">
            <v>0.4903756416006595</v>
          </cell>
          <cell r="AE5">
            <v>0.50357718221028069</v>
          </cell>
          <cell r="AF5">
            <v>0.43642354299234865</v>
          </cell>
          <cell r="AG5">
            <v>0.39491334064319572</v>
          </cell>
          <cell r="AH5">
            <v>0.29168503619934993</v>
          </cell>
          <cell r="AI5">
            <v>0.18503545015297554</v>
          </cell>
          <cell r="AJ5">
            <v>0.18322866013093492</v>
          </cell>
          <cell r="AK5">
            <v>0.25986778197339788</v>
          </cell>
          <cell r="AL5">
            <v>0.25351675175491994</v>
          </cell>
          <cell r="AM5">
            <v>0.26279699201785972</v>
          </cell>
          <cell r="AN5">
            <v>0.17064659271504912</v>
          </cell>
          <cell r="AO5">
            <v>0.20698505503636089</v>
          </cell>
          <cell r="AP5">
            <v>0.24515131019009903</v>
          </cell>
          <cell r="AQ5">
            <v>0.29944273231912383</v>
          </cell>
          <cell r="AR5">
            <v>0.33275297769843593</v>
          </cell>
          <cell r="AS5">
            <v>0.34778786657765137</v>
          </cell>
          <cell r="AT5">
            <v>0.40682254126251965</v>
          </cell>
          <cell r="AU5">
            <v>0.27106768349346116</v>
          </cell>
        </row>
        <row r="7">
          <cell r="G7">
            <v>0</v>
          </cell>
          <cell r="H7">
            <v>-1</v>
          </cell>
          <cell r="I7">
            <v>-2</v>
          </cell>
          <cell r="J7">
            <v>-3</v>
          </cell>
          <cell r="K7">
            <v>-4</v>
          </cell>
          <cell r="L7">
            <v>-5</v>
          </cell>
          <cell r="M7">
            <v>-6</v>
          </cell>
          <cell r="N7">
            <v>-7</v>
          </cell>
          <cell r="O7">
            <v>-8</v>
          </cell>
          <cell r="P7">
            <v>-9</v>
          </cell>
          <cell r="Q7">
            <v>-10</v>
          </cell>
          <cell r="R7">
            <v>-11</v>
          </cell>
          <cell r="S7">
            <v>-12</v>
          </cell>
          <cell r="T7">
            <v>-13</v>
          </cell>
          <cell r="U7">
            <v>-14</v>
          </cell>
          <cell r="V7">
            <v>-15</v>
          </cell>
          <cell r="W7">
            <v>-16</v>
          </cell>
          <cell r="X7">
            <v>-17</v>
          </cell>
          <cell r="Y7">
            <v>-18</v>
          </cell>
          <cell r="Z7">
            <v>-19</v>
          </cell>
          <cell r="AA7">
            <v>-20</v>
          </cell>
          <cell r="AB7">
            <v>-21</v>
          </cell>
          <cell r="AC7">
            <v>-22</v>
          </cell>
          <cell r="AD7">
            <v>-23</v>
          </cell>
          <cell r="AE7">
            <v>-24</v>
          </cell>
          <cell r="AF7">
            <v>-25</v>
          </cell>
          <cell r="AG7">
            <v>-26</v>
          </cell>
          <cell r="AH7">
            <v>-27</v>
          </cell>
          <cell r="AI7">
            <v>-28</v>
          </cell>
          <cell r="AJ7">
            <v>-29</v>
          </cell>
          <cell r="AK7">
            <v>-30</v>
          </cell>
          <cell r="AL7">
            <v>-31</v>
          </cell>
          <cell r="AM7">
            <v>-32</v>
          </cell>
          <cell r="AN7">
            <v>-33</v>
          </cell>
          <cell r="AO7">
            <v>-34</v>
          </cell>
          <cell r="AP7">
            <v>-35</v>
          </cell>
          <cell r="AQ7">
            <v>-36</v>
          </cell>
          <cell r="AR7">
            <v>-37</v>
          </cell>
          <cell r="AS7">
            <v>-38</v>
          </cell>
          <cell r="AT7">
            <v>-39</v>
          </cell>
          <cell r="AU7">
            <v>-40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ficial"/>
      <sheetName val="Alagnak"/>
      <sheetName val="Egegik"/>
      <sheetName val="Igushik"/>
      <sheetName val="Kvichak"/>
      <sheetName val="Naknek"/>
      <sheetName val="Nushagak"/>
      <sheetName val="Ugashik"/>
      <sheetName val="Wood"/>
    </sheetNames>
    <sheetDataSet>
      <sheetData sheetId="0"/>
      <sheetData sheetId="1">
        <row r="6">
          <cell r="B6">
            <v>1963</v>
          </cell>
          <cell r="C6">
            <v>378138.28100000002</v>
          </cell>
        </row>
        <row r="7">
          <cell r="B7">
            <v>1964</v>
          </cell>
          <cell r="C7">
            <v>759383.0503</v>
          </cell>
        </row>
        <row r="8">
          <cell r="B8">
            <v>1965</v>
          </cell>
          <cell r="C8">
            <v>397860.60820000002</v>
          </cell>
        </row>
        <row r="9">
          <cell r="B9">
            <v>1966</v>
          </cell>
          <cell r="C9">
            <v>394077.15909999999</v>
          </cell>
        </row>
        <row r="10">
          <cell r="B10">
            <v>1967</v>
          </cell>
          <cell r="C10">
            <v>344305.58559999999</v>
          </cell>
        </row>
        <row r="11">
          <cell r="B11">
            <v>1968</v>
          </cell>
          <cell r="C11">
            <v>314033.55739999999</v>
          </cell>
        </row>
        <row r="12">
          <cell r="B12">
            <v>1969</v>
          </cell>
          <cell r="C12">
            <v>324288.95520000003</v>
          </cell>
        </row>
        <row r="13">
          <cell r="B13">
            <v>1970</v>
          </cell>
          <cell r="C13">
            <v>500779.51150000002</v>
          </cell>
        </row>
        <row r="14">
          <cell r="B14">
            <v>1971</v>
          </cell>
          <cell r="C14">
            <v>537293.52439999999</v>
          </cell>
        </row>
        <row r="15">
          <cell r="B15">
            <v>1972</v>
          </cell>
          <cell r="C15">
            <v>302589.30719999998</v>
          </cell>
        </row>
        <row r="16">
          <cell r="B16">
            <v>1973</v>
          </cell>
          <cell r="C16">
            <v>63552.969369999999</v>
          </cell>
        </row>
        <row r="17">
          <cell r="B17">
            <v>1974</v>
          </cell>
          <cell r="C17">
            <v>247579.7304</v>
          </cell>
          <cell r="Y17">
            <v>314033.55737485801</v>
          </cell>
          <cell r="AK17">
            <v>1771488.0674796803</v>
          </cell>
          <cell r="AL17">
            <v>366154.32107129833</v>
          </cell>
        </row>
        <row r="18">
          <cell r="B18">
            <v>1975</v>
          </cell>
          <cell r="C18">
            <v>112656.7016</v>
          </cell>
          <cell r="Y18">
            <v>324288.95516926399</v>
          </cell>
          <cell r="AK18">
            <v>1633085.8405814276</v>
          </cell>
          <cell r="AL18">
            <v>185135.38357163232</v>
          </cell>
        </row>
        <row r="19">
          <cell r="B19">
            <v>1976</v>
          </cell>
          <cell r="C19">
            <v>157449.67069999999</v>
          </cell>
          <cell r="Y19">
            <v>500779.51142110903</v>
          </cell>
          <cell r="AK19">
            <v>1646105.8943439575</v>
          </cell>
          <cell r="AL19">
            <v>286656.83781537053</v>
          </cell>
        </row>
        <row r="20">
          <cell r="B20">
            <v>1977</v>
          </cell>
          <cell r="C20">
            <v>234915.33420000001</v>
          </cell>
          <cell r="Y20">
            <v>537293.52445327595</v>
          </cell>
          <cell r="AK20">
            <v>1847747.020167243</v>
          </cell>
          <cell r="AL20">
            <v>509697.41020111443</v>
          </cell>
        </row>
        <row r="21">
          <cell r="B21">
            <v>1978</v>
          </cell>
          <cell r="C21">
            <v>1110702.155</v>
          </cell>
          <cell r="D21">
            <v>13.92050294537121</v>
          </cell>
          <cell r="E21">
            <v>1.5535224971613459</v>
          </cell>
          <cell r="Y21">
            <v>302589.30717202002</v>
          </cell>
          <cell r="AK21">
            <v>1801929.6478116687</v>
          </cell>
          <cell r="AL21">
            <v>424206.6415812209</v>
          </cell>
        </row>
        <row r="22">
          <cell r="B22">
            <v>1979</v>
          </cell>
          <cell r="C22">
            <v>1620186.939</v>
          </cell>
          <cell r="D22">
            <v>14.298052094995585</v>
          </cell>
          <cell r="E22">
            <v>0.37754914962437525</v>
          </cell>
          <cell r="Y22">
            <v>63552.969370713901</v>
          </cell>
          <cell r="AK22">
            <v>1720986.4668545625</v>
          </cell>
          <cell r="AL22">
            <v>347221.64314221975</v>
          </cell>
        </row>
        <row r="23">
          <cell r="B23">
            <v>1980</v>
          </cell>
          <cell r="C23">
            <v>855660.86230000004</v>
          </cell>
          <cell r="D23">
            <v>13.659629387718452</v>
          </cell>
          <cell r="E23">
            <v>-0.63842270727713313</v>
          </cell>
          <cell r="Y23">
            <v>247579.730446879</v>
          </cell>
          <cell r="AK23">
            <v>1533222.7510112317</v>
          </cell>
          <cell r="AL23">
            <v>2823.2797288561428</v>
          </cell>
        </row>
        <row r="24">
          <cell r="B24">
            <v>1981</v>
          </cell>
          <cell r="C24">
            <v>667234.69750000001</v>
          </cell>
          <cell r="D24">
            <v>13.410897133320763</v>
          </cell>
          <cell r="E24">
            <v>-0.24873225439768909</v>
          </cell>
          <cell r="Y24">
            <v>112656.701619766</v>
          </cell>
          <cell r="AK24">
            <v>1612604.2531708842</v>
          </cell>
          <cell r="AL24">
            <v>231969.43844091179</v>
          </cell>
        </row>
        <row r="25">
          <cell r="B25">
            <v>1982</v>
          </cell>
          <cell r="C25">
            <v>1345575.82</v>
          </cell>
          <cell r="D25">
            <v>14.11233259836041</v>
          </cell>
          <cell r="E25">
            <v>0.70143546503964771</v>
          </cell>
          <cell r="Y25">
            <v>157449.67068392399</v>
          </cell>
          <cell r="AK25">
            <v>1561726.5338337258</v>
          </cell>
          <cell r="AL25">
            <v>53850.540163720594</v>
          </cell>
        </row>
        <row r="26">
          <cell r="B26">
            <v>1983</v>
          </cell>
          <cell r="C26">
            <v>2664575.1779999998</v>
          </cell>
          <cell r="D26">
            <v>14.795555194995371</v>
          </cell>
          <cell r="E26">
            <v>0.68322259663496077</v>
          </cell>
          <cell r="Y26">
            <v>234915.33416411001</v>
          </cell>
          <cell r="AK26">
            <v>1604730.7521536169</v>
          </cell>
          <cell r="AL26">
            <v>141175.01930862144</v>
          </cell>
        </row>
        <row r="27">
          <cell r="B27">
            <v>1984</v>
          </cell>
          <cell r="C27">
            <v>1193249.4439999999</v>
          </cell>
          <cell r="D27">
            <v>13.992190768913709</v>
          </cell>
          <cell r="E27">
            <v>-0.80336442608166259</v>
          </cell>
          <cell r="Y27">
            <v>1110702.1544836799</v>
          </cell>
          <cell r="AK27">
            <v>1531819.4704780476</v>
          </cell>
          <cell r="AL27">
            <v>6.3094975440893247E-8</v>
          </cell>
        </row>
        <row r="28">
          <cell r="B28">
            <v>1985</v>
          </cell>
          <cell r="C28">
            <v>843580.10880000005</v>
          </cell>
          <cell r="D28">
            <v>13.6454101483614</v>
          </cell>
          <cell r="E28">
            <v>-0.34678062055230896</v>
          </cell>
          <cell r="Y28">
            <v>1620186.93918502</v>
          </cell>
          <cell r="AK28">
            <v>2280966.1646935879</v>
          </cell>
          <cell r="AL28">
            <v>1491848.4369501173</v>
          </cell>
        </row>
        <row r="29">
          <cell r="B29">
            <v>1986</v>
          </cell>
          <cell r="C29">
            <v>1020938.708</v>
          </cell>
          <cell r="D29">
            <v>13.836233064003027</v>
          </cell>
          <cell r="E29">
            <v>0.19082291564162723</v>
          </cell>
          <cell r="Y29">
            <v>855660.862369649</v>
          </cell>
          <cell r="AK29">
            <v>1529375.4600384748</v>
          </cell>
          <cell r="AL29">
            <v>1555758.7015041581</v>
          </cell>
        </row>
        <row r="30">
          <cell r="B30">
            <v>1987</v>
          </cell>
          <cell r="C30">
            <v>780737.31909999996</v>
          </cell>
          <cell r="D30">
            <v>13.567994033066578</v>
          </cell>
          <cell r="E30">
            <v>-0.2682390309364493</v>
          </cell>
          <cell r="Y30">
            <v>667234.69757733005</v>
          </cell>
          <cell r="AK30">
            <v>1531819.4839488892</v>
          </cell>
          <cell r="AL30">
            <v>4.481586039822677E-2</v>
          </cell>
        </row>
        <row r="31">
          <cell r="B31">
            <v>1988</v>
          </cell>
          <cell r="C31">
            <v>851134.59849999996</v>
          </cell>
          <cell r="D31">
            <v>13.654325560148614</v>
          </cell>
          <cell r="E31">
            <v>8.6331527082036175E-2</v>
          </cell>
          <cell r="Y31">
            <v>1345575.8198595301</v>
          </cell>
          <cell r="AK31">
            <v>1531819.4704783212</v>
          </cell>
          <cell r="AL31">
            <v>2.353058179595958E-6</v>
          </cell>
        </row>
        <row r="32">
          <cell r="B32">
            <v>1989</v>
          </cell>
          <cell r="C32">
            <v>1379369.767</v>
          </cell>
          <cell r="D32">
            <v>14.137137262238774</v>
          </cell>
          <cell r="E32">
            <v>0.48281170209016011</v>
          </cell>
          <cell r="Y32">
            <v>2664575.17756896</v>
          </cell>
          <cell r="AK32">
            <v>2114653.8056908138</v>
          </cell>
          <cell r="AL32">
            <v>886450.86228560086</v>
          </cell>
        </row>
        <row r="33">
          <cell r="B33">
            <v>1990</v>
          </cell>
          <cell r="C33">
            <v>1591425.186</v>
          </cell>
          <cell r="D33">
            <v>14.280140516116788</v>
          </cell>
          <cell r="E33">
            <v>0.14300325387801394</v>
          </cell>
          <cell r="Y33">
            <v>1193249.44342189</v>
          </cell>
          <cell r="AK33">
            <v>2514363.6563666514</v>
          </cell>
          <cell r="AL33">
            <v>2010041.471005481</v>
          </cell>
        </row>
        <row r="34">
          <cell r="B34">
            <v>1991</v>
          </cell>
          <cell r="C34">
            <v>1684654.871</v>
          </cell>
          <cell r="D34">
            <v>14.337071276456888</v>
          </cell>
          <cell r="E34">
            <v>5.6930760340099695E-2</v>
          </cell>
          <cell r="Y34">
            <v>843580.10872609494</v>
          </cell>
          <cell r="AK34">
            <v>1530169.052842828</v>
          </cell>
          <cell r="AL34">
            <v>1050589.4555364279</v>
          </cell>
        </row>
        <row r="35">
          <cell r="B35">
            <v>1992</v>
          </cell>
          <cell r="C35">
            <v>1461638.5859999999</v>
          </cell>
          <cell r="D35">
            <v>14.195068683533261</v>
          </cell>
          <cell r="E35">
            <v>-0.14200259292362638</v>
          </cell>
          <cell r="Y35">
            <v>1020938.7083222501</v>
          </cell>
          <cell r="AK35">
            <v>1712354.5574994008</v>
          </cell>
          <cell r="AL35">
            <v>545868.50874709699</v>
          </cell>
        </row>
        <row r="36">
          <cell r="B36">
            <v>1993</v>
          </cell>
          <cell r="C36">
            <v>2451734.915</v>
          </cell>
          <cell r="D36">
            <v>14.712306460487602</v>
          </cell>
          <cell r="E36">
            <v>0.51723777695434059</v>
          </cell>
          <cell r="Y36">
            <v>780737.31908047304</v>
          </cell>
          <cell r="AK36">
            <v>1531819.47047806</v>
          </cell>
          <cell r="AL36">
            <v>6.8096824062451383E-8</v>
          </cell>
        </row>
        <row r="37">
          <cell r="B37">
            <v>1994</v>
          </cell>
          <cell r="C37">
            <v>2062023.399</v>
          </cell>
          <cell r="D37">
            <v>14.539198291215317</v>
          </cell>
          <cell r="E37">
            <v>-0.17310816927228423</v>
          </cell>
          <cell r="Y37">
            <v>851134.59856892901</v>
          </cell>
          <cell r="AK37">
            <v>1531819.4704780581</v>
          </cell>
          <cell r="AL37">
            <v>7.2138603977474113E-8</v>
          </cell>
        </row>
        <row r="38">
          <cell r="B38">
            <v>1995</v>
          </cell>
          <cell r="C38">
            <v>2198777.9410000001</v>
          </cell>
          <cell r="D38">
            <v>14.603412282627978</v>
          </cell>
          <cell r="E38">
            <v>6.4213991412660931E-2</v>
          </cell>
          <cell r="Y38">
            <v>1379369.7665329501</v>
          </cell>
          <cell r="AK38">
            <v>1950693.015907435</v>
          </cell>
          <cell r="AL38">
            <v>637077.79912966315</v>
          </cell>
        </row>
        <row r="39">
          <cell r="B39">
            <v>1996</v>
          </cell>
          <cell r="C39">
            <v>2383541.7349999999</v>
          </cell>
          <cell r="D39">
            <v>14.684098063438057</v>
          </cell>
          <cell r="E39">
            <v>8.0685780810078711E-2</v>
          </cell>
          <cell r="Y39">
            <v>1591425.18648978</v>
          </cell>
          <cell r="AK39">
            <v>1621638.7910398312</v>
          </cell>
          <cell r="AL39">
            <v>136608.9973626438</v>
          </cell>
        </row>
        <row r="40">
          <cell r="B40">
            <v>1997</v>
          </cell>
          <cell r="C40">
            <v>814336.19790000003</v>
          </cell>
          <cell r="D40">
            <v>13.610128579248757</v>
          </cell>
          <cell r="E40">
            <v>-1.0739694841893002</v>
          </cell>
          <cell r="Y40">
            <v>1684654.8706050799</v>
          </cell>
          <cell r="AK40">
            <v>1531819.4704781226</v>
          </cell>
          <cell r="AL40">
            <v>1.5865177430524419E-7</v>
          </cell>
        </row>
        <row r="41">
          <cell r="B41">
            <v>1998</v>
          </cell>
          <cell r="C41">
            <v>1185591.3030000001</v>
          </cell>
          <cell r="D41">
            <v>13.985752197970738</v>
          </cell>
          <cell r="E41">
            <v>0.37562361872198125</v>
          </cell>
          <cell r="Y41">
            <v>1461638.5858147</v>
          </cell>
          <cell r="AK41">
            <v>1531819.4704780534</v>
          </cell>
          <cell r="AL41">
            <v>1.7778824549235743E-7</v>
          </cell>
        </row>
        <row r="42">
          <cell r="B42">
            <v>1999</v>
          </cell>
          <cell r="C42">
            <v>3028936.65</v>
          </cell>
          <cell r="D42">
            <v>14.923722175297431</v>
          </cell>
          <cell r="E42">
            <v>0.93796997732669318</v>
          </cell>
          <cell r="Y42">
            <v>2451734.9146045898</v>
          </cell>
          <cell r="AK42">
            <v>1531819.4704780355</v>
          </cell>
          <cell r="AL42">
            <v>2.691746583555957E-8</v>
          </cell>
        </row>
        <row r="43">
          <cell r="B43">
            <v>2000</v>
          </cell>
          <cell r="C43">
            <v>2189169.9539999999</v>
          </cell>
          <cell r="D43">
            <v>14.599033013509443</v>
          </cell>
          <cell r="E43">
            <v>-0.32468916178798857</v>
          </cell>
          <cell r="Y43">
            <v>2062023.39943197</v>
          </cell>
          <cell r="AK43">
            <v>2270301.7914694524</v>
          </cell>
          <cell r="AL43">
            <v>1741836.2064703859</v>
          </cell>
        </row>
        <row r="44">
          <cell r="B44">
            <v>2001</v>
          </cell>
          <cell r="C44">
            <v>1186912.5549999999</v>
          </cell>
          <cell r="D44">
            <v>13.986866001964891</v>
          </cell>
          <cell r="E44">
            <v>-0.61216701154455144</v>
          </cell>
          <cell r="Y44">
            <v>2198777.94068358</v>
          </cell>
          <cell r="AK44">
            <v>1530730.4920796775</v>
          </cell>
          <cell r="AL44">
            <v>693199.82908460731</v>
          </cell>
        </row>
        <row r="45">
          <cell r="B45">
            <v>2002</v>
          </cell>
          <cell r="C45">
            <v>941300.53280000004</v>
          </cell>
          <cell r="D45">
            <v>13.755017743560861</v>
          </cell>
          <cell r="E45">
            <v>-0.23184825840403001</v>
          </cell>
          <cell r="Y45">
            <v>2383541.7351381201</v>
          </cell>
          <cell r="AK45">
            <v>2582083.3865894401</v>
          </cell>
          <cell r="AL45">
            <v>1597379.0454959851</v>
          </cell>
        </row>
        <row r="46">
          <cell r="B46">
            <v>2003</v>
          </cell>
          <cell r="C46">
            <v>4157797.3450000002</v>
          </cell>
          <cell r="D46">
            <v>15.240496007636093</v>
          </cell>
          <cell r="E46">
            <v>1.4854782640752315</v>
          </cell>
          <cell r="Y46">
            <v>814336.19779917598</v>
          </cell>
          <cell r="AK46">
            <v>1531819.4704780581</v>
          </cell>
          <cell r="AL46">
            <v>5.7270963472574672E-8</v>
          </cell>
        </row>
        <row r="47">
          <cell r="B47">
            <v>2004</v>
          </cell>
          <cell r="C47">
            <v>7525949.1359999999</v>
          </cell>
          <cell r="D47">
            <v>15.833867491675264</v>
          </cell>
          <cell r="E47">
            <v>0.59337148403917084</v>
          </cell>
          <cell r="Y47">
            <v>1185591.3031894399</v>
          </cell>
          <cell r="AK47">
            <v>1533337.9345116224</v>
          </cell>
          <cell r="AL47">
            <v>2309.4820342293287</v>
          </cell>
        </row>
        <row r="48">
          <cell r="B48">
            <v>2005</v>
          </cell>
          <cell r="C48">
            <v>5224715.5789999999</v>
          </cell>
          <cell r="D48">
            <v>15.468910919692382</v>
          </cell>
          <cell r="E48">
            <v>-0.36495657198288178</v>
          </cell>
          <cell r="Y48">
            <v>3028936.64962732</v>
          </cell>
          <cell r="AK48">
            <v>1531462.2930048942</v>
          </cell>
          <cell r="AL48">
            <v>227364.80701936921</v>
          </cell>
        </row>
        <row r="49">
          <cell r="B49">
            <v>2006</v>
          </cell>
          <cell r="C49">
            <v>3342878.9169999999</v>
          </cell>
          <cell r="D49">
            <v>15.022342944883881</v>
          </cell>
          <cell r="E49">
            <v>-0.44656797480850052</v>
          </cell>
          <cell r="Y49">
            <v>2189169.9536476801</v>
          </cell>
          <cell r="AK49">
            <v>3636063.8212924758</v>
          </cell>
          <cell r="AL49">
            <v>3201523.1599711129</v>
          </cell>
        </row>
        <row r="50">
          <cell r="B50">
            <v>2007</v>
          </cell>
          <cell r="C50">
            <v>4771232.682</v>
          </cell>
          <cell r="D50">
            <v>15.378115253378191</v>
          </cell>
          <cell r="E50">
            <v>0.35577230849430919</v>
          </cell>
          <cell r="Y50">
            <v>1186912.5549520601</v>
          </cell>
          <cell r="AK50">
            <v>1573719.4431502677</v>
          </cell>
          <cell r="AL50">
            <v>65660.020813630967</v>
          </cell>
        </row>
        <row r="51">
          <cell r="B51">
            <v>2008</v>
          </cell>
          <cell r="C51">
            <v>4706011.4550000001</v>
          </cell>
          <cell r="D51">
            <v>15.364351282393129</v>
          </cell>
          <cell r="E51">
            <v>-1.3763970985062102E-2</v>
          </cell>
          <cell r="Y51">
            <v>941300.53276682703</v>
          </cell>
          <cell r="AK51">
            <v>1533759.2568412747</v>
          </cell>
          <cell r="AL51">
            <v>4119.1073983868082</v>
          </cell>
        </row>
        <row r="52">
          <cell r="B52">
            <v>2009</v>
          </cell>
          <cell r="C52">
            <v>2369159.9279999998</v>
          </cell>
          <cell r="D52">
            <v>14.678045989515756</v>
          </cell>
          <cell r="E52">
            <v>-0.68630529287737296</v>
          </cell>
          <cell r="Y52">
            <v>4157797.3451392301</v>
          </cell>
          <cell r="AK52">
            <v>1541959.6336418574</v>
          </cell>
          <cell r="AL52">
            <v>101244.71347152487</v>
          </cell>
        </row>
        <row r="53">
          <cell r="B53">
            <v>2010</v>
          </cell>
          <cell r="C53">
            <v>2815554.2560000001</v>
          </cell>
          <cell r="D53">
            <v>14.850669693958194</v>
          </cell>
          <cell r="E53">
            <v>0.17262370444243835</v>
          </cell>
          <cell r="Y53">
            <v>7525949.1367229596</v>
          </cell>
          <cell r="AK53">
            <v>2363813.5570542491</v>
          </cell>
          <cell r="AL53">
            <v>1536261.2739030547</v>
          </cell>
        </row>
        <row r="54">
          <cell r="B54">
            <v>2011</v>
          </cell>
          <cell r="C54">
            <v>2249301.6710000001</v>
          </cell>
          <cell r="D54">
            <v>14.626130357561905</v>
          </cell>
          <cell r="E54">
            <v>-0.22453933639628865</v>
          </cell>
          <cell r="Y54">
            <v>5224715.57924587</v>
          </cell>
          <cell r="AK54">
            <v>7299165.959721338</v>
          </cell>
          <cell r="AL54">
            <v>9421374.6417691763</v>
          </cell>
        </row>
        <row r="55">
          <cell r="B55">
            <v>2012</v>
          </cell>
          <cell r="C55">
            <v>2227427.4</v>
          </cell>
          <cell r="D55">
            <v>14.616357845203359</v>
          </cell>
          <cell r="E55">
            <v>-9.7725123585465923E-3</v>
          </cell>
          <cell r="Y55">
            <v>3342878.9177765902</v>
          </cell>
          <cell r="AK55">
            <v>1664480.0943697153</v>
          </cell>
          <cell r="AL55">
            <v>236621.93519055378</v>
          </cell>
        </row>
        <row r="56">
          <cell r="B56">
            <v>2013</v>
          </cell>
          <cell r="C56">
            <v>1930231.2080000001</v>
          </cell>
          <cell r="D56">
            <v>14.473150350597185</v>
          </cell>
          <cell r="E56">
            <v>-0.14320749460617321</v>
          </cell>
          <cell r="Y56">
            <v>4771232.6823479496</v>
          </cell>
          <cell r="AK56">
            <v>3372992.2055447553</v>
          </cell>
          <cell r="AL56">
            <v>2838011.3031508853</v>
          </cell>
        </row>
        <row r="57">
          <cell r="B57">
            <v>2014</v>
          </cell>
          <cell r="C57">
            <v>1621056.35</v>
          </cell>
          <cell r="D57">
            <v>14.2985885626059</v>
          </cell>
          <cell r="E57">
            <v>-0.1745617879912853</v>
          </cell>
          <cell r="Y57">
            <v>4706011.4554488799</v>
          </cell>
          <cell r="AK57">
            <v>4395778.4301523622</v>
          </cell>
          <cell r="AL57">
            <v>4424202.9678305779</v>
          </cell>
        </row>
        <row r="58">
          <cell r="B58">
            <v>2015</v>
          </cell>
          <cell r="C58">
            <v>8244122.3530000001</v>
          </cell>
          <cell r="D58">
            <v>15.92501106234281</v>
          </cell>
          <cell r="E58">
            <v>1.6264224997369094</v>
          </cell>
          <cell r="Y58">
            <v>2369159.9284568802</v>
          </cell>
          <cell r="AK58">
            <v>2424799.5794989816</v>
          </cell>
          <cell r="AL58">
            <v>1363571.0664464943</v>
          </cell>
        </row>
        <row r="59">
          <cell r="B59">
            <v>2016</v>
          </cell>
          <cell r="C59">
            <v>4938142.3360000001</v>
          </cell>
          <cell r="D59">
            <v>15.412499773097196</v>
          </cell>
          <cell r="E59">
            <v>-0.51251128924561407</v>
          </cell>
          <cell r="Y59">
            <v>2815554.2563738301</v>
          </cell>
          <cell r="AK59">
            <v>2301275.4989482267</v>
          </cell>
          <cell r="AL59">
            <v>1280592.0682627482</v>
          </cell>
        </row>
        <row r="60">
          <cell r="B60">
            <v>2017</v>
          </cell>
          <cell r="C60">
            <v>4430315.2450000001</v>
          </cell>
          <cell r="D60">
            <v>15.303981300889015</v>
          </cell>
          <cell r="E60">
            <v>-0.10851847220818023</v>
          </cell>
          <cell r="Y60">
            <v>2249301.6714230999</v>
          </cell>
          <cell r="AK60">
            <v>2223521.8042797148</v>
          </cell>
          <cell r="AL60">
            <v>1180249.8388724476</v>
          </cell>
        </row>
        <row r="61">
          <cell r="B61">
            <v>2018</v>
          </cell>
          <cell r="C61">
            <v>2873549.53</v>
          </cell>
          <cell r="D61">
            <v>14.871058593600591</v>
          </cell>
          <cell r="E61">
            <v>-0.43292270728842475</v>
          </cell>
          <cell r="Y61">
            <v>2227427.3991779098</v>
          </cell>
          <cell r="AK61">
            <v>2051002.9073125585</v>
          </cell>
          <cell r="AL61">
            <v>844722.05882110854</v>
          </cell>
        </row>
        <row r="62">
          <cell r="B62">
            <v>2019</v>
          </cell>
          <cell r="C62">
            <v>1855135.622</v>
          </cell>
          <cell r="D62">
            <v>14.433468362941447</v>
          </cell>
          <cell r="E62">
            <v>-0.43759023065914349</v>
          </cell>
          <cell r="Y62">
            <v>1930231.20777954</v>
          </cell>
          <cell r="AK62">
            <v>2057098.5760609575</v>
          </cell>
          <cell r="AL62">
            <v>1283009.8104701622</v>
          </cell>
        </row>
        <row r="63">
          <cell r="B63">
            <v>2020</v>
          </cell>
          <cell r="C63">
            <v>4561207.9639999997</v>
          </cell>
          <cell r="D63">
            <v>15.333098050795561</v>
          </cell>
          <cell r="E63">
            <v>0.89962968785411412</v>
          </cell>
          <cell r="Y63">
            <v>1621056.34954884</v>
          </cell>
          <cell r="AK63">
            <v>2010061.5789507334</v>
          </cell>
          <cell r="AL63">
            <v>817517.62997384381</v>
          </cell>
        </row>
        <row r="64">
          <cell r="B64">
            <v>2021</v>
          </cell>
          <cell r="C64">
            <v>6124320.6040000003</v>
          </cell>
          <cell r="D64">
            <v>15.627778386446868</v>
          </cell>
          <cell r="E64">
            <v>0.29468033565130725</v>
          </cell>
          <cell r="Y64">
            <v>8244122.3534390004</v>
          </cell>
          <cell r="AK64">
            <v>2294690.1997230495</v>
          </cell>
          <cell r="AL64">
            <v>1278540.5264564687</v>
          </cell>
        </row>
        <row r="65">
          <cell r="B65">
            <v>2022</v>
          </cell>
          <cell r="C65">
            <v>4645074.1610000003</v>
          </cell>
          <cell r="D65">
            <v>15.351317895872269</v>
          </cell>
          <cell r="E65">
            <v>-0.27646049057459976</v>
          </cell>
          <cell r="Y65">
            <v>4938142.3356476501</v>
          </cell>
          <cell r="AK65">
            <v>4732162.3691501394</v>
          </cell>
          <cell r="AL65">
            <v>6677818.4474011036</v>
          </cell>
        </row>
        <row r="66">
          <cell r="B66">
            <v>2023</v>
          </cell>
          <cell r="C66">
            <v>2539456.1979999999</v>
          </cell>
          <cell r="D66">
            <v>14.747460520797464</v>
          </cell>
          <cell r="E66">
            <v>-0.60385737507480464</v>
          </cell>
          <cell r="Y66">
            <v>4430315.2449948899</v>
          </cell>
          <cell r="AK66">
            <v>2696918.2257922855</v>
          </cell>
          <cell r="AL66">
            <v>2308199.354108206</v>
          </cell>
        </row>
        <row r="67">
          <cell r="B67">
            <v>2024</v>
          </cell>
          <cell r="C67">
            <v>4335434.7163846698</v>
          </cell>
          <cell r="D67">
            <v>15.282332443765249</v>
          </cell>
          <cell r="E67">
            <v>0.53487192296778474</v>
          </cell>
          <cell r="Y67">
            <v>2873549.5305123501</v>
          </cell>
          <cell r="AK67">
            <v>4309374.463034465</v>
          </cell>
          <cell r="AL67">
            <v>4246898.0398011571</v>
          </cell>
        </row>
        <row r="68">
          <cell r="B68">
            <v>2025</v>
          </cell>
          <cell r="C68">
            <v>5756468.7830224112</v>
          </cell>
          <cell r="D68">
            <v>15.565834786171816</v>
          </cell>
          <cell r="Y68">
            <v>1855135.6227310901</v>
          </cell>
          <cell r="AK68">
            <v>3196329.7595694233</v>
          </cell>
          <cell r="AL68">
            <v>2534819.8404245451</v>
          </cell>
        </row>
        <row r="69">
          <cell r="Y69">
            <v>4561207.9638651703</v>
          </cell>
          <cell r="AK69">
            <v>2808135.0958093824</v>
          </cell>
          <cell r="AL69">
            <v>1965519.8371879994</v>
          </cell>
        </row>
        <row r="70">
          <cell r="Y70">
            <v>6124320.6042396696</v>
          </cell>
          <cell r="AK70">
            <v>3440637.930409431</v>
          </cell>
          <cell r="AL70">
            <v>2923055.1935560252</v>
          </cell>
        </row>
        <row r="71">
          <cell r="Y71">
            <v>4645074.1605213201</v>
          </cell>
          <cell r="AK71">
            <v>3942652.6110163834</v>
          </cell>
          <cell r="AL71">
            <v>4028002.897202237</v>
          </cell>
        </row>
        <row r="72">
          <cell r="Y72">
            <v>2539456.19806688</v>
          </cell>
          <cell r="AK72">
            <v>2679668.9401956615</v>
          </cell>
          <cell r="AL72">
            <v>2168886.8352148305</v>
          </cell>
        </row>
        <row r="73">
          <cell r="Y73">
            <v>4335434.7163846698</v>
          </cell>
          <cell r="AK73">
            <v>2024008.5237318403</v>
          </cell>
          <cell r="AL73">
            <v>795573.84370873426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agnak"/>
    </sheetNames>
    <sheetDataSet>
      <sheetData sheetId="0">
        <row r="6">
          <cell r="B6">
            <v>1963</v>
          </cell>
          <cell r="C6">
            <v>378138.28100000002</v>
          </cell>
        </row>
        <row r="7">
          <cell r="B7">
            <v>1964</v>
          </cell>
          <cell r="C7">
            <v>759383.0503</v>
          </cell>
        </row>
        <row r="8">
          <cell r="B8">
            <v>1965</v>
          </cell>
          <cell r="C8">
            <v>397860.60820000002</v>
          </cell>
        </row>
        <row r="9">
          <cell r="B9">
            <v>1966</v>
          </cell>
          <cell r="C9">
            <v>394077.15909999999</v>
          </cell>
        </row>
        <row r="10">
          <cell r="B10">
            <v>1967</v>
          </cell>
          <cell r="C10">
            <v>344305.58559999999</v>
          </cell>
        </row>
        <row r="11">
          <cell r="B11">
            <v>1968</v>
          </cell>
          <cell r="C11">
            <v>314033.55739999999</v>
          </cell>
        </row>
        <row r="12">
          <cell r="B12">
            <v>1969</v>
          </cell>
          <cell r="C12">
            <v>324288.95520000003</v>
          </cell>
        </row>
        <row r="13">
          <cell r="B13">
            <v>1970</v>
          </cell>
          <cell r="C13">
            <v>500779.51150000002</v>
          </cell>
        </row>
        <row r="14">
          <cell r="B14">
            <v>1971</v>
          </cell>
          <cell r="C14">
            <v>537293.52439999999</v>
          </cell>
        </row>
        <row r="15">
          <cell r="B15">
            <v>1972</v>
          </cell>
          <cell r="C15">
            <v>302589.30719999998</v>
          </cell>
        </row>
        <row r="16">
          <cell r="B16">
            <v>1973</v>
          </cell>
          <cell r="C16">
            <v>63552.969369999999</v>
          </cell>
        </row>
        <row r="17">
          <cell r="B17">
            <v>1974</v>
          </cell>
          <cell r="C17">
            <v>247579.7304</v>
          </cell>
        </row>
        <row r="18">
          <cell r="B18">
            <v>1975</v>
          </cell>
          <cell r="C18">
            <v>112656.7016</v>
          </cell>
        </row>
        <row r="19">
          <cell r="B19">
            <v>1976</v>
          </cell>
          <cell r="C19">
            <v>157449.67069999999</v>
          </cell>
        </row>
        <row r="20">
          <cell r="B20">
            <v>1977</v>
          </cell>
          <cell r="C20">
            <v>234915.33420000001</v>
          </cell>
        </row>
        <row r="21">
          <cell r="B21">
            <v>1978</v>
          </cell>
          <cell r="C21">
            <v>1110702.155</v>
          </cell>
          <cell r="D21">
            <v>13.92050294537121</v>
          </cell>
        </row>
        <row r="22">
          <cell r="B22">
            <v>1979</v>
          </cell>
          <cell r="C22">
            <v>1620186.939</v>
          </cell>
          <cell r="D22">
            <v>14.298052094995585</v>
          </cell>
        </row>
        <row r="23">
          <cell r="B23">
            <v>1980</v>
          </cell>
          <cell r="C23">
            <v>855660.86230000004</v>
          </cell>
          <cell r="D23">
            <v>13.659629387718452</v>
          </cell>
        </row>
        <row r="24">
          <cell r="B24">
            <v>1981</v>
          </cell>
          <cell r="C24">
            <v>667234.69750000001</v>
          </cell>
          <cell r="D24">
            <v>13.410897133320763</v>
          </cell>
        </row>
        <row r="25">
          <cell r="B25">
            <v>1982</v>
          </cell>
          <cell r="C25">
            <v>1345575.82</v>
          </cell>
          <cell r="D25">
            <v>14.11233259836041</v>
          </cell>
        </row>
        <row r="26">
          <cell r="B26">
            <v>1983</v>
          </cell>
          <cell r="C26">
            <v>2664575.1779999998</v>
          </cell>
          <cell r="D26">
            <v>14.795555194995371</v>
          </cell>
        </row>
        <row r="27">
          <cell r="B27">
            <v>1984</v>
          </cell>
          <cell r="C27">
            <v>1193249.4439999999</v>
          </cell>
          <cell r="D27">
            <v>13.992190768913709</v>
          </cell>
        </row>
        <row r="28">
          <cell r="B28">
            <v>1985</v>
          </cell>
          <cell r="C28">
            <v>843580.10880000005</v>
          </cell>
          <cell r="D28">
            <v>13.6454101483614</v>
          </cell>
        </row>
        <row r="29">
          <cell r="B29">
            <v>1986</v>
          </cell>
          <cell r="C29">
            <v>1020938.708</v>
          </cell>
          <cell r="D29">
            <v>13.836233064003027</v>
          </cell>
        </row>
        <row r="30">
          <cell r="B30">
            <v>1987</v>
          </cell>
          <cell r="C30">
            <v>780737.31909999996</v>
          </cell>
          <cell r="D30">
            <v>13.567994033066578</v>
          </cell>
        </row>
        <row r="31">
          <cell r="B31">
            <v>1988</v>
          </cell>
          <cell r="C31">
            <v>851134.59849999996</v>
          </cell>
          <cell r="D31">
            <v>13.654325560148614</v>
          </cell>
        </row>
        <row r="32">
          <cell r="B32">
            <v>1989</v>
          </cell>
          <cell r="C32">
            <v>1379369.767</v>
          </cell>
          <cell r="D32">
            <v>14.137137262238774</v>
          </cell>
        </row>
        <row r="33">
          <cell r="B33">
            <v>1990</v>
          </cell>
          <cell r="C33">
            <v>1591425.186</v>
          </cell>
          <cell r="D33">
            <v>14.280140516116788</v>
          </cell>
        </row>
        <row r="34">
          <cell r="B34">
            <v>1991</v>
          </cell>
          <cell r="C34">
            <v>1684654.871</v>
          </cell>
          <cell r="D34">
            <v>14.337071276456888</v>
          </cell>
        </row>
        <row r="35">
          <cell r="B35">
            <v>1992</v>
          </cell>
          <cell r="C35">
            <v>1461638.5859999999</v>
          </cell>
          <cell r="D35">
            <v>14.195068683533261</v>
          </cell>
        </row>
        <row r="36">
          <cell r="B36">
            <v>1993</v>
          </cell>
          <cell r="C36">
            <v>2451734.915</v>
          </cell>
          <cell r="D36">
            <v>14.712306460487602</v>
          </cell>
        </row>
        <row r="37">
          <cell r="B37">
            <v>1994</v>
          </cell>
          <cell r="C37">
            <v>2062023.399</v>
          </cell>
          <cell r="D37">
            <v>14.539198291215317</v>
          </cell>
        </row>
        <row r="38">
          <cell r="B38">
            <v>1995</v>
          </cell>
          <cell r="C38">
            <v>2198777.9410000001</v>
          </cell>
          <cell r="D38">
            <v>14.603412282627978</v>
          </cell>
        </row>
        <row r="39">
          <cell r="B39">
            <v>1996</v>
          </cell>
          <cell r="C39">
            <v>2383541.7349999999</v>
          </cell>
          <cell r="D39">
            <v>14.684098063438057</v>
          </cell>
        </row>
        <row r="40">
          <cell r="B40">
            <v>1997</v>
          </cell>
          <cell r="C40">
            <v>814336.19790000003</v>
          </cell>
          <cell r="D40">
            <v>13.610128579248757</v>
          </cell>
        </row>
        <row r="41">
          <cell r="B41">
            <v>1998</v>
          </cell>
          <cell r="C41">
            <v>1185591.3030000001</v>
          </cell>
          <cell r="D41">
            <v>13.985752197970738</v>
          </cell>
        </row>
        <row r="42">
          <cell r="B42">
            <v>1999</v>
          </cell>
          <cell r="C42">
            <v>3028936.65</v>
          </cell>
          <cell r="D42">
            <v>14.923722175297431</v>
          </cell>
        </row>
        <row r="43">
          <cell r="B43">
            <v>2000</v>
          </cell>
          <cell r="C43">
            <v>2189169.9539999999</v>
          </cell>
          <cell r="D43">
            <v>14.599033013509443</v>
          </cell>
        </row>
        <row r="44">
          <cell r="B44">
            <v>2001</v>
          </cell>
          <cell r="C44">
            <v>1186912.5549999999</v>
          </cell>
          <cell r="D44">
            <v>13.986866001964891</v>
          </cell>
        </row>
        <row r="45">
          <cell r="B45">
            <v>2002</v>
          </cell>
          <cell r="C45">
            <v>941300.53280000004</v>
          </cell>
          <cell r="D45">
            <v>13.755017743560861</v>
          </cell>
        </row>
        <row r="46">
          <cell r="B46">
            <v>2003</v>
          </cell>
          <cell r="C46">
            <v>4157797.3450000002</v>
          </cell>
          <cell r="D46">
            <v>15.240496007636093</v>
          </cell>
        </row>
        <row r="47">
          <cell r="B47">
            <v>2004</v>
          </cell>
          <cell r="C47">
            <v>7525949.1359999999</v>
          </cell>
          <cell r="D47">
            <v>15.833867491675264</v>
          </cell>
        </row>
        <row r="48">
          <cell r="B48">
            <v>2005</v>
          </cell>
          <cell r="C48">
            <v>5224715.5789999999</v>
          </cell>
          <cell r="D48">
            <v>15.468910919692382</v>
          </cell>
        </row>
        <row r="49">
          <cell r="B49">
            <v>2006</v>
          </cell>
          <cell r="C49">
            <v>3342878.9169999999</v>
          </cell>
          <cell r="D49">
            <v>15.022342944883881</v>
          </cell>
        </row>
        <row r="50">
          <cell r="B50">
            <v>2007</v>
          </cell>
          <cell r="C50">
            <v>4771232.682</v>
          </cell>
          <cell r="D50">
            <v>15.378115253378191</v>
          </cell>
        </row>
        <row r="51">
          <cell r="B51">
            <v>2008</v>
          </cell>
          <cell r="C51">
            <v>4706011.4550000001</v>
          </cell>
          <cell r="D51">
            <v>15.364351282393129</v>
          </cell>
        </row>
        <row r="52">
          <cell r="B52">
            <v>2009</v>
          </cell>
          <cell r="C52">
            <v>2369159.9279999998</v>
          </cell>
          <cell r="D52">
            <v>14.678045989515756</v>
          </cell>
        </row>
        <row r="53">
          <cell r="B53">
            <v>2010</v>
          </cell>
          <cell r="C53">
            <v>2815554.2560000001</v>
          </cell>
          <cell r="D53">
            <v>14.850669693958194</v>
          </cell>
        </row>
        <row r="54">
          <cell r="B54">
            <v>2011</v>
          </cell>
          <cell r="C54">
            <v>2249301.6710000001</v>
          </cell>
          <cell r="D54">
            <v>14.626130357561905</v>
          </cell>
        </row>
        <row r="55">
          <cell r="B55">
            <v>2012</v>
          </cell>
          <cell r="C55">
            <v>2227427.4</v>
          </cell>
          <cell r="D55">
            <v>14.616357845203359</v>
          </cell>
        </row>
        <row r="56">
          <cell r="B56">
            <v>2013</v>
          </cell>
          <cell r="C56">
            <v>1930231.2080000001</v>
          </cell>
          <cell r="D56">
            <v>14.473150350597185</v>
          </cell>
        </row>
        <row r="57">
          <cell r="B57">
            <v>2014</v>
          </cell>
          <cell r="C57">
            <v>1621056.35</v>
          </cell>
          <cell r="D57">
            <v>14.2985885626059</v>
          </cell>
        </row>
        <row r="58">
          <cell r="B58">
            <v>2015</v>
          </cell>
          <cell r="C58">
            <v>8244122.3530000001</v>
          </cell>
          <cell r="D58">
            <v>15.92501106234281</v>
          </cell>
        </row>
        <row r="59">
          <cell r="B59">
            <v>2016</v>
          </cell>
          <cell r="C59">
            <v>4938142.3360000001</v>
          </cell>
          <cell r="D59">
            <v>15.412499773097196</v>
          </cell>
        </row>
        <row r="60">
          <cell r="B60">
            <v>2017</v>
          </cell>
          <cell r="C60">
            <v>4430315.2450000001</v>
          </cell>
          <cell r="D60">
            <v>15.303981300889015</v>
          </cell>
        </row>
        <row r="61">
          <cell r="B61">
            <v>2018</v>
          </cell>
          <cell r="C61">
            <v>2873549.53</v>
          </cell>
          <cell r="D61">
            <v>14.871058593600591</v>
          </cell>
        </row>
        <row r="62">
          <cell r="B62">
            <v>2019</v>
          </cell>
          <cell r="C62">
            <v>1855135.622</v>
          </cell>
          <cell r="D62">
            <v>14.433468362941447</v>
          </cell>
        </row>
        <row r="63">
          <cell r="B63">
            <v>2020</v>
          </cell>
          <cell r="C63">
            <v>4561207.9639999997</v>
          </cell>
          <cell r="D63">
            <v>15.333098050795561</v>
          </cell>
        </row>
        <row r="64">
          <cell r="B64">
            <v>2021</v>
          </cell>
          <cell r="C64">
            <v>6124320.6040000003</v>
          </cell>
          <cell r="D64">
            <v>15.627778386446868</v>
          </cell>
        </row>
        <row r="65">
          <cell r="B65">
            <v>2022</v>
          </cell>
          <cell r="C65">
            <v>4645074.1610000003</v>
          </cell>
          <cell r="D65">
            <v>15.351317895872269</v>
          </cell>
        </row>
        <row r="66">
          <cell r="B66">
            <v>2023</v>
          </cell>
          <cell r="C66">
            <v>2539456.1979999999</v>
          </cell>
          <cell r="D66">
            <v>14.747460520797464</v>
          </cell>
        </row>
        <row r="67">
          <cell r="B67">
            <v>2024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99AF-9F88-4A07-B36E-5936E9BAA03D}">
  <dimension ref="A1:AU52"/>
  <sheetViews>
    <sheetView topLeftCell="A46" workbookViewId="0">
      <selection activeCell="AE52" sqref="AE52"/>
    </sheetView>
  </sheetViews>
  <sheetFormatPr defaultRowHeight="15" x14ac:dyDescent="0.25"/>
  <cols>
    <col min="2" max="2" width="7.7109375" customWidth="1"/>
  </cols>
  <sheetData>
    <row r="1" spans="1:47" x14ac:dyDescent="0.25">
      <c r="A1" t="s">
        <v>36</v>
      </c>
    </row>
    <row r="2" spans="1:47" x14ac:dyDescent="0.25">
      <c r="A2" s="3" t="s">
        <v>37</v>
      </c>
      <c r="B2" s="3"/>
      <c r="C2" s="3"/>
      <c r="D2" s="3"/>
      <c r="E2" s="3"/>
      <c r="F2" t="s">
        <v>39</v>
      </c>
    </row>
    <row r="3" spans="1:47" x14ac:dyDescent="0.25">
      <c r="A3" s="3" t="s">
        <v>38</v>
      </c>
      <c r="B3" s="3"/>
      <c r="C3" s="3"/>
      <c r="D3" s="7"/>
      <c r="E3" s="7"/>
      <c r="F3" t="s">
        <v>40</v>
      </c>
    </row>
    <row r="4" spans="1:47" x14ac:dyDescent="0.25">
      <c r="A4" s="3"/>
      <c r="B4" s="3"/>
      <c r="C4" s="3"/>
      <c r="D4" s="3"/>
      <c r="E4" s="3"/>
    </row>
    <row r="5" spans="1:47" x14ac:dyDescent="0.25">
      <c r="A5" s="3"/>
      <c r="B5" s="3"/>
      <c r="C5" s="3"/>
      <c r="D5" s="3"/>
      <c r="E5" s="3"/>
      <c r="F5" t="s">
        <v>33</v>
      </c>
      <c r="G5">
        <f>CORREL($D$13:$D$51,G13:G51)</f>
        <v>0.17604394575759499</v>
      </c>
      <c r="H5">
        <f t="shared" ref="H5:AU5" si="0">CORREL($D$13:$D$51,H13:H51)</f>
        <v>0.11904786811992649</v>
      </c>
      <c r="I5">
        <f t="shared" si="0"/>
        <v>-5.9007615640359959E-2</v>
      </c>
      <c r="J5">
        <f t="shared" si="0"/>
        <v>-0.12343353979002256</v>
      </c>
      <c r="K5">
        <f t="shared" si="0"/>
        <v>-0.20154643222908689</v>
      </c>
      <c r="L5">
        <f t="shared" si="0"/>
        <v>-0.29462164200333363</v>
      </c>
      <c r="M5">
        <f t="shared" si="0"/>
        <v>-0.32515717464924965</v>
      </c>
      <c r="N5">
        <f t="shared" si="0"/>
        <v>-0.1310029293590162</v>
      </c>
      <c r="O5">
        <f t="shared" si="0"/>
        <v>-9.5982110754693109E-2</v>
      </c>
      <c r="P5">
        <f t="shared" si="0"/>
        <v>-0.10810589024226919</v>
      </c>
      <c r="Q5">
        <f t="shared" si="0"/>
        <v>-5.3245256533789094E-2</v>
      </c>
      <c r="R5">
        <f t="shared" si="0"/>
        <v>-7.8271865349496123E-2</v>
      </c>
      <c r="S5">
        <f t="shared" si="0"/>
        <v>-5.9483803064584236E-2</v>
      </c>
      <c r="T5">
        <f t="shared" si="0"/>
        <v>0.13449603829614085</v>
      </c>
      <c r="U5">
        <f t="shared" si="0"/>
        <v>-4.7217114029783215E-2</v>
      </c>
      <c r="V5">
        <f t="shared" si="0"/>
        <v>0.11560268306954904</v>
      </c>
      <c r="W5">
        <f t="shared" si="0"/>
        <v>4.0321694704373079E-2</v>
      </c>
      <c r="X5">
        <f t="shared" si="0"/>
        <v>7.3917120141361883E-2</v>
      </c>
      <c r="Y5">
        <f t="shared" si="0"/>
        <v>-8.7184432669186948E-3</v>
      </c>
      <c r="Z5">
        <f t="shared" si="0"/>
        <v>0.14167161137455367</v>
      </c>
      <c r="AA5">
        <f t="shared" si="0"/>
        <v>0.10359700677237627</v>
      </c>
      <c r="AB5">
        <f t="shared" si="0"/>
        <v>8.3586782654654856E-2</v>
      </c>
      <c r="AC5">
        <f t="shared" si="0"/>
        <v>0.13254574954318263</v>
      </c>
      <c r="AD5">
        <f t="shared" si="0"/>
        <v>0.4277383852921865</v>
      </c>
      <c r="AE5">
        <f t="shared" si="0"/>
        <v>0.37730401726841895</v>
      </c>
      <c r="AF5">
        <f t="shared" si="0"/>
        <v>0.40081550832087198</v>
      </c>
      <c r="AG5">
        <f t="shared" si="0"/>
        <v>0.25266790620603791</v>
      </c>
      <c r="AH5">
        <f t="shared" si="0"/>
        <v>0.23060626116309446</v>
      </c>
      <c r="AI5">
        <f t="shared" si="0"/>
        <v>0.17591842806298591</v>
      </c>
      <c r="AJ5">
        <f t="shared" si="0"/>
        <v>0.111131120724586</v>
      </c>
      <c r="AK5">
        <f t="shared" si="0"/>
        <v>0.27653355985268818</v>
      </c>
      <c r="AL5">
        <f t="shared" si="0"/>
        <v>0.30977637750226911</v>
      </c>
      <c r="AM5">
        <f t="shared" si="0"/>
        <v>0.2905571714586736</v>
      </c>
      <c r="AN5">
        <f t="shared" si="0"/>
        <v>0.36562135186049183</v>
      </c>
      <c r="AO5">
        <f t="shared" si="0"/>
        <v>0.34546730071653364</v>
      </c>
      <c r="AP5">
        <f t="shared" si="0"/>
        <v>0.40779272619254514</v>
      </c>
      <c r="AQ5">
        <f t="shared" si="0"/>
        <v>0.54466810687954792</v>
      </c>
      <c r="AR5">
        <f t="shared" si="0"/>
        <v>0.35102838086912003</v>
      </c>
      <c r="AS5">
        <f t="shared" si="0"/>
        <v>0.14483492352245819</v>
      </c>
      <c r="AT5">
        <f t="shared" si="0"/>
        <v>0.14829693569390603</v>
      </c>
      <c r="AU5">
        <f t="shared" si="0"/>
        <v>0.48820321346680018</v>
      </c>
    </row>
    <row r="6" spans="1:47" x14ac:dyDescent="0.25">
      <c r="A6" s="3"/>
      <c r="B6" s="3"/>
      <c r="C6" s="3"/>
      <c r="D6" s="3"/>
      <c r="E6" s="3"/>
      <c r="F6" t="s">
        <v>3</v>
      </c>
      <c r="G6">
        <f>5+G7</f>
        <v>5</v>
      </c>
      <c r="H6">
        <f t="shared" ref="H6:K6" si="1">5+H7</f>
        <v>4</v>
      </c>
      <c r="I6">
        <f t="shared" si="1"/>
        <v>3</v>
      </c>
      <c r="J6">
        <f t="shared" si="1"/>
        <v>2</v>
      </c>
      <c r="K6">
        <f t="shared" si="1"/>
        <v>1</v>
      </c>
      <c r="L6">
        <f>17+L7</f>
        <v>12</v>
      </c>
      <c r="M6">
        <f t="shared" ref="M6:W6" si="2">17+M7</f>
        <v>11</v>
      </c>
      <c r="N6">
        <f t="shared" si="2"/>
        <v>10</v>
      </c>
      <c r="O6">
        <f t="shared" si="2"/>
        <v>9</v>
      </c>
      <c r="P6">
        <f t="shared" si="2"/>
        <v>8</v>
      </c>
      <c r="Q6">
        <f t="shared" si="2"/>
        <v>7</v>
      </c>
      <c r="R6">
        <f t="shared" si="2"/>
        <v>6</v>
      </c>
      <c r="S6">
        <f t="shared" si="2"/>
        <v>5</v>
      </c>
      <c r="T6">
        <f t="shared" si="2"/>
        <v>4</v>
      </c>
      <c r="U6">
        <f t="shared" si="2"/>
        <v>3</v>
      </c>
      <c r="V6">
        <f t="shared" si="2"/>
        <v>2</v>
      </c>
      <c r="W6">
        <f t="shared" si="2"/>
        <v>1</v>
      </c>
      <c r="X6">
        <f>29+X7</f>
        <v>12</v>
      </c>
      <c r="Y6">
        <f t="shared" ref="Y6:AI6" si="3">29+Y7</f>
        <v>11</v>
      </c>
      <c r="Z6">
        <f t="shared" si="3"/>
        <v>10</v>
      </c>
      <c r="AA6">
        <f t="shared" si="3"/>
        <v>9</v>
      </c>
      <c r="AB6">
        <f t="shared" si="3"/>
        <v>8</v>
      </c>
      <c r="AC6">
        <f t="shared" si="3"/>
        <v>7</v>
      </c>
      <c r="AD6">
        <f t="shared" si="3"/>
        <v>6</v>
      </c>
      <c r="AE6">
        <f t="shared" si="3"/>
        <v>5</v>
      </c>
      <c r="AF6">
        <f t="shared" si="3"/>
        <v>4</v>
      </c>
      <c r="AG6">
        <f t="shared" si="3"/>
        <v>3</v>
      </c>
      <c r="AH6">
        <f t="shared" si="3"/>
        <v>2</v>
      </c>
      <c r="AI6">
        <f t="shared" si="3"/>
        <v>1</v>
      </c>
      <c r="AJ6">
        <f>41+AJ7</f>
        <v>12</v>
      </c>
      <c r="AK6">
        <f t="shared" ref="AK6:AU6" si="4">41+AK7</f>
        <v>11</v>
      </c>
      <c r="AL6">
        <f t="shared" si="4"/>
        <v>10</v>
      </c>
      <c r="AM6">
        <f t="shared" si="4"/>
        <v>9</v>
      </c>
      <c r="AN6">
        <f t="shared" si="4"/>
        <v>8</v>
      </c>
      <c r="AO6">
        <f t="shared" si="4"/>
        <v>7</v>
      </c>
      <c r="AP6">
        <f t="shared" si="4"/>
        <v>6</v>
      </c>
      <c r="AQ6">
        <f t="shared" si="4"/>
        <v>5</v>
      </c>
      <c r="AR6">
        <f t="shared" si="4"/>
        <v>4</v>
      </c>
      <c r="AS6">
        <f t="shared" si="4"/>
        <v>3</v>
      </c>
      <c r="AT6">
        <f t="shared" si="4"/>
        <v>2</v>
      </c>
      <c r="AU6">
        <f t="shared" si="4"/>
        <v>1</v>
      </c>
    </row>
    <row r="7" spans="1:47" x14ac:dyDescent="0.25">
      <c r="A7" s="3"/>
      <c r="B7" s="3"/>
      <c r="C7" s="3"/>
      <c r="D7" s="3" t="s">
        <v>0</v>
      </c>
      <c r="E7" s="3"/>
      <c r="F7" t="s">
        <v>34</v>
      </c>
      <c r="G7">
        <v>0</v>
      </c>
      <c r="H7">
        <v>-1</v>
      </c>
      <c r="I7">
        <v>-2</v>
      </c>
      <c r="J7">
        <v>-3</v>
      </c>
      <c r="K7">
        <v>-4</v>
      </c>
      <c r="L7">
        <v>-5</v>
      </c>
      <c r="M7">
        <v>-6</v>
      </c>
      <c r="N7">
        <v>-7</v>
      </c>
      <c r="O7">
        <v>-8</v>
      </c>
      <c r="P7">
        <v>-9</v>
      </c>
      <c r="Q7">
        <v>-10</v>
      </c>
      <c r="R7">
        <v>-11</v>
      </c>
      <c r="S7">
        <v>-12</v>
      </c>
      <c r="T7">
        <v>-13</v>
      </c>
      <c r="U7">
        <v>-14</v>
      </c>
      <c r="V7">
        <v>-15</v>
      </c>
      <c r="W7">
        <v>-16</v>
      </c>
      <c r="X7">
        <v>-17</v>
      </c>
      <c r="Y7">
        <v>-18</v>
      </c>
      <c r="Z7">
        <v>-19</v>
      </c>
      <c r="AA7">
        <v>-20</v>
      </c>
      <c r="AB7">
        <v>-21</v>
      </c>
      <c r="AC7">
        <v>-22</v>
      </c>
      <c r="AD7">
        <v>-23</v>
      </c>
      <c r="AE7">
        <v>-24</v>
      </c>
      <c r="AF7">
        <v>-25</v>
      </c>
      <c r="AG7">
        <v>-26</v>
      </c>
      <c r="AH7">
        <v>-27</v>
      </c>
      <c r="AI7">
        <v>-28</v>
      </c>
      <c r="AJ7">
        <v>-29</v>
      </c>
      <c r="AK7">
        <v>-30</v>
      </c>
      <c r="AL7">
        <v>-31</v>
      </c>
      <c r="AM7">
        <v>-32</v>
      </c>
      <c r="AN7">
        <v>-33</v>
      </c>
      <c r="AO7">
        <v>-34</v>
      </c>
      <c r="AP7">
        <v>-35</v>
      </c>
      <c r="AQ7">
        <v>-36</v>
      </c>
      <c r="AR7">
        <v>-37</v>
      </c>
      <c r="AS7">
        <v>-38</v>
      </c>
      <c r="AT7">
        <v>-39</v>
      </c>
      <c r="AU7">
        <v>-40</v>
      </c>
    </row>
    <row r="8" spans="1:47" x14ac:dyDescent="0.25">
      <c r="D8" t="s">
        <v>1</v>
      </c>
    </row>
    <row r="9" spans="1:47" x14ac:dyDescent="0.25">
      <c r="A9" t="s">
        <v>2</v>
      </c>
      <c r="B9" t="s">
        <v>3</v>
      </c>
      <c r="C9" t="s">
        <v>4</v>
      </c>
      <c r="D9" t="s">
        <v>5</v>
      </c>
      <c r="G9" t="s">
        <v>35</v>
      </c>
    </row>
    <row r="10" spans="1:47" x14ac:dyDescent="0.25">
      <c r="A10">
        <v>1982.375</v>
      </c>
      <c r="B10">
        <v>5</v>
      </c>
      <c r="C10" s="3">
        <v>1.6829712080392252</v>
      </c>
      <c r="G10" s="3">
        <v>1.6829712080392252</v>
      </c>
      <c r="H10" s="3">
        <v>2.2472897998692272</v>
      </c>
      <c r="I10" s="3">
        <v>1.5381377024192207</v>
      </c>
      <c r="J10" s="3">
        <v>0.95009040011922963</v>
      </c>
      <c r="K10" s="3">
        <v>0.16778843210923924</v>
      </c>
      <c r="L10" s="3">
        <v>-0.32820109656075358</v>
      </c>
      <c r="M10" s="3">
        <v>0.10288279560923042</v>
      </c>
      <c r="N10" s="3">
        <v>1.1606928748392318</v>
      </c>
      <c r="O10" s="3">
        <v>1.0248394490071275</v>
      </c>
      <c r="P10" s="3">
        <v>1.606789201499234</v>
      </c>
      <c r="Q10" s="3">
        <v>2.394840518709227</v>
      </c>
      <c r="R10" s="3">
        <v>1.0093508307130274</v>
      </c>
      <c r="S10" s="3">
        <v>0.70257197929922732</v>
      </c>
      <c r="T10" s="3">
        <v>0.71152544480922963</v>
      </c>
      <c r="U10" s="3">
        <v>-1.2758133939807617</v>
      </c>
      <c r="V10" s="3">
        <v>-1.1840317151307596</v>
      </c>
      <c r="W10" s="3">
        <v>-2.9731450761907507</v>
      </c>
      <c r="X10" s="3">
        <v>-0.826312025460755</v>
      </c>
      <c r="Y10" s="3">
        <v>-0.82430027525075733</v>
      </c>
      <c r="Z10" s="3">
        <v>-0.21680460930476167</v>
      </c>
      <c r="AA10" s="3">
        <v>1.2002363824092406</v>
      </c>
      <c r="AB10" s="3">
        <v>1.7415489131692448</v>
      </c>
      <c r="AC10" s="3">
        <v>1.1845717860692297</v>
      </c>
      <c r="AD10" s="3">
        <v>1.8719868955192429</v>
      </c>
      <c r="AE10" s="3">
        <v>0.19282233268922738</v>
      </c>
      <c r="AF10" s="3">
        <v>-0.41644266558675735</v>
      </c>
      <c r="AG10" s="3">
        <v>-0.7920709280307725</v>
      </c>
      <c r="AH10" s="3">
        <v>-3.1117011955307636</v>
      </c>
      <c r="AI10" s="3">
        <v>-1.754437314630755</v>
      </c>
      <c r="AJ10" s="3">
        <v>-0.6783287293607636</v>
      </c>
      <c r="AK10" s="3">
        <v>-0.13216066909075941</v>
      </c>
      <c r="AL10" s="3">
        <v>-1.2187106281307756</v>
      </c>
      <c r="AM10" s="3">
        <v>-0.23967928586077691</v>
      </c>
      <c r="AN10" s="3">
        <v>0.41425456986923609</v>
      </c>
      <c r="AO10" s="3">
        <v>1.4262948740692274</v>
      </c>
      <c r="AP10" s="3">
        <v>2.0884129651392276</v>
      </c>
      <c r="AQ10" s="3">
        <v>0.230319378419234</v>
      </c>
      <c r="AR10" s="3">
        <v>0.87058350376922755</v>
      </c>
      <c r="AS10" s="3">
        <v>-0.18409000339077064</v>
      </c>
      <c r="AT10" s="3">
        <v>1.3994548985492341</v>
      </c>
      <c r="AU10" s="3">
        <v>-1.1214605250507683</v>
      </c>
    </row>
    <row r="11" spans="1:47" x14ac:dyDescent="0.25">
      <c r="A11">
        <v>1983.375</v>
      </c>
      <c r="B11">
        <v>5</v>
      </c>
      <c r="C11" s="3">
        <v>-1.5365287291607705</v>
      </c>
      <c r="G11" s="3">
        <v>-1.5365287291607705</v>
      </c>
      <c r="H11" s="3">
        <v>-1.6037714177007616</v>
      </c>
      <c r="I11" s="3">
        <v>-4.4186573967507705</v>
      </c>
      <c r="J11" s="3">
        <v>-5.7546631341007721</v>
      </c>
      <c r="K11" s="3">
        <v>-4.2828241200607735</v>
      </c>
      <c r="L11" s="3">
        <v>-3.318813113430755</v>
      </c>
      <c r="M11" s="3">
        <v>-2.2869922902807649</v>
      </c>
      <c r="N11" s="3">
        <v>-1.1141125145307573</v>
      </c>
      <c r="O11" s="3">
        <v>-0.85833921068075947</v>
      </c>
      <c r="P11" s="3">
        <v>0.19842168935924309</v>
      </c>
      <c r="Q11" s="3">
        <v>9.0747949279244927E-2</v>
      </c>
      <c r="R11" s="3">
        <v>0.28020932696923401</v>
      </c>
      <c r="S11" s="3">
        <v>1.6829712080392252</v>
      </c>
      <c r="T11" s="3">
        <v>2.2472897998692272</v>
      </c>
      <c r="U11" s="3">
        <v>1.5381377024192207</v>
      </c>
      <c r="V11" s="3">
        <v>0.95009040011922963</v>
      </c>
      <c r="W11" s="3">
        <v>0.16778843210923924</v>
      </c>
      <c r="X11" s="3">
        <v>-0.32820109656075358</v>
      </c>
      <c r="Y11" s="3">
        <v>0.10288279560923042</v>
      </c>
      <c r="Z11" s="3">
        <v>1.1606928748392318</v>
      </c>
      <c r="AA11" s="3">
        <v>1.0248394490071275</v>
      </c>
      <c r="AB11" s="3">
        <v>1.606789201499234</v>
      </c>
      <c r="AC11" s="3">
        <v>2.394840518709227</v>
      </c>
      <c r="AD11" s="3">
        <v>1.0093508307130274</v>
      </c>
      <c r="AE11" s="3">
        <v>0.70257197929922732</v>
      </c>
      <c r="AF11" s="3">
        <v>0.71152544480922963</v>
      </c>
      <c r="AG11" s="3">
        <v>-1.2758133939807617</v>
      </c>
      <c r="AH11" s="3">
        <v>-1.1840317151307596</v>
      </c>
      <c r="AI11" s="3">
        <v>-2.9731450761907507</v>
      </c>
      <c r="AJ11" s="3">
        <v>-0.826312025460755</v>
      </c>
      <c r="AK11" s="3">
        <v>-0.82430027525075733</v>
      </c>
      <c r="AL11" s="3">
        <v>-0.21680460930476167</v>
      </c>
      <c r="AM11" s="3">
        <v>1.2002363824092406</v>
      </c>
      <c r="AN11" s="3">
        <v>1.7415489131692448</v>
      </c>
      <c r="AO11" s="3">
        <v>1.1845717860692297</v>
      </c>
      <c r="AP11" s="3">
        <v>1.8719868955192429</v>
      </c>
      <c r="AQ11" s="3">
        <v>0.19282233268922738</v>
      </c>
      <c r="AR11" s="3">
        <v>-0.41644266558675735</v>
      </c>
      <c r="AS11" s="3">
        <v>-0.7920709280307725</v>
      </c>
      <c r="AT11" s="3">
        <v>-3.1117011955307636</v>
      </c>
      <c r="AU11" s="3">
        <v>-1.754437314630755</v>
      </c>
    </row>
    <row r="12" spans="1:47" x14ac:dyDescent="0.25">
      <c r="A12">
        <v>1984.375</v>
      </c>
      <c r="B12">
        <v>5</v>
      </c>
      <c r="C12" s="3">
        <v>1.880515014489234</v>
      </c>
      <c r="G12" s="3">
        <v>1.880515014489234</v>
      </c>
      <c r="H12" s="3">
        <v>1.4169093568692384</v>
      </c>
      <c r="I12" s="3">
        <v>-1.459145150890766</v>
      </c>
      <c r="J12" s="3">
        <v>-0.25170846241076383</v>
      </c>
      <c r="K12" s="3">
        <v>-0.36195759964077051</v>
      </c>
      <c r="L12" s="3">
        <v>-0.47425017163075722</v>
      </c>
      <c r="M12" s="3">
        <v>-0.51962604492076825</v>
      </c>
      <c r="N12" s="3">
        <v>1.7054727707192336</v>
      </c>
      <c r="O12" s="3">
        <v>1.999494930519234</v>
      </c>
      <c r="P12" s="3">
        <v>1.7188996157552427</v>
      </c>
      <c r="Q12" s="3">
        <v>0.12128620823924474</v>
      </c>
      <c r="R12" s="3">
        <v>-1.4051694421937548</v>
      </c>
      <c r="S12" s="3">
        <v>-1.5365287291607705</v>
      </c>
      <c r="T12" s="3">
        <v>-1.6037714177007616</v>
      </c>
      <c r="U12" s="3">
        <v>-4.4186573967507705</v>
      </c>
      <c r="V12" s="3">
        <v>-5.7546631341007721</v>
      </c>
      <c r="W12" s="3">
        <v>-4.2828241200607735</v>
      </c>
      <c r="X12" s="3">
        <v>-3.318813113430755</v>
      </c>
      <c r="Y12" s="3">
        <v>-2.2869922902807649</v>
      </c>
      <c r="Z12" s="3">
        <v>-1.1141125145307573</v>
      </c>
      <c r="AA12" s="3">
        <v>-0.85833921068075947</v>
      </c>
      <c r="AB12" s="3">
        <v>0.19842168935924309</v>
      </c>
      <c r="AC12" s="3">
        <v>9.0747949279244927E-2</v>
      </c>
      <c r="AD12" s="3">
        <v>0.28020932696923401</v>
      </c>
      <c r="AE12" s="3">
        <v>1.6829712080392252</v>
      </c>
      <c r="AF12" s="3">
        <v>2.2472897998692272</v>
      </c>
      <c r="AG12" s="3">
        <v>1.5381377024192207</v>
      </c>
      <c r="AH12" s="3">
        <v>0.95009040011922963</v>
      </c>
      <c r="AI12" s="3">
        <v>0.16778843210923924</v>
      </c>
      <c r="AJ12" s="3">
        <v>-0.32820109656075358</v>
      </c>
      <c r="AK12" s="3">
        <v>0.10288279560923042</v>
      </c>
      <c r="AL12" s="3">
        <v>1.1606928748392318</v>
      </c>
      <c r="AM12" s="3">
        <v>1.0248394490071275</v>
      </c>
      <c r="AN12" s="3">
        <v>1.606789201499234</v>
      </c>
      <c r="AO12" s="3">
        <v>2.394840518709227</v>
      </c>
      <c r="AP12" s="3">
        <v>1.0093508307130274</v>
      </c>
      <c r="AQ12" s="3">
        <v>0.70257197929922732</v>
      </c>
      <c r="AR12" s="3">
        <v>0.71152544480922963</v>
      </c>
      <c r="AS12" s="3">
        <v>-1.2758133939807617</v>
      </c>
      <c r="AT12" s="3">
        <v>-1.1840317151307596</v>
      </c>
      <c r="AU12" s="3">
        <v>-2.9731450761907507</v>
      </c>
    </row>
    <row r="13" spans="1:47" x14ac:dyDescent="0.25">
      <c r="A13">
        <v>1985.375</v>
      </c>
      <c r="B13">
        <v>5</v>
      </c>
      <c r="C13" s="3">
        <v>3.018522973209234</v>
      </c>
      <c r="G13" s="3">
        <v>3.018522973209234</v>
      </c>
      <c r="H13" s="3">
        <v>3.2037219389892342</v>
      </c>
      <c r="I13" s="3">
        <v>2.8503516876992365</v>
      </c>
      <c r="J13" s="3">
        <v>1.5492982089822276</v>
      </c>
      <c r="K13" s="3">
        <v>-1.9206002569707727</v>
      </c>
      <c r="L13" s="3">
        <v>1.132073258699223</v>
      </c>
      <c r="M13" s="3">
        <v>0.48051006084922643</v>
      </c>
      <c r="N13" s="3">
        <v>1.0633639918392426</v>
      </c>
      <c r="O13" s="3">
        <v>0.96519801415922746</v>
      </c>
      <c r="P13" s="3">
        <v>1.8375980735592425</v>
      </c>
      <c r="Q13" s="3">
        <v>2.7315166602692278</v>
      </c>
      <c r="R13" s="3">
        <v>2.1734786425192314</v>
      </c>
      <c r="S13" s="3">
        <v>1.880515014489234</v>
      </c>
      <c r="T13" s="3">
        <v>1.4169093568692384</v>
      </c>
      <c r="U13" s="3">
        <v>-1.459145150890766</v>
      </c>
      <c r="V13" s="3">
        <v>-0.25170846241076383</v>
      </c>
      <c r="W13" s="3">
        <v>-0.36195759964077051</v>
      </c>
      <c r="X13" s="3">
        <v>-0.47425017163075722</v>
      </c>
      <c r="Y13" s="3">
        <v>-0.51962604492076825</v>
      </c>
      <c r="Z13" s="3">
        <v>1.7054727707192336</v>
      </c>
      <c r="AA13" s="3">
        <v>1.999494930519234</v>
      </c>
      <c r="AB13" s="3">
        <v>1.7188996157552427</v>
      </c>
      <c r="AC13" s="3">
        <v>0.12128620823924474</v>
      </c>
      <c r="AD13" s="3">
        <v>-1.4051694421937548</v>
      </c>
      <c r="AE13" s="3">
        <v>-1.5365287291607705</v>
      </c>
      <c r="AF13" s="3">
        <v>-1.6037714177007616</v>
      </c>
      <c r="AG13" s="3">
        <v>-4.4186573967507705</v>
      </c>
      <c r="AH13" s="3">
        <v>-5.7546631341007721</v>
      </c>
      <c r="AI13" s="3">
        <v>-4.2828241200607735</v>
      </c>
      <c r="AJ13" s="3">
        <v>-3.318813113430755</v>
      </c>
      <c r="AK13" s="3">
        <v>-2.2869922902807649</v>
      </c>
      <c r="AL13" s="3">
        <v>-1.1141125145307573</v>
      </c>
      <c r="AM13" s="3">
        <v>-0.85833921068075947</v>
      </c>
      <c r="AN13" s="3">
        <v>0.19842168935924309</v>
      </c>
      <c r="AO13" s="3">
        <v>9.0747949279244927E-2</v>
      </c>
      <c r="AP13" s="3">
        <v>0.28020932696923401</v>
      </c>
      <c r="AQ13" s="3">
        <v>1.6829712080392252</v>
      </c>
      <c r="AR13" s="3">
        <v>2.2472897998692272</v>
      </c>
      <c r="AS13" s="3">
        <v>1.5381377024192207</v>
      </c>
      <c r="AT13" s="3">
        <v>0.95009040011922963</v>
      </c>
      <c r="AU13" s="3">
        <v>0.16778843210923924</v>
      </c>
    </row>
    <row r="14" spans="1:47" x14ac:dyDescent="0.25">
      <c r="A14">
        <v>1986.375</v>
      </c>
      <c r="B14">
        <v>5</v>
      </c>
      <c r="C14" s="3">
        <v>1.1785690316392319</v>
      </c>
      <c r="G14" s="3">
        <v>1.1785690316392319</v>
      </c>
      <c r="H14" s="3">
        <v>1.7114235345992364</v>
      </c>
      <c r="I14" s="3">
        <v>-0.43541689654075511</v>
      </c>
      <c r="J14" s="3">
        <v>-2.7417317744307681</v>
      </c>
      <c r="K14" s="3">
        <v>-1.8271438100307529</v>
      </c>
      <c r="L14" s="3">
        <v>-1.8732676199307727</v>
      </c>
      <c r="M14" s="3">
        <v>0.73595420476922957</v>
      </c>
      <c r="N14" s="3">
        <v>1.5659244664692271</v>
      </c>
      <c r="O14" s="3">
        <v>1.8524098023792341</v>
      </c>
      <c r="P14" s="3">
        <v>2.4420961504492311</v>
      </c>
      <c r="Q14" s="3">
        <v>1.9535774414092228</v>
      </c>
      <c r="R14" s="3">
        <v>2.1399495708212228</v>
      </c>
      <c r="S14" s="3">
        <v>3.018522973209234</v>
      </c>
      <c r="T14" s="3">
        <v>3.2037219389892342</v>
      </c>
      <c r="U14" s="3">
        <v>2.8503516876992365</v>
      </c>
      <c r="V14" s="3">
        <v>1.5492982089822276</v>
      </c>
      <c r="W14" s="3">
        <v>-1.9206002569707727</v>
      </c>
      <c r="X14" s="3">
        <v>1.132073258699223</v>
      </c>
      <c r="Y14" s="3">
        <v>0.48051006084922643</v>
      </c>
      <c r="Z14" s="3">
        <v>1.0633639918392426</v>
      </c>
      <c r="AA14" s="3">
        <v>0.96519801415922746</v>
      </c>
      <c r="AB14" s="3">
        <v>1.8375980735592425</v>
      </c>
      <c r="AC14" s="3">
        <v>2.7315166602692278</v>
      </c>
      <c r="AD14" s="3">
        <v>2.1734786425192314</v>
      </c>
      <c r="AE14" s="3">
        <v>1.880515014489234</v>
      </c>
      <c r="AF14" s="3">
        <v>1.4169093568692384</v>
      </c>
      <c r="AG14" s="3">
        <v>-1.459145150890766</v>
      </c>
      <c r="AH14" s="3">
        <v>-0.25170846241076383</v>
      </c>
      <c r="AI14" s="3">
        <v>-0.36195759964077051</v>
      </c>
      <c r="AJ14" s="3">
        <v>-0.47425017163075722</v>
      </c>
      <c r="AK14" s="3">
        <v>-0.51962604492076825</v>
      </c>
      <c r="AL14" s="3">
        <v>1.7054727707192336</v>
      </c>
      <c r="AM14" s="3">
        <v>1.999494930519234</v>
      </c>
      <c r="AN14" s="3">
        <v>1.7188996157552427</v>
      </c>
      <c r="AO14" s="3">
        <v>0.12128620823924474</v>
      </c>
      <c r="AP14" s="3">
        <v>-1.4051694421937548</v>
      </c>
      <c r="AQ14" s="3">
        <v>-1.5365287291607705</v>
      </c>
      <c r="AR14" s="3">
        <v>-1.6037714177007616</v>
      </c>
      <c r="AS14" s="3">
        <v>-4.4186573967507705</v>
      </c>
      <c r="AT14" s="3">
        <v>-5.7546631341007721</v>
      </c>
      <c r="AU14" s="3">
        <v>-4.2828241200607735</v>
      </c>
    </row>
    <row r="15" spans="1:47" x14ac:dyDescent="0.25">
      <c r="A15">
        <v>1987.375</v>
      </c>
      <c r="B15">
        <v>5</v>
      </c>
      <c r="C15" s="3">
        <v>-0.33535354034076137</v>
      </c>
      <c r="G15" s="3">
        <v>-0.33535354034076137</v>
      </c>
      <c r="H15" s="3">
        <v>-1.3114206938707769</v>
      </c>
      <c r="I15" s="3">
        <v>-2.4788721167707712</v>
      </c>
      <c r="J15" s="3">
        <v>-2.8403952011307547</v>
      </c>
      <c r="K15" s="3">
        <v>-3.2496489045707593</v>
      </c>
      <c r="L15" s="3">
        <v>-3.9234169669407635</v>
      </c>
      <c r="M15" s="3">
        <v>-1.1159987036507704</v>
      </c>
      <c r="N15" s="3">
        <v>-0.73488822433075951</v>
      </c>
      <c r="O15" s="3">
        <v>2.1393244769225279E-2</v>
      </c>
      <c r="P15" s="3">
        <v>0.346637390069234</v>
      </c>
      <c r="Q15" s="3">
        <v>0.912020787759243</v>
      </c>
      <c r="R15" s="3">
        <v>0.75677649209923836</v>
      </c>
      <c r="S15" s="3">
        <v>1.1785690316392319</v>
      </c>
      <c r="T15" s="3">
        <v>1.7114235345992364</v>
      </c>
      <c r="U15" s="3">
        <v>-0.43541689654075511</v>
      </c>
      <c r="V15" s="3">
        <v>-2.7417317744307681</v>
      </c>
      <c r="W15" s="3">
        <v>-1.8271438100307529</v>
      </c>
      <c r="X15" s="3">
        <v>-1.8732676199307727</v>
      </c>
      <c r="Y15" s="3">
        <v>0.73595420476922957</v>
      </c>
      <c r="Z15" s="3">
        <v>1.5659244664692271</v>
      </c>
      <c r="AA15" s="3">
        <v>1.8524098023792341</v>
      </c>
      <c r="AB15" s="3">
        <v>2.4420961504492311</v>
      </c>
      <c r="AC15" s="3">
        <v>1.9535774414092228</v>
      </c>
      <c r="AD15" s="3">
        <v>2.1399495708212228</v>
      </c>
      <c r="AE15" s="3">
        <v>3.018522973209234</v>
      </c>
      <c r="AF15" s="3">
        <v>3.2037219389892342</v>
      </c>
      <c r="AG15" s="3">
        <v>2.8503516876992365</v>
      </c>
      <c r="AH15" s="3">
        <v>1.5492982089822276</v>
      </c>
      <c r="AI15" s="3">
        <v>-1.9206002569707727</v>
      </c>
      <c r="AJ15" s="3">
        <v>1.132073258699223</v>
      </c>
      <c r="AK15" s="3">
        <v>0.48051006084922643</v>
      </c>
      <c r="AL15" s="3">
        <v>1.0633639918392426</v>
      </c>
      <c r="AM15" s="3">
        <v>0.96519801415922746</v>
      </c>
      <c r="AN15" s="3">
        <v>1.8375980735592425</v>
      </c>
      <c r="AO15" s="3">
        <v>2.7315166602692278</v>
      </c>
      <c r="AP15" s="3">
        <v>2.1734786425192314</v>
      </c>
      <c r="AQ15" s="3">
        <v>1.880515014489234</v>
      </c>
      <c r="AR15" s="3">
        <v>1.4169093568692384</v>
      </c>
      <c r="AS15" s="3">
        <v>-1.459145150890766</v>
      </c>
      <c r="AT15" s="3">
        <v>-0.25170846241076383</v>
      </c>
      <c r="AU15" s="3">
        <v>-0.36195759964077051</v>
      </c>
    </row>
    <row r="16" spans="1:47" x14ac:dyDescent="0.25">
      <c r="A16">
        <v>1988.375</v>
      </c>
      <c r="B16">
        <v>5</v>
      </c>
      <c r="C16" s="3">
        <v>1.8152388873692404</v>
      </c>
      <c r="G16" s="3">
        <v>1.8152388873692404</v>
      </c>
      <c r="H16" s="3">
        <v>1.3004161718692424</v>
      </c>
      <c r="I16" s="3">
        <v>0.42120302822923172</v>
      </c>
      <c r="J16" s="3">
        <v>-1.738144879260775</v>
      </c>
      <c r="K16" s="3">
        <v>-1.4435084742307702</v>
      </c>
      <c r="L16" s="3">
        <v>-1.3359299806807639</v>
      </c>
      <c r="M16" s="3">
        <v>-1.46228869434076</v>
      </c>
      <c r="N16" s="3">
        <v>-1.0676690314607571</v>
      </c>
      <c r="O16" s="3">
        <v>-0.84388256081077684</v>
      </c>
      <c r="P16" s="3">
        <v>-0.98430620713077255</v>
      </c>
      <c r="Q16" s="3">
        <v>-1.0628494561707658</v>
      </c>
      <c r="R16" s="3">
        <v>-0.85776481624076351</v>
      </c>
      <c r="S16" s="3">
        <v>-0.33535354034076137</v>
      </c>
      <c r="T16" s="3">
        <v>-1.3114206938707769</v>
      </c>
      <c r="U16" s="3">
        <v>-2.4788721167707712</v>
      </c>
      <c r="V16" s="3">
        <v>-2.8403952011307547</v>
      </c>
      <c r="W16" s="3">
        <v>-3.2496489045707593</v>
      </c>
      <c r="X16" s="3">
        <v>-3.9234169669407635</v>
      </c>
      <c r="Y16" s="3">
        <v>-1.1159987036507704</v>
      </c>
      <c r="Z16" s="3">
        <v>-0.73488822433075951</v>
      </c>
      <c r="AA16" s="3">
        <v>2.1393244769225279E-2</v>
      </c>
      <c r="AB16" s="3">
        <v>0.346637390069234</v>
      </c>
      <c r="AC16" s="3">
        <v>0.912020787759243</v>
      </c>
      <c r="AD16" s="3">
        <v>0.75677649209923836</v>
      </c>
      <c r="AE16" s="3">
        <v>1.1785690316392319</v>
      </c>
      <c r="AF16" s="3">
        <v>1.7114235345992364</v>
      </c>
      <c r="AG16" s="3">
        <v>-0.43541689654075511</v>
      </c>
      <c r="AH16" s="3">
        <v>-2.7417317744307681</v>
      </c>
      <c r="AI16" s="3">
        <v>-1.8271438100307529</v>
      </c>
      <c r="AJ16" s="3">
        <v>-1.8732676199307727</v>
      </c>
      <c r="AK16" s="3">
        <v>0.73595420476922957</v>
      </c>
      <c r="AL16" s="3">
        <v>1.5659244664692271</v>
      </c>
      <c r="AM16" s="3">
        <v>1.8524098023792341</v>
      </c>
      <c r="AN16" s="3">
        <v>2.4420961504492311</v>
      </c>
      <c r="AO16" s="3">
        <v>1.9535774414092228</v>
      </c>
      <c r="AP16" s="3">
        <v>2.1399495708212228</v>
      </c>
      <c r="AQ16" s="3">
        <v>3.018522973209234</v>
      </c>
      <c r="AR16" s="3">
        <v>3.2037219389892342</v>
      </c>
      <c r="AS16" s="3">
        <v>2.8503516876992365</v>
      </c>
      <c r="AT16" s="3">
        <v>1.5492982089822276</v>
      </c>
      <c r="AU16" s="3">
        <v>-1.9206002569707727</v>
      </c>
    </row>
    <row r="17" spans="1:47" x14ac:dyDescent="0.25">
      <c r="A17">
        <v>1989.375</v>
      </c>
      <c r="B17">
        <v>5</v>
      </c>
      <c r="C17" s="3">
        <v>3.101098920829223</v>
      </c>
      <c r="G17" s="3">
        <v>3.101098920829223</v>
      </c>
      <c r="H17" s="3">
        <v>2.9412418136592424</v>
      </c>
      <c r="I17" s="3">
        <v>3.3389959835592316</v>
      </c>
      <c r="J17" s="3">
        <v>4.0775932636092254</v>
      </c>
      <c r="K17" s="3">
        <v>3.5894435184692313</v>
      </c>
      <c r="L17" s="3">
        <v>2.3186386828592394</v>
      </c>
      <c r="M17" s="3">
        <v>2.519808289969224</v>
      </c>
      <c r="N17" s="3">
        <v>2.8509511295692231</v>
      </c>
      <c r="O17" s="3">
        <v>4.210773910769225</v>
      </c>
      <c r="P17" s="3">
        <v>3.9125285119692315</v>
      </c>
      <c r="Q17" s="3">
        <v>4.1239791073692293</v>
      </c>
      <c r="R17" s="3">
        <v>2.838481122869227</v>
      </c>
      <c r="S17" s="3">
        <v>1.8152388873692404</v>
      </c>
      <c r="T17" s="3">
        <v>1.3004161718692424</v>
      </c>
      <c r="U17" s="3">
        <v>0.42120302822923172</v>
      </c>
      <c r="V17" s="3">
        <v>-1.738144879260775</v>
      </c>
      <c r="W17" s="3">
        <v>-1.4435084742307702</v>
      </c>
      <c r="X17" s="3">
        <v>-1.3359299806807639</v>
      </c>
      <c r="Y17" s="3">
        <v>-1.46228869434076</v>
      </c>
      <c r="Z17" s="3">
        <v>-1.0676690314607571</v>
      </c>
      <c r="AA17" s="3">
        <v>-0.84388256081077684</v>
      </c>
      <c r="AB17" s="3">
        <v>-0.98430620713077255</v>
      </c>
      <c r="AC17" s="3">
        <v>-1.0628494561707658</v>
      </c>
      <c r="AD17" s="3">
        <v>-0.85776481624076351</v>
      </c>
      <c r="AE17" s="3">
        <v>-0.33535354034076137</v>
      </c>
      <c r="AF17" s="3">
        <v>-1.3114206938707769</v>
      </c>
      <c r="AG17" s="3">
        <v>-2.4788721167707712</v>
      </c>
      <c r="AH17" s="3">
        <v>-2.8403952011307547</v>
      </c>
      <c r="AI17" s="3">
        <v>-3.2496489045707593</v>
      </c>
      <c r="AJ17" s="3">
        <v>-3.9234169669407635</v>
      </c>
      <c r="AK17" s="3">
        <v>-1.1159987036507704</v>
      </c>
      <c r="AL17" s="3">
        <v>-0.73488822433075951</v>
      </c>
      <c r="AM17" s="3">
        <v>2.1393244769225279E-2</v>
      </c>
      <c r="AN17" s="3">
        <v>0.346637390069234</v>
      </c>
      <c r="AO17" s="3">
        <v>0.912020787759243</v>
      </c>
      <c r="AP17" s="3">
        <v>0.75677649209923836</v>
      </c>
      <c r="AQ17" s="3">
        <v>1.1785690316392319</v>
      </c>
      <c r="AR17" s="3">
        <v>1.7114235345992364</v>
      </c>
      <c r="AS17" s="3">
        <v>-0.43541689654075511</v>
      </c>
      <c r="AT17" s="3">
        <v>-2.7417317744307681</v>
      </c>
      <c r="AU17" s="3">
        <v>-1.8271438100307529</v>
      </c>
    </row>
    <row r="18" spans="1:47" x14ac:dyDescent="0.25">
      <c r="A18">
        <v>1990.375</v>
      </c>
      <c r="B18">
        <v>5</v>
      </c>
      <c r="C18" s="3">
        <v>1.2389727557242383</v>
      </c>
      <c r="G18" s="3">
        <v>1.2389727557242383</v>
      </c>
      <c r="H18" s="3">
        <v>1.6186363016892316</v>
      </c>
      <c r="I18" s="3">
        <v>0.87342533512922516</v>
      </c>
      <c r="J18" s="3">
        <v>2.4928988691492382</v>
      </c>
      <c r="K18" s="3">
        <v>-6.0649675430752892E-2</v>
      </c>
      <c r="L18" s="3">
        <v>-0.80318400744077045</v>
      </c>
      <c r="M18" s="3">
        <v>1.7226007102992229</v>
      </c>
      <c r="N18" s="3">
        <v>2.123144150119245</v>
      </c>
      <c r="O18" s="3">
        <v>1.9350583343592276</v>
      </c>
      <c r="P18" s="3">
        <v>2.4970583207292276</v>
      </c>
      <c r="Q18" s="3">
        <v>3.1293092386692387</v>
      </c>
      <c r="R18" s="3">
        <v>2.5792642141692426</v>
      </c>
      <c r="S18" s="3">
        <v>3.101098920829223</v>
      </c>
      <c r="T18" s="3">
        <v>2.9412418136592424</v>
      </c>
      <c r="U18" s="3">
        <v>3.3389959835592316</v>
      </c>
      <c r="V18" s="3">
        <v>4.0775932636092254</v>
      </c>
      <c r="W18" s="3">
        <v>3.5894435184692313</v>
      </c>
      <c r="X18" s="3">
        <v>2.3186386828592394</v>
      </c>
      <c r="Y18" s="3">
        <v>2.519808289969224</v>
      </c>
      <c r="Z18" s="3">
        <v>2.8509511295692231</v>
      </c>
      <c r="AA18" s="3">
        <v>4.210773910769225</v>
      </c>
      <c r="AB18" s="3">
        <v>3.9125285119692315</v>
      </c>
      <c r="AC18" s="3">
        <v>4.1239791073692293</v>
      </c>
      <c r="AD18" s="3">
        <v>2.838481122869227</v>
      </c>
      <c r="AE18" s="3">
        <v>1.8152388873692404</v>
      </c>
      <c r="AF18" s="3">
        <v>1.3004161718692424</v>
      </c>
      <c r="AG18" s="3">
        <v>0.42120302822923172</v>
      </c>
      <c r="AH18" s="3">
        <v>-1.738144879260775</v>
      </c>
      <c r="AI18" s="3">
        <v>-1.4435084742307702</v>
      </c>
      <c r="AJ18" s="3">
        <v>-1.3359299806807639</v>
      </c>
      <c r="AK18" s="3">
        <v>-1.46228869434076</v>
      </c>
      <c r="AL18" s="3">
        <v>-1.0676690314607571</v>
      </c>
      <c r="AM18" s="3">
        <v>-0.84388256081077684</v>
      </c>
      <c r="AN18" s="3">
        <v>-0.98430620713077255</v>
      </c>
      <c r="AO18" s="3">
        <v>-1.0628494561707658</v>
      </c>
      <c r="AP18" s="3">
        <v>-0.85776481624076351</v>
      </c>
      <c r="AQ18" s="3">
        <v>-0.33535354034076137</v>
      </c>
      <c r="AR18" s="3">
        <v>-1.3114206938707769</v>
      </c>
      <c r="AS18" s="3">
        <v>-2.4788721167707712</v>
      </c>
      <c r="AT18" s="3">
        <v>-2.8403952011307547</v>
      </c>
      <c r="AU18" s="3">
        <v>-3.2496489045707593</v>
      </c>
    </row>
    <row r="19" spans="1:47" x14ac:dyDescent="0.25">
      <c r="A19">
        <v>1991.375</v>
      </c>
      <c r="B19">
        <v>5</v>
      </c>
      <c r="C19" s="3">
        <v>1.5588966751912405</v>
      </c>
      <c r="G19" s="3">
        <v>1.5588966751912405</v>
      </c>
      <c r="H19" s="3">
        <v>1.6316906620592251</v>
      </c>
      <c r="I19" s="3">
        <v>1.2957303481892386</v>
      </c>
      <c r="J19" s="3">
        <v>-1.2335507462607638</v>
      </c>
      <c r="K19" s="3">
        <v>0.16320301782923852</v>
      </c>
      <c r="L19" s="3">
        <v>1.1043187677692341</v>
      </c>
      <c r="M19" s="3">
        <v>2.7184411626292273</v>
      </c>
      <c r="N19" s="3">
        <v>1.6554374506492406</v>
      </c>
      <c r="O19" s="3">
        <v>0.73988715803922955</v>
      </c>
      <c r="P19" s="3">
        <v>1.2394592322392297</v>
      </c>
      <c r="Q19" s="3">
        <v>1.5319094081492275</v>
      </c>
      <c r="R19" s="3">
        <v>1.4473524387232231</v>
      </c>
      <c r="S19" s="3">
        <v>1.2389727557242383</v>
      </c>
      <c r="T19" s="3">
        <v>1.6186363016892316</v>
      </c>
      <c r="U19" s="3">
        <v>0.87342533512922516</v>
      </c>
      <c r="V19" s="3">
        <v>2.4928988691492382</v>
      </c>
      <c r="W19" s="3">
        <v>-6.0649675430752892E-2</v>
      </c>
      <c r="X19" s="3">
        <v>-0.80318400744077045</v>
      </c>
      <c r="Y19" s="3">
        <v>1.7226007102992229</v>
      </c>
      <c r="Z19" s="3">
        <v>2.123144150119245</v>
      </c>
      <c r="AA19" s="3">
        <v>1.9350583343592276</v>
      </c>
      <c r="AB19" s="3">
        <v>2.4970583207292276</v>
      </c>
      <c r="AC19" s="3">
        <v>3.1293092386692387</v>
      </c>
      <c r="AD19" s="3">
        <v>2.5792642141692426</v>
      </c>
      <c r="AE19" s="3">
        <v>3.101098920829223</v>
      </c>
      <c r="AF19" s="3">
        <v>2.9412418136592424</v>
      </c>
      <c r="AG19" s="3">
        <v>3.3389959835592316</v>
      </c>
      <c r="AH19" s="3">
        <v>4.0775932636092254</v>
      </c>
      <c r="AI19" s="3">
        <v>3.5894435184692313</v>
      </c>
      <c r="AJ19" s="3">
        <v>2.3186386828592394</v>
      </c>
      <c r="AK19" s="3">
        <v>2.519808289969224</v>
      </c>
      <c r="AL19" s="3">
        <v>2.8509511295692231</v>
      </c>
      <c r="AM19" s="3">
        <v>4.210773910769225</v>
      </c>
      <c r="AN19" s="3">
        <v>3.9125285119692315</v>
      </c>
      <c r="AO19" s="3">
        <v>4.1239791073692293</v>
      </c>
      <c r="AP19" s="3">
        <v>2.838481122869227</v>
      </c>
      <c r="AQ19" s="3">
        <v>1.8152388873692404</v>
      </c>
      <c r="AR19" s="3">
        <v>1.3004161718692424</v>
      </c>
      <c r="AS19" s="3">
        <v>0.42120302822923172</v>
      </c>
      <c r="AT19" s="3">
        <v>-1.738144879260775</v>
      </c>
      <c r="AU19" s="3">
        <v>-1.4435084742307702</v>
      </c>
    </row>
    <row r="20" spans="1:47" x14ac:dyDescent="0.25">
      <c r="A20">
        <v>1992.375</v>
      </c>
      <c r="B20">
        <v>5</v>
      </c>
      <c r="C20" s="3">
        <v>-0.84115852963076165</v>
      </c>
      <c r="G20" s="3">
        <v>-0.84115852963076165</v>
      </c>
      <c r="H20" s="3">
        <v>-1.4262157430307572</v>
      </c>
      <c r="I20" s="3">
        <v>-1.6423887356207789</v>
      </c>
      <c r="J20" s="3">
        <v>-2.3034867752407635</v>
      </c>
      <c r="K20" s="3">
        <v>-4.0346397557107512</v>
      </c>
      <c r="L20" s="3">
        <v>-1.5787000165107659</v>
      </c>
      <c r="M20" s="3">
        <v>-1.6823914399807602</v>
      </c>
      <c r="N20" s="3">
        <v>-0.45250741993075744</v>
      </c>
      <c r="O20" s="3">
        <v>-0.43909391222076166</v>
      </c>
      <c r="P20" s="3">
        <v>0.99610122664924261</v>
      </c>
      <c r="Q20" s="3">
        <v>1.3196503246692344</v>
      </c>
      <c r="R20" s="3">
        <v>1.5908299070092362</v>
      </c>
      <c r="S20" s="3">
        <v>1.5588966751912405</v>
      </c>
      <c r="T20" s="3">
        <v>1.6316906620592251</v>
      </c>
      <c r="U20" s="3">
        <v>1.2957303481892386</v>
      </c>
      <c r="V20" s="3">
        <v>-1.2335507462607638</v>
      </c>
      <c r="W20" s="3">
        <v>0.16320301782923852</v>
      </c>
      <c r="X20" s="3">
        <v>1.1043187677692341</v>
      </c>
      <c r="Y20" s="3">
        <v>2.7184411626292273</v>
      </c>
      <c r="Z20" s="3">
        <v>1.6554374506492406</v>
      </c>
      <c r="AA20" s="3">
        <v>0.73988715803922955</v>
      </c>
      <c r="AB20" s="3">
        <v>1.2394592322392297</v>
      </c>
      <c r="AC20" s="3">
        <v>1.5319094081492275</v>
      </c>
      <c r="AD20" s="3">
        <v>1.4473524387232231</v>
      </c>
      <c r="AE20" s="3">
        <v>1.2389727557242383</v>
      </c>
      <c r="AF20" s="3">
        <v>1.6186363016892316</v>
      </c>
      <c r="AG20" s="3">
        <v>0.87342533512922516</v>
      </c>
      <c r="AH20" s="3">
        <v>2.4928988691492382</v>
      </c>
      <c r="AI20" s="3">
        <v>-6.0649675430752892E-2</v>
      </c>
      <c r="AJ20" s="3">
        <v>-0.80318400744077045</v>
      </c>
      <c r="AK20" s="3">
        <v>1.7226007102992229</v>
      </c>
      <c r="AL20" s="3">
        <v>2.123144150119245</v>
      </c>
      <c r="AM20" s="3">
        <v>1.9350583343592276</v>
      </c>
      <c r="AN20" s="3">
        <v>2.4970583207292276</v>
      </c>
      <c r="AO20" s="3">
        <v>3.1293092386692387</v>
      </c>
      <c r="AP20" s="3">
        <v>2.5792642141692426</v>
      </c>
      <c r="AQ20" s="3">
        <v>3.101098920829223</v>
      </c>
      <c r="AR20" s="3">
        <v>2.9412418136592424</v>
      </c>
      <c r="AS20" s="3">
        <v>3.3389959835592316</v>
      </c>
      <c r="AT20" s="3">
        <v>4.0775932636092254</v>
      </c>
      <c r="AU20" s="3">
        <v>3.5894435184692313</v>
      </c>
    </row>
    <row r="21" spans="1:47" x14ac:dyDescent="0.25">
      <c r="A21">
        <v>1993.375</v>
      </c>
      <c r="B21">
        <v>5</v>
      </c>
      <c r="C21" s="3">
        <v>-1.7499852617307701</v>
      </c>
      <c r="G21" s="3">
        <v>-1.7499852617307701</v>
      </c>
      <c r="H21" s="3">
        <v>-1.4652308750507557</v>
      </c>
      <c r="I21" s="3">
        <v>-1.400128325530777</v>
      </c>
      <c r="J21" s="3">
        <v>-2.5427820538307531</v>
      </c>
      <c r="K21" s="3">
        <v>-6.6647353730779207E-2</v>
      </c>
      <c r="L21" s="3">
        <v>0.2562015870692339</v>
      </c>
      <c r="M21" s="3">
        <v>-0.76324945283075885</v>
      </c>
      <c r="N21" s="3">
        <v>-0.47740350051075731</v>
      </c>
      <c r="O21" s="3">
        <v>0.67246091184924062</v>
      </c>
      <c r="P21" s="3">
        <v>0.91106123696924057</v>
      </c>
      <c r="Q21" s="3">
        <v>0.30045070326922318</v>
      </c>
      <c r="R21" s="3">
        <v>-1.121383650430777</v>
      </c>
      <c r="S21" s="3">
        <v>-0.84115852963076165</v>
      </c>
      <c r="T21" s="3">
        <v>-1.4262157430307572</v>
      </c>
      <c r="U21" s="3">
        <v>-1.6423887356207789</v>
      </c>
      <c r="V21" s="3">
        <v>-2.3034867752407635</v>
      </c>
      <c r="W21" s="3">
        <v>-4.0346397557107512</v>
      </c>
      <c r="X21" s="3">
        <v>-1.5787000165107659</v>
      </c>
      <c r="Y21" s="3">
        <v>-1.6823914399807602</v>
      </c>
      <c r="Z21" s="3">
        <v>-0.45250741993075744</v>
      </c>
      <c r="AA21" s="3">
        <v>-0.43909391222076166</v>
      </c>
      <c r="AB21" s="3">
        <v>0.99610122664924261</v>
      </c>
      <c r="AC21" s="3">
        <v>1.3196503246692344</v>
      </c>
      <c r="AD21" s="3">
        <v>1.5908299070092362</v>
      </c>
      <c r="AE21" s="3">
        <v>1.5588966751912405</v>
      </c>
      <c r="AF21" s="3">
        <v>1.6316906620592251</v>
      </c>
      <c r="AG21" s="3">
        <v>1.2957303481892386</v>
      </c>
      <c r="AH21" s="3">
        <v>-1.2335507462607638</v>
      </c>
      <c r="AI21" s="3">
        <v>0.16320301782923852</v>
      </c>
      <c r="AJ21" s="3">
        <v>1.1043187677692341</v>
      </c>
      <c r="AK21" s="3">
        <v>2.7184411626292273</v>
      </c>
      <c r="AL21" s="3">
        <v>1.6554374506492406</v>
      </c>
      <c r="AM21" s="3">
        <v>0.73988715803922955</v>
      </c>
      <c r="AN21" s="3">
        <v>1.2394592322392297</v>
      </c>
      <c r="AO21" s="3">
        <v>1.5319094081492275</v>
      </c>
      <c r="AP21" s="3">
        <v>1.4473524387232231</v>
      </c>
      <c r="AQ21" s="3">
        <v>1.2389727557242383</v>
      </c>
      <c r="AR21" s="3">
        <v>1.6186363016892316</v>
      </c>
      <c r="AS21" s="3">
        <v>0.87342533512922516</v>
      </c>
      <c r="AT21" s="3">
        <v>2.4928988691492382</v>
      </c>
      <c r="AU21" s="3">
        <v>-6.0649675430752892E-2</v>
      </c>
    </row>
    <row r="22" spans="1:47" x14ac:dyDescent="0.25">
      <c r="A22">
        <v>1994.375</v>
      </c>
      <c r="B22">
        <v>5</v>
      </c>
      <c r="C22" s="3">
        <v>0.48058693018923609</v>
      </c>
      <c r="G22" s="3">
        <v>0.48058693018923609</v>
      </c>
      <c r="H22" s="3">
        <v>0.43658393346923852</v>
      </c>
      <c r="I22" s="3">
        <v>0.55829599056923407</v>
      </c>
      <c r="J22" s="3">
        <v>-0.26735246563077253</v>
      </c>
      <c r="K22" s="3">
        <v>-0.96840572933077751</v>
      </c>
      <c r="L22" s="3">
        <v>-1.3840851574307529</v>
      </c>
      <c r="M22" s="3">
        <v>-0.34274929363076823</v>
      </c>
      <c r="N22" s="3">
        <v>-1.003711165430766</v>
      </c>
      <c r="O22" s="3">
        <v>3.3413247869227392E-2</v>
      </c>
      <c r="P22" s="3">
        <v>-0.23892460953076178</v>
      </c>
      <c r="Q22" s="3">
        <v>-5.7858695630772616E-2</v>
      </c>
      <c r="R22" s="3">
        <v>-1.2440622765307658</v>
      </c>
      <c r="S22" s="3">
        <v>-1.7499852617307701</v>
      </c>
      <c r="T22" s="3">
        <v>-1.4652308750507557</v>
      </c>
      <c r="U22" s="3">
        <v>-1.400128325530777</v>
      </c>
      <c r="V22" s="3">
        <v>-2.5427820538307531</v>
      </c>
      <c r="W22" s="3">
        <v>-6.6647353730779207E-2</v>
      </c>
      <c r="X22" s="3">
        <v>0.2562015870692339</v>
      </c>
      <c r="Y22" s="3">
        <v>-0.76324945283075885</v>
      </c>
      <c r="Z22" s="3">
        <v>-0.47740350051075731</v>
      </c>
      <c r="AA22" s="3">
        <v>0.67246091184924062</v>
      </c>
      <c r="AB22" s="3">
        <v>0.91106123696924057</v>
      </c>
      <c r="AC22" s="3">
        <v>0.30045070326922318</v>
      </c>
      <c r="AD22" s="3">
        <v>-1.121383650430777</v>
      </c>
      <c r="AE22" s="3">
        <v>-0.84115852963076165</v>
      </c>
      <c r="AF22" s="3">
        <v>-1.4262157430307572</v>
      </c>
      <c r="AG22" s="3">
        <v>-1.6423887356207789</v>
      </c>
      <c r="AH22" s="3">
        <v>-2.3034867752407635</v>
      </c>
      <c r="AI22" s="3">
        <v>-4.0346397557107512</v>
      </c>
      <c r="AJ22" s="3">
        <v>-1.5787000165107659</v>
      </c>
      <c r="AK22" s="3">
        <v>-1.6823914399807602</v>
      </c>
      <c r="AL22" s="3">
        <v>-0.45250741993075744</v>
      </c>
      <c r="AM22" s="3">
        <v>-0.43909391222076166</v>
      </c>
      <c r="AN22" s="3">
        <v>0.99610122664924261</v>
      </c>
      <c r="AO22" s="3">
        <v>1.3196503246692344</v>
      </c>
      <c r="AP22" s="3">
        <v>1.5908299070092362</v>
      </c>
      <c r="AQ22" s="3">
        <v>1.5588966751912405</v>
      </c>
      <c r="AR22" s="3">
        <v>1.6316906620592251</v>
      </c>
      <c r="AS22" s="3">
        <v>1.2957303481892386</v>
      </c>
      <c r="AT22" s="3">
        <v>-1.2335507462607638</v>
      </c>
      <c r="AU22" s="3">
        <v>0.16320301782923852</v>
      </c>
    </row>
    <row r="23" spans="1:47" x14ac:dyDescent="0.25">
      <c r="A23">
        <v>1995.375</v>
      </c>
      <c r="B23">
        <v>5</v>
      </c>
      <c r="C23" s="3">
        <v>7.6683764169240554E-2</v>
      </c>
      <c r="G23" s="3">
        <v>7.6683764169240554E-2</v>
      </c>
      <c r="H23" s="3">
        <v>0.10972375916922747</v>
      </c>
      <c r="I23" s="3">
        <v>-0.31761633993075511</v>
      </c>
      <c r="J23" s="3">
        <v>-1.3699783146307574</v>
      </c>
      <c r="K23" s="3">
        <v>-2.2407406892407531</v>
      </c>
      <c r="L23" s="3">
        <v>-1.0063510335307699</v>
      </c>
      <c r="M23" s="3">
        <v>1.3061153370692451</v>
      </c>
      <c r="N23" s="3">
        <v>-0.22854296843077238</v>
      </c>
      <c r="O23" s="3">
        <v>0.54970240346922294</v>
      </c>
      <c r="P23" s="3">
        <v>1.4629862816792296</v>
      </c>
      <c r="Q23" s="3">
        <v>1.3126903932192404</v>
      </c>
      <c r="R23" s="3">
        <v>1.4165573207592337</v>
      </c>
      <c r="S23" s="3">
        <v>0.48058693018923609</v>
      </c>
      <c r="T23" s="3">
        <v>0.43658393346923852</v>
      </c>
      <c r="U23" s="3">
        <v>0.55829599056923407</v>
      </c>
      <c r="V23" s="3">
        <v>-0.26735246563077253</v>
      </c>
      <c r="W23" s="3">
        <v>-0.96840572933077751</v>
      </c>
      <c r="X23" s="3">
        <v>-1.3840851574307529</v>
      </c>
      <c r="Y23" s="3">
        <v>-0.34274929363076823</v>
      </c>
      <c r="Z23" s="3">
        <v>-1.003711165430766</v>
      </c>
      <c r="AA23" s="3">
        <v>3.3413247869227392E-2</v>
      </c>
      <c r="AB23" s="3">
        <v>-0.23892460953076178</v>
      </c>
      <c r="AC23" s="3">
        <v>-5.7858695630772616E-2</v>
      </c>
      <c r="AD23" s="3">
        <v>-1.2440622765307658</v>
      </c>
      <c r="AE23" s="3">
        <v>-1.7499852617307701</v>
      </c>
      <c r="AF23" s="3">
        <v>-1.4652308750507557</v>
      </c>
      <c r="AG23" s="3">
        <v>-1.400128325530777</v>
      </c>
      <c r="AH23" s="3">
        <v>-2.5427820538307531</v>
      </c>
      <c r="AI23" s="3">
        <v>-6.6647353730779207E-2</v>
      </c>
      <c r="AJ23" s="3">
        <v>0.2562015870692339</v>
      </c>
      <c r="AK23" s="3">
        <v>-0.76324945283075885</v>
      </c>
      <c r="AL23" s="3">
        <v>-0.47740350051075731</v>
      </c>
      <c r="AM23" s="3">
        <v>0.67246091184924062</v>
      </c>
      <c r="AN23" s="3">
        <v>0.91106123696924057</v>
      </c>
      <c r="AO23" s="3">
        <v>0.30045070326922318</v>
      </c>
      <c r="AP23" s="3">
        <v>-1.121383650430777</v>
      </c>
      <c r="AQ23" s="3">
        <v>-0.84115852963076165</v>
      </c>
      <c r="AR23" s="3">
        <v>-1.4262157430307572</v>
      </c>
      <c r="AS23" s="3">
        <v>-1.6423887356207789</v>
      </c>
      <c r="AT23" s="3">
        <v>-2.3034867752407635</v>
      </c>
      <c r="AU23" s="3">
        <v>-4.0346397557107512</v>
      </c>
    </row>
    <row r="24" spans="1:47" x14ac:dyDescent="0.25">
      <c r="A24">
        <v>1996.375</v>
      </c>
      <c r="B24">
        <v>5</v>
      </c>
      <c r="C24" s="3">
        <v>0.93481068946924495</v>
      </c>
      <c r="G24" s="3">
        <v>0.93481068946924495</v>
      </c>
      <c r="H24" s="3">
        <v>-9.6817897150762722E-2</v>
      </c>
      <c r="I24" s="3">
        <v>0.34425614486924488</v>
      </c>
      <c r="J24" s="3">
        <v>5.2294937169236277E-2</v>
      </c>
      <c r="K24" s="3">
        <v>0.12928496692922442</v>
      </c>
      <c r="L24" s="3">
        <v>-1.3773610517907746</v>
      </c>
      <c r="M24" s="3">
        <v>1.5170529866692426</v>
      </c>
      <c r="N24" s="3">
        <v>1.4887714762392252</v>
      </c>
      <c r="O24" s="3">
        <v>0.48882257341924473</v>
      </c>
      <c r="P24" s="3">
        <v>2.4735421464692338</v>
      </c>
      <c r="Q24" s="3">
        <v>1.2489220058692447</v>
      </c>
      <c r="R24" s="3">
        <v>0.55404742496924286</v>
      </c>
      <c r="S24" s="3">
        <v>7.6683764169240554E-2</v>
      </c>
      <c r="T24" s="3">
        <v>0.10972375916922747</v>
      </c>
      <c r="U24" s="3">
        <v>-0.31761633993075511</v>
      </c>
      <c r="V24" s="3">
        <v>-1.3699783146307574</v>
      </c>
      <c r="W24" s="3">
        <v>-2.2407406892407531</v>
      </c>
      <c r="X24" s="3">
        <v>-1.0063510335307699</v>
      </c>
      <c r="Y24" s="3">
        <v>1.3061153370692451</v>
      </c>
      <c r="Z24" s="3">
        <v>-0.22854296843077238</v>
      </c>
      <c r="AA24" s="3">
        <v>0.54970240346922294</v>
      </c>
      <c r="AB24" s="3">
        <v>1.4629862816792296</v>
      </c>
      <c r="AC24" s="3">
        <v>1.3126903932192404</v>
      </c>
      <c r="AD24" s="3">
        <v>1.4165573207592337</v>
      </c>
      <c r="AE24" s="3">
        <v>0.48058693018923609</v>
      </c>
      <c r="AF24" s="3">
        <v>0.43658393346923852</v>
      </c>
      <c r="AG24" s="3">
        <v>0.55829599056923407</v>
      </c>
      <c r="AH24" s="3">
        <v>-0.26735246563077253</v>
      </c>
      <c r="AI24" s="3">
        <v>-0.96840572933077751</v>
      </c>
      <c r="AJ24" s="3">
        <v>-1.3840851574307529</v>
      </c>
      <c r="AK24" s="3">
        <v>-0.34274929363076823</v>
      </c>
      <c r="AL24" s="3">
        <v>-1.003711165430766</v>
      </c>
      <c r="AM24" s="3">
        <v>3.3413247869227392E-2</v>
      </c>
      <c r="AN24" s="3">
        <v>-0.23892460953076178</v>
      </c>
      <c r="AO24" s="3">
        <v>-5.7858695630772616E-2</v>
      </c>
      <c r="AP24" s="3">
        <v>-1.2440622765307658</v>
      </c>
      <c r="AQ24" s="3">
        <v>-1.7499852617307701</v>
      </c>
      <c r="AR24" s="3">
        <v>-1.4652308750507557</v>
      </c>
      <c r="AS24" s="3">
        <v>-1.400128325530777</v>
      </c>
      <c r="AT24" s="3">
        <v>-2.5427820538307531</v>
      </c>
      <c r="AU24" s="3">
        <v>-6.6647353730779207E-2</v>
      </c>
    </row>
    <row r="25" spans="1:47" x14ac:dyDescent="0.25">
      <c r="A25">
        <v>1997.375</v>
      </c>
      <c r="B25">
        <v>5</v>
      </c>
      <c r="C25" s="3">
        <v>-1.0207669603507683</v>
      </c>
      <c r="G25" s="3">
        <v>-1.0207669603507683</v>
      </c>
      <c r="H25" s="3">
        <v>-9.7373376630768144E-2</v>
      </c>
      <c r="I25" s="3">
        <v>1.4184623768092359</v>
      </c>
      <c r="J25" s="3">
        <v>-0.48558845493075964</v>
      </c>
      <c r="K25" s="3">
        <v>-1.4328003235307725</v>
      </c>
      <c r="L25" s="3">
        <v>0.25270418406924511</v>
      </c>
      <c r="M25" s="3">
        <v>0.81910462036922738</v>
      </c>
      <c r="N25" s="3">
        <v>1.2670931882692424</v>
      </c>
      <c r="O25" s="3">
        <v>1.252030043689234</v>
      </c>
      <c r="P25" s="3">
        <v>2.7404304538592403</v>
      </c>
      <c r="Q25" s="3">
        <v>2.3489521429392384</v>
      </c>
      <c r="R25" s="3">
        <v>1.766043151369225</v>
      </c>
      <c r="S25" s="3">
        <v>0.93481068946924495</v>
      </c>
      <c r="T25" s="3">
        <v>-9.6817897150762722E-2</v>
      </c>
      <c r="U25" s="3">
        <v>0.34425614486924488</v>
      </c>
      <c r="V25" s="3">
        <v>5.2294937169236277E-2</v>
      </c>
      <c r="W25" s="3">
        <v>0.12928496692922442</v>
      </c>
      <c r="X25" s="3">
        <v>-1.3773610517907746</v>
      </c>
      <c r="Y25" s="3">
        <v>1.5170529866692426</v>
      </c>
      <c r="Z25" s="3">
        <v>1.4887714762392252</v>
      </c>
      <c r="AA25" s="3">
        <v>0.48882257341924473</v>
      </c>
      <c r="AB25" s="3">
        <v>2.4735421464692338</v>
      </c>
      <c r="AC25" s="3">
        <v>1.2489220058692447</v>
      </c>
      <c r="AD25" s="3">
        <v>0.55404742496924286</v>
      </c>
      <c r="AE25" s="3">
        <v>7.6683764169240554E-2</v>
      </c>
      <c r="AF25" s="3">
        <v>0.10972375916922747</v>
      </c>
      <c r="AG25" s="3">
        <v>-0.31761633993075511</v>
      </c>
      <c r="AH25" s="3">
        <v>-1.3699783146307574</v>
      </c>
      <c r="AI25" s="3">
        <v>-2.2407406892407531</v>
      </c>
      <c r="AJ25" s="3">
        <v>-1.0063510335307699</v>
      </c>
      <c r="AK25" s="3">
        <v>1.3061153370692451</v>
      </c>
      <c r="AL25" s="3">
        <v>-0.22854296843077238</v>
      </c>
      <c r="AM25" s="3">
        <v>0.54970240346922294</v>
      </c>
      <c r="AN25" s="3">
        <v>1.4629862816792296</v>
      </c>
      <c r="AO25" s="3">
        <v>1.3126903932192404</v>
      </c>
      <c r="AP25" s="3">
        <v>1.4165573207592337</v>
      </c>
      <c r="AQ25" s="3">
        <v>0.48058693018923609</v>
      </c>
      <c r="AR25" s="3">
        <v>0.43658393346923852</v>
      </c>
      <c r="AS25" s="3">
        <v>0.55829599056923407</v>
      </c>
      <c r="AT25" s="3">
        <v>-0.26735246563077253</v>
      </c>
      <c r="AU25" s="3">
        <v>-0.96840572933077751</v>
      </c>
    </row>
    <row r="26" spans="1:47" x14ac:dyDescent="0.25">
      <c r="A26">
        <v>1998.375</v>
      </c>
      <c r="B26">
        <v>5</v>
      </c>
      <c r="C26" s="3">
        <v>0.36530161782924503</v>
      </c>
      <c r="G26" s="3">
        <v>0.36530161782924503</v>
      </c>
      <c r="H26" s="3">
        <v>-0.67479155132076152</v>
      </c>
      <c r="I26" s="3">
        <v>-2.787153976350762</v>
      </c>
      <c r="J26" s="3">
        <v>-4.7932476183307555</v>
      </c>
      <c r="K26" s="3">
        <v>-5.1007095236207638</v>
      </c>
      <c r="L26" s="3">
        <v>-3.1512866676807603</v>
      </c>
      <c r="M26" s="3">
        <v>-3.1398037807207642</v>
      </c>
      <c r="N26" s="3">
        <v>-2.6304183801607746</v>
      </c>
      <c r="O26" s="3">
        <v>-2.6443173447007617</v>
      </c>
      <c r="P26" s="3">
        <v>-2.0635819996307614</v>
      </c>
      <c r="Q26" s="3">
        <v>-1.616506618360757</v>
      </c>
      <c r="R26" s="3">
        <v>-2.2607291906107592</v>
      </c>
      <c r="S26" s="3">
        <v>-1.0207669603507683</v>
      </c>
      <c r="T26" s="3">
        <v>-9.7373376630768144E-2</v>
      </c>
      <c r="U26" s="3">
        <v>1.4184623768092359</v>
      </c>
      <c r="V26" s="3">
        <v>-0.48558845493075964</v>
      </c>
      <c r="W26" s="3">
        <v>-1.4328003235307725</v>
      </c>
      <c r="X26" s="3">
        <v>0.25270418406924511</v>
      </c>
      <c r="Y26" s="3">
        <v>0.81910462036922738</v>
      </c>
      <c r="Z26" s="3">
        <v>1.2670931882692424</v>
      </c>
      <c r="AA26" s="3">
        <v>1.252030043689234</v>
      </c>
      <c r="AB26" s="3">
        <v>2.7404304538592403</v>
      </c>
      <c r="AC26" s="3">
        <v>2.3489521429392384</v>
      </c>
      <c r="AD26" s="3">
        <v>1.766043151369225</v>
      </c>
      <c r="AE26" s="3">
        <v>0.93481068946924495</v>
      </c>
      <c r="AF26" s="3">
        <v>-9.6817897150762722E-2</v>
      </c>
      <c r="AG26" s="3">
        <v>0.34425614486924488</v>
      </c>
      <c r="AH26" s="3">
        <v>5.2294937169236277E-2</v>
      </c>
      <c r="AI26" s="3">
        <v>0.12928496692922442</v>
      </c>
      <c r="AJ26" s="3">
        <v>-1.3773610517907746</v>
      </c>
      <c r="AK26" s="3">
        <v>1.5170529866692426</v>
      </c>
      <c r="AL26" s="3">
        <v>1.4887714762392252</v>
      </c>
      <c r="AM26" s="3">
        <v>0.48882257341924473</v>
      </c>
      <c r="AN26" s="3">
        <v>2.4735421464692338</v>
      </c>
      <c r="AO26" s="3">
        <v>1.2489220058692447</v>
      </c>
      <c r="AP26" s="3">
        <v>0.55404742496924286</v>
      </c>
      <c r="AQ26" s="3">
        <v>7.6683764169240554E-2</v>
      </c>
      <c r="AR26" s="3">
        <v>0.10972375916922747</v>
      </c>
      <c r="AS26" s="3">
        <v>-0.31761633993075511</v>
      </c>
      <c r="AT26" s="3">
        <v>-1.3699783146307574</v>
      </c>
      <c r="AU26" s="3">
        <v>-2.2407406892407531</v>
      </c>
    </row>
    <row r="27" spans="1:47" x14ac:dyDescent="0.25">
      <c r="A27">
        <v>1999.375</v>
      </c>
      <c r="B27">
        <v>5</v>
      </c>
      <c r="C27" s="3">
        <v>4.2896200438692365</v>
      </c>
      <c r="G27" s="3">
        <v>4.2896200438692365</v>
      </c>
      <c r="H27" s="3">
        <v>4.2750099174692346</v>
      </c>
      <c r="I27" s="3">
        <v>2.720610813269225</v>
      </c>
      <c r="J27" s="3">
        <v>2.0505162265692274</v>
      </c>
      <c r="K27" s="3">
        <v>2.0362881506692445</v>
      </c>
      <c r="L27" s="3">
        <v>3.053984121499234</v>
      </c>
      <c r="M27" s="3">
        <v>2.044175869139242</v>
      </c>
      <c r="N27" s="3">
        <v>3.7128887155072277</v>
      </c>
      <c r="O27" s="3">
        <v>3.4363206710852405</v>
      </c>
      <c r="P27" s="3">
        <v>4.4289432049292321</v>
      </c>
      <c r="Q27" s="3">
        <v>3.8889257109492208</v>
      </c>
      <c r="R27" s="3">
        <v>2.0395898820592362</v>
      </c>
      <c r="S27" s="3">
        <v>0.36530161782924503</v>
      </c>
      <c r="T27" s="3">
        <v>-0.67479155132076152</v>
      </c>
      <c r="U27" s="3">
        <v>-2.787153976350762</v>
      </c>
      <c r="V27" s="3">
        <v>-4.7932476183307555</v>
      </c>
      <c r="W27" s="3">
        <v>-5.1007095236207638</v>
      </c>
      <c r="X27" s="3">
        <v>-3.1512866676807603</v>
      </c>
      <c r="Y27" s="3">
        <v>-3.1398037807207642</v>
      </c>
      <c r="Z27" s="3">
        <v>-2.6304183801607746</v>
      </c>
      <c r="AA27" s="3">
        <v>-2.6443173447007617</v>
      </c>
      <c r="AB27" s="3">
        <v>-2.0635819996307614</v>
      </c>
      <c r="AC27" s="3">
        <v>-1.616506618360757</v>
      </c>
      <c r="AD27" s="3">
        <v>-2.2607291906107592</v>
      </c>
      <c r="AE27" s="3">
        <v>-1.0207669603507683</v>
      </c>
      <c r="AF27" s="3">
        <v>-9.7373376630768144E-2</v>
      </c>
      <c r="AG27" s="3">
        <v>1.4184623768092359</v>
      </c>
      <c r="AH27" s="3">
        <v>-0.48558845493075964</v>
      </c>
      <c r="AI27" s="3">
        <v>-1.4328003235307725</v>
      </c>
      <c r="AJ27" s="3">
        <v>0.25270418406924511</v>
      </c>
      <c r="AK27" s="3">
        <v>0.81910462036922738</v>
      </c>
      <c r="AL27" s="3">
        <v>1.2670931882692424</v>
      </c>
      <c r="AM27" s="3">
        <v>1.252030043689234</v>
      </c>
      <c r="AN27" s="3">
        <v>2.7404304538592403</v>
      </c>
      <c r="AO27" s="3">
        <v>2.3489521429392384</v>
      </c>
      <c r="AP27" s="3">
        <v>1.766043151369225</v>
      </c>
      <c r="AQ27" s="3">
        <v>0.93481068946924495</v>
      </c>
      <c r="AR27" s="3">
        <v>-9.6817897150762722E-2</v>
      </c>
      <c r="AS27" s="3">
        <v>0.34425614486924488</v>
      </c>
      <c r="AT27" s="3">
        <v>5.2294937169236277E-2</v>
      </c>
      <c r="AU27" s="3">
        <v>0.12928496692922442</v>
      </c>
    </row>
    <row r="28" spans="1:47" x14ac:dyDescent="0.25">
      <c r="A28">
        <v>2000.375</v>
      </c>
      <c r="B28">
        <v>5</v>
      </c>
      <c r="C28" s="3">
        <v>3.5373226747692317</v>
      </c>
      <c r="G28" s="3">
        <v>3.5373226747692317</v>
      </c>
      <c r="H28" s="3">
        <v>3.0903652242692421</v>
      </c>
      <c r="I28" s="3">
        <v>1.4600406446692253</v>
      </c>
      <c r="J28" s="3">
        <v>0.9794701684692293</v>
      </c>
      <c r="K28" s="3">
        <v>4.1817926795692255</v>
      </c>
      <c r="L28" s="3">
        <v>3.394136948569225</v>
      </c>
      <c r="M28" s="3">
        <v>3.509488163569245</v>
      </c>
      <c r="N28" s="3">
        <v>4.1367831363692362</v>
      </c>
      <c r="O28" s="3">
        <v>3.8332401099692253</v>
      </c>
      <c r="P28" s="3">
        <v>3.4883985685692318</v>
      </c>
      <c r="Q28" s="3">
        <v>4.7052333398692276</v>
      </c>
      <c r="R28" s="3">
        <v>4.0284021538692274</v>
      </c>
      <c r="S28" s="3">
        <v>4.2896200438692365</v>
      </c>
      <c r="T28" s="3">
        <v>4.2750099174692346</v>
      </c>
      <c r="U28" s="3">
        <v>2.720610813269225</v>
      </c>
      <c r="V28" s="3">
        <v>2.0505162265692274</v>
      </c>
      <c r="W28" s="3">
        <v>2.0362881506692445</v>
      </c>
      <c r="X28" s="3">
        <v>3.053984121499234</v>
      </c>
      <c r="Y28" s="3">
        <v>2.044175869139242</v>
      </c>
      <c r="Z28" s="3">
        <v>3.7128887155072277</v>
      </c>
      <c r="AA28" s="3">
        <v>3.4363206710852405</v>
      </c>
      <c r="AB28" s="3">
        <v>4.4289432049292321</v>
      </c>
      <c r="AC28" s="3">
        <v>3.8889257109492208</v>
      </c>
      <c r="AD28" s="3">
        <v>2.0395898820592362</v>
      </c>
      <c r="AE28" s="3">
        <v>0.36530161782924503</v>
      </c>
      <c r="AF28" s="3">
        <v>-0.67479155132076152</v>
      </c>
      <c r="AG28" s="3">
        <v>-2.787153976350762</v>
      </c>
      <c r="AH28" s="3">
        <v>-4.7932476183307555</v>
      </c>
      <c r="AI28" s="3">
        <v>-5.1007095236207638</v>
      </c>
      <c r="AJ28" s="3">
        <v>-3.1512866676807603</v>
      </c>
      <c r="AK28" s="3">
        <v>-3.1398037807207642</v>
      </c>
      <c r="AL28" s="3">
        <v>-2.6304183801607746</v>
      </c>
      <c r="AM28" s="3">
        <v>-2.6443173447007617</v>
      </c>
      <c r="AN28" s="3">
        <v>-2.0635819996307614</v>
      </c>
      <c r="AO28" s="3">
        <v>-1.616506618360757</v>
      </c>
      <c r="AP28" s="3">
        <v>-2.2607291906107592</v>
      </c>
      <c r="AQ28" s="3">
        <v>-1.0207669603507683</v>
      </c>
      <c r="AR28" s="3">
        <v>-9.7373376630768144E-2</v>
      </c>
      <c r="AS28" s="3">
        <v>1.4184623768092359</v>
      </c>
      <c r="AT28" s="3">
        <v>-0.48558845493075964</v>
      </c>
      <c r="AU28" s="3">
        <v>-1.4328003235307725</v>
      </c>
    </row>
    <row r="29" spans="1:47" x14ac:dyDescent="0.25">
      <c r="A29">
        <v>2001.375</v>
      </c>
      <c r="B29">
        <v>5</v>
      </c>
      <c r="C29" s="3">
        <v>2.8748315578692294</v>
      </c>
      <c r="G29" s="3">
        <v>2.8748315578692294</v>
      </c>
      <c r="H29" s="3">
        <v>3.2092950798692228</v>
      </c>
      <c r="I29" s="3">
        <v>1.7469426557692425</v>
      </c>
      <c r="J29" s="3">
        <v>1.4616929183692422</v>
      </c>
      <c r="K29" s="3">
        <v>-0.38835567963076423</v>
      </c>
      <c r="L29" s="3">
        <v>-0.22668680423076398</v>
      </c>
      <c r="M29" s="3">
        <v>1.6595333543692334</v>
      </c>
      <c r="N29" s="3">
        <v>2.6644051674692379</v>
      </c>
      <c r="O29" s="3">
        <v>2.5123353872692271</v>
      </c>
      <c r="P29" s="3">
        <v>3.4102340611692208</v>
      </c>
      <c r="Q29" s="3">
        <v>3.4716817257692343</v>
      </c>
      <c r="R29" s="3">
        <v>3.2955469341692334</v>
      </c>
      <c r="S29" s="3">
        <v>3.5373226747692317</v>
      </c>
      <c r="T29" s="3">
        <v>3.0903652242692421</v>
      </c>
      <c r="U29" s="3">
        <v>1.4600406446692253</v>
      </c>
      <c r="V29" s="3">
        <v>0.9794701684692293</v>
      </c>
      <c r="W29" s="3">
        <v>4.1817926795692255</v>
      </c>
      <c r="X29" s="3">
        <v>3.394136948569225</v>
      </c>
      <c r="Y29" s="3">
        <v>3.509488163569245</v>
      </c>
      <c r="Z29" s="3">
        <v>4.1367831363692362</v>
      </c>
      <c r="AA29" s="3">
        <v>3.8332401099692253</v>
      </c>
      <c r="AB29" s="3">
        <v>3.4883985685692318</v>
      </c>
      <c r="AC29" s="3">
        <v>4.7052333398692276</v>
      </c>
      <c r="AD29" s="3">
        <v>4.0284021538692274</v>
      </c>
      <c r="AE29" s="3">
        <v>4.2896200438692365</v>
      </c>
      <c r="AF29" s="3">
        <v>4.2750099174692346</v>
      </c>
      <c r="AG29" s="3">
        <v>2.720610813269225</v>
      </c>
      <c r="AH29" s="3">
        <v>2.0505162265692274</v>
      </c>
      <c r="AI29" s="3">
        <v>2.0362881506692445</v>
      </c>
      <c r="AJ29" s="3">
        <v>3.053984121499234</v>
      </c>
      <c r="AK29" s="3">
        <v>2.044175869139242</v>
      </c>
      <c r="AL29" s="3">
        <v>3.7128887155072277</v>
      </c>
      <c r="AM29" s="3">
        <v>3.4363206710852405</v>
      </c>
      <c r="AN29" s="3">
        <v>4.4289432049292321</v>
      </c>
      <c r="AO29" s="3">
        <v>3.8889257109492208</v>
      </c>
      <c r="AP29" s="3">
        <v>2.0395898820592362</v>
      </c>
      <c r="AQ29" s="3">
        <v>0.36530161782924503</v>
      </c>
      <c r="AR29" s="3">
        <v>-0.67479155132076152</v>
      </c>
      <c r="AS29" s="3">
        <v>-2.787153976350762</v>
      </c>
      <c r="AT29" s="3">
        <v>-4.7932476183307555</v>
      </c>
      <c r="AU29" s="3">
        <v>-5.1007095236207638</v>
      </c>
    </row>
    <row r="30" spans="1:47" x14ac:dyDescent="0.25">
      <c r="A30">
        <v>2002.375</v>
      </c>
      <c r="B30">
        <v>5</v>
      </c>
      <c r="C30" s="3">
        <v>1.9076068417692387</v>
      </c>
      <c r="G30" s="3">
        <v>1.9076068417692387</v>
      </c>
      <c r="H30" s="3">
        <v>3.0384176178892228</v>
      </c>
      <c r="I30" s="3">
        <v>2.3836384248692406</v>
      </c>
      <c r="J30" s="3">
        <v>1.7291000883692318</v>
      </c>
      <c r="K30" s="3">
        <v>0.57640479186923832</v>
      </c>
      <c r="L30" s="3">
        <v>0.41005423246923839</v>
      </c>
      <c r="M30" s="3">
        <v>0.95477888506922737</v>
      </c>
      <c r="N30" s="3">
        <v>2.6059359112692251</v>
      </c>
      <c r="O30" s="3">
        <v>2.3933862785692384</v>
      </c>
      <c r="P30" s="3">
        <v>2.724954240169227</v>
      </c>
      <c r="Q30" s="3">
        <v>3.197693081169227</v>
      </c>
      <c r="R30" s="3">
        <v>3.2077139517692337</v>
      </c>
      <c r="S30" s="3">
        <v>2.8748315578692294</v>
      </c>
      <c r="T30" s="3">
        <v>3.2092950798692228</v>
      </c>
      <c r="U30" s="3">
        <v>1.7469426557692425</v>
      </c>
      <c r="V30" s="3">
        <v>1.4616929183692422</v>
      </c>
      <c r="W30" s="3">
        <v>-0.38835567963076423</v>
      </c>
      <c r="X30" s="3">
        <v>-0.22668680423076398</v>
      </c>
      <c r="Y30" s="3">
        <v>1.6595333543692334</v>
      </c>
      <c r="Z30" s="3">
        <v>2.6644051674692379</v>
      </c>
      <c r="AA30" s="3">
        <v>2.5123353872692271</v>
      </c>
      <c r="AB30" s="3">
        <v>3.4102340611692208</v>
      </c>
      <c r="AC30" s="3">
        <v>3.4716817257692343</v>
      </c>
      <c r="AD30" s="3">
        <v>3.2955469341692334</v>
      </c>
      <c r="AE30" s="3">
        <v>3.5373226747692317</v>
      </c>
      <c r="AF30" s="3">
        <v>3.0903652242692421</v>
      </c>
      <c r="AG30" s="3">
        <v>1.4600406446692253</v>
      </c>
      <c r="AH30" s="3">
        <v>0.9794701684692293</v>
      </c>
      <c r="AI30" s="3">
        <v>4.1817926795692255</v>
      </c>
      <c r="AJ30" s="3">
        <v>3.394136948569225</v>
      </c>
      <c r="AK30" s="3">
        <v>3.509488163569245</v>
      </c>
      <c r="AL30" s="3">
        <v>4.1367831363692362</v>
      </c>
      <c r="AM30" s="3">
        <v>3.8332401099692253</v>
      </c>
      <c r="AN30" s="3">
        <v>3.4883985685692318</v>
      </c>
      <c r="AO30" s="3">
        <v>4.7052333398692276</v>
      </c>
      <c r="AP30" s="3">
        <v>4.0284021538692274</v>
      </c>
      <c r="AQ30" s="3">
        <v>4.2896200438692365</v>
      </c>
      <c r="AR30" s="3">
        <v>4.2750099174692346</v>
      </c>
      <c r="AS30" s="3">
        <v>2.720610813269225</v>
      </c>
      <c r="AT30" s="3">
        <v>2.0505162265692274</v>
      </c>
      <c r="AU30" s="3">
        <v>2.0362881506692445</v>
      </c>
    </row>
    <row r="31" spans="1:47" x14ac:dyDescent="0.25">
      <c r="A31">
        <v>2003.375</v>
      </c>
      <c r="B31">
        <v>5</v>
      </c>
      <c r="C31" s="3">
        <v>2.2880968023692252</v>
      </c>
      <c r="D31">
        <v>5.4995516618724194</v>
      </c>
      <c r="G31" s="3">
        <v>2.2880968023692252</v>
      </c>
      <c r="H31" s="3">
        <v>1.3477316226692384</v>
      </c>
      <c r="I31" s="3">
        <v>-0.21509650943075509</v>
      </c>
      <c r="J31" s="3">
        <v>-1.3804676941707616</v>
      </c>
      <c r="K31" s="3">
        <v>-3.3722278468307572</v>
      </c>
      <c r="L31" s="3">
        <v>-2.8223534988307661</v>
      </c>
      <c r="M31" s="3">
        <v>-2.5511742228307752</v>
      </c>
      <c r="N31" s="3">
        <v>-0.85183288539076163</v>
      </c>
      <c r="O31" s="3">
        <v>0.39340332639922526</v>
      </c>
      <c r="P31" s="3">
        <v>0.59083584561924296</v>
      </c>
      <c r="Q31" s="3">
        <v>1.6826666062692384</v>
      </c>
      <c r="R31" s="3">
        <v>1.4205022298692254</v>
      </c>
      <c r="S31" s="3">
        <v>1.9076068417692387</v>
      </c>
      <c r="T31" s="3">
        <v>3.0384176178892228</v>
      </c>
      <c r="U31" s="3">
        <v>2.3836384248692406</v>
      </c>
      <c r="V31" s="3">
        <v>1.7291000883692318</v>
      </c>
      <c r="W31" s="3">
        <v>0.57640479186923832</v>
      </c>
      <c r="X31" s="3">
        <v>0.41005423246923839</v>
      </c>
      <c r="Y31" s="3">
        <v>0.95477888506922737</v>
      </c>
      <c r="Z31" s="3">
        <v>2.6059359112692251</v>
      </c>
      <c r="AA31" s="3">
        <v>2.3933862785692384</v>
      </c>
      <c r="AB31" s="3">
        <v>2.724954240169227</v>
      </c>
      <c r="AC31" s="3">
        <v>3.197693081169227</v>
      </c>
      <c r="AD31" s="3">
        <v>3.2077139517692337</v>
      </c>
      <c r="AE31" s="3">
        <v>2.8748315578692294</v>
      </c>
      <c r="AF31" s="3">
        <v>3.2092950798692228</v>
      </c>
      <c r="AG31" s="3">
        <v>1.7469426557692425</v>
      </c>
      <c r="AH31" s="3">
        <v>1.4616929183692422</v>
      </c>
      <c r="AI31" s="3">
        <v>-0.38835567963076423</v>
      </c>
      <c r="AJ31" s="3">
        <v>-0.22668680423076398</v>
      </c>
      <c r="AK31" s="3">
        <v>1.6595333543692334</v>
      </c>
      <c r="AL31" s="3">
        <v>2.6644051674692379</v>
      </c>
      <c r="AM31" s="3">
        <v>2.5123353872692271</v>
      </c>
      <c r="AN31" s="3">
        <v>3.4102340611692208</v>
      </c>
      <c r="AO31" s="3">
        <v>3.4716817257692343</v>
      </c>
      <c r="AP31" s="3">
        <v>3.2955469341692334</v>
      </c>
      <c r="AQ31" s="3">
        <v>3.5373226747692317</v>
      </c>
      <c r="AR31" s="3">
        <v>3.0903652242692421</v>
      </c>
      <c r="AS31" s="3">
        <v>1.4600406446692253</v>
      </c>
      <c r="AT31" s="3">
        <v>0.9794701684692293</v>
      </c>
      <c r="AU31" s="3">
        <v>4.1817926795692255</v>
      </c>
    </row>
    <row r="32" spans="1:47" x14ac:dyDescent="0.25">
      <c r="A32">
        <v>2004.375</v>
      </c>
      <c r="B32">
        <v>5</v>
      </c>
      <c r="C32" s="3">
        <v>1.3046613783592229</v>
      </c>
      <c r="D32">
        <v>0.41336916950159558</v>
      </c>
      <c r="G32" s="3">
        <v>1.3046613783592229</v>
      </c>
      <c r="H32" s="3">
        <v>0.59094081723922087</v>
      </c>
      <c r="I32" s="3">
        <v>1.4408482313592275</v>
      </c>
      <c r="J32" s="3">
        <v>-1.6729482482407596</v>
      </c>
      <c r="K32" s="3">
        <v>-1.095964693210753</v>
      </c>
      <c r="L32" s="3">
        <v>-1.0499957530007684</v>
      </c>
      <c r="M32" s="3">
        <v>1.8076010837492387</v>
      </c>
      <c r="N32" s="3">
        <v>5.9040367769244984E-2</v>
      </c>
      <c r="O32" s="3">
        <v>1.020079867869234</v>
      </c>
      <c r="P32" s="3">
        <v>1.3330668343492251</v>
      </c>
      <c r="Q32" s="3">
        <v>2.0764134763692423</v>
      </c>
      <c r="R32" s="3">
        <v>1.538133375409245</v>
      </c>
      <c r="S32" s="3">
        <v>2.2880968023692252</v>
      </c>
      <c r="T32" s="3">
        <v>1.3477316226692384</v>
      </c>
      <c r="U32" s="3">
        <v>-0.21509650943075509</v>
      </c>
      <c r="V32" s="3">
        <v>-1.3804676941707616</v>
      </c>
      <c r="W32" s="3">
        <v>-3.3722278468307572</v>
      </c>
      <c r="X32" s="3">
        <v>-2.8223534988307661</v>
      </c>
      <c r="Y32" s="3">
        <v>-2.5511742228307752</v>
      </c>
      <c r="Z32" s="3">
        <v>-0.85183288539076163</v>
      </c>
      <c r="AA32" s="3">
        <v>0.39340332639922526</v>
      </c>
      <c r="AB32" s="3">
        <v>0.59083584561924296</v>
      </c>
      <c r="AC32" s="3">
        <v>1.6826666062692384</v>
      </c>
      <c r="AD32" s="3">
        <v>1.4205022298692254</v>
      </c>
      <c r="AE32" s="3">
        <v>1.9076068417692387</v>
      </c>
      <c r="AF32" s="3">
        <v>3.0384176178892228</v>
      </c>
      <c r="AG32" s="3">
        <v>2.3836384248692406</v>
      </c>
      <c r="AH32" s="3">
        <v>1.7291000883692318</v>
      </c>
      <c r="AI32" s="3">
        <v>0.57640479186923832</v>
      </c>
      <c r="AJ32" s="3">
        <v>0.41005423246923839</v>
      </c>
      <c r="AK32" s="3">
        <v>0.95477888506922737</v>
      </c>
      <c r="AL32" s="3">
        <v>2.6059359112692251</v>
      </c>
      <c r="AM32" s="3">
        <v>2.3933862785692384</v>
      </c>
      <c r="AN32" s="3">
        <v>2.724954240169227</v>
      </c>
      <c r="AO32" s="3">
        <v>3.197693081169227</v>
      </c>
      <c r="AP32" s="3">
        <v>3.2077139517692337</v>
      </c>
      <c r="AQ32" s="3">
        <v>2.8748315578692294</v>
      </c>
      <c r="AR32" s="3">
        <v>3.2092950798692228</v>
      </c>
      <c r="AS32" s="3">
        <v>1.7469426557692425</v>
      </c>
      <c r="AT32" s="3">
        <v>1.4616929183692422</v>
      </c>
      <c r="AU32" s="3">
        <v>-0.38835567963076423</v>
      </c>
    </row>
    <row r="33" spans="1:47" x14ac:dyDescent="0.25">
      <c r="A33">
        <v>2005.375</v>
      </c>
      <c r="B33">
        <v>5</v>
      </c>
      <c r="C33" s="3">
        <v>-0.5079246517307725</v>
      </c>
      <c r="D33">
        <v>-0.32743966173860617</v>
      </c>
      <c r="G33" s="3">
        <v>-0.5079246517307725</v>
      </c>
      <c r="H33" s="3">
        <v>0.29846351686923395</v>
      </c>
      <c r="I33" s="3">
        <v>-1.6761749096307603</v>
      </c>
      <c r="J33" s="3">
        <v>-1.3825177939307545</v>
      </c>
      <c r="K33" s="3">
        <v>-1.774578943930764</v>
      </c>
      <c r="L33" s="3">
        <v>-0.34530564288076371</v>
      </c>
      <c r="M33" s="3">
        <v>0.32788333794924063</v>
      </c>
      <c r="N33" s="3">
        <v>0.44187939644322305</v>
      </c>
      <c r="O33" s="3">
        <v>0.97939350272924519</v>
      </c>
      <c r="P33" s="3">
        <v>0.19707756144923189</v>
      </c>
      <c r="Q33" s="3">
        <v>0.82747681711923837</v>
      </c>
      <c r="R33" s="3">
        <v>1.9188675702592293</v>
      </c>
      <c r="S33" s="3">
        <v>1.3046613783592229</v>
      </c>
      <c r="T33" s="3">
        <v>0.59094081723922087</v>
      </c>
      <c r="U33" s="3">
        <v>1.4408482313592275</v>
      </c>
      <c r="V33" s="3">
        <v>-1.6729482482407596</v>
      </c>
      <c r="W33" s="3">
        <v>-1.095964693210753</v>
      </c>
      <c r="X33" s="3">
        <v>-1.0499957530007684</v>
      </c>
      <c r="Y33" s="3">
        <v>1.8076010837492387</v>
      </c>
      <c r="Z33" s="3">
        <v>5.9040367769244984E-2</v>
      </c>
      <c r="AA33" s="3">
        <v>1.020079867869234</v>
      </c>
      <c r="AB33" s="3">
        <v>1.3330668343492251</v>
      </c>
      <c r="AC33" s="3">
        <v>2.0764134763692423</v>
      </c>
      <c r="AD33" s="3">
        <v>1.538133375409245</v>
      </c>
      <c r="AE33" s="3">
        <v>2.2880968023692252</v>
      </c>
      <c r="AF33" s="3">
        <v>1.3477316226692384</v>
      </c>
      <c r="AG33" s="3">
        <v>-0.21509650943075509</v>
      </c>
      <c r="AH33" s="3">
        <v>-1.3804676941707616</v>
      </c>
      <c r="AI33" s="3">
        <v>-3.3722278468307572</v>
      </c>
      <c r="AJ33" s="3">
        <v>-2.8223534988307661</v>
      </c>
      <c r="AK33" s="3">
        <v>-2.5511742228307752</v>
      </c>
      <c r="AL33" s="3">
        <v>-0.85183288539076163</v>
      </c>
      <c r="AM33" s="3">
        <v>0.39340332639922526</v>
      </c>
      <c r="AN33" s="3">
        <v>0.59083584561924296</v>
      </c>
      <c r="AO33" s="3">
        <v>1.6826666062692384</v>
      </c>
      <c r="AP33" s="3">
        <v>1.4205022298692254</v>
      </c>
      <c r="AQ33" s="3">
        <v>1.9076068417692387</v>
      </c>
      <c r="AR33" s="3">
        <v>3.0384176178892228</v>
      </c>
      <c r="AS33" s="3">
        <v>2.3836384248692406</v>
      </c>
      <c r="AT33" s="3">
        <v>1.7291000883692318</v>
      </c>
      <c r="AU33" s="3">
        <v>0.57640479186923832</v>
      </c>
    </row>
    <row r="34" spans="1:47" x14ac:dyDescent="0.25">
      <c r="A34">
        <v>2006.375</v>
      </c>
      <c r="B34">
        <v>5</v>
      </c>
      <c r="C34" s="3">
        <v>2.1628221249392339</v>
      </c>
      <c r="D34">
        <v>2.3688070330064863</v>
      </c>
      <c r="G34" s="3">
        <v>2.1628221249392339</v>
      </c>
      <c r="H34" s="3">
        <v>2.2926456901192314</v>
      </c>
      <c r="I34" s="3">
        <v>1.9418874460192272</v>
      </c>
      <c r="J34" s="3">
        <v>1.5328446123392316</v>
      </c>
      <c r="K34" s="3">
        <v>0.24639725443924221</v>
      </c>
      <c r="L34" s="3">
        <v>-1.7059552504307725</v>
      </c>
      <c r="M34" s="3">
        <v>2.3657050289692316</v>
      </c>
      <c r="N34" s="3">
        <v>2.1485403461692405</v>
      </c>
      <c r="O34" s="3">
        <v>1.8314558438692428</v>
      </c>
      <c r="P34" s="3">
        <v>1.3496924048692274</v>
      </c>
      <c r="Q34" s="3">
        <v>1.4338550498692317</v>
      </c>
      <c r="R34" s="3">
        <v>0.3387690722692363</v>
      </c>
      <c r="S34" s="3">
        <v>-0.5079246517307725</v>
      </c>
      <c r="T34" s="3">
        <v>0.29846351686923395</v>
      </c>
      <c r="U34" s="3">
        <v>-1.6761749096307603</v>
      </c>
      <c r="V34" s="3">
        <v>-1.3825177939307545</v>
      </c>
      <c r="W34" s="3">
        <v>-1.774578943930764</v>
      </c>
      <c r="X34" s="3">
        <v>-0.34530564288076371</v>
      </c>
      <c r="Y34" s="3">
        <v>0.32788333794924063</v>
      </c>
      <c r="Z34" s="3">
        <v>0.44187939644322305</v>
      </c>
      <c r="AA34" s="3">
        <v>0.97939350272924519</v>
      </c>
      <c r="AB34" s="3">
        <v>0.19707756144923189</v>
      </c>
      <c r="AC34" s="3">
        <v>0.82747681711923837</v>
      </c>
      <c r="AD34" s="3">
        <v>1.9188675702592293</v>
      </c>
      <c r="AE34" s="3">
        <v>1.3046613783592229</v>
      </c>
      <c r="AF34" s="3">
        <v>0.59094081723922087</v>
      </c>
      <c r="AG34" s="3">
        <v>1.4408482313592275</v>
      </c>
      <c r="AH34" s="3">
        <v>-1.6729482482407596</v>
      </c>
      <c r="AI34" s="3">
        <v>-1.095964693210753</v>
      </c>
      <c r="AJ34" s="3">
        <v>-1.0499957530007684</v>
      </c>
      <c r="AK34" s="3">
        <v>1.8076010837492387</v>
      </c>
      <c r="AL34" s="3">
        <v>5.9040367769244984E-2</v>
      </c>
      <c r="AM34" s="3">
        <v>1.020079867869234</v>
      </c>
      <c r="AN34" s="3">
        <v>1.3330668343492251</v>
      </c>
      <c r="AO34" s="3">
        <v>2.0764134763692423</v>
      </c>
      <c r="AP34" s="3">
        <v>1.538133375409245</v>
      </c>
      <c r="AQ34" s="3">
        <v>2.2880968023692252</v>
      </c>
      <c r="AR34" s="3">
        <v>1.3477316226692384</v>
      </c>
      <c r="AS34" s="3">
        <v>-0.21509650943075509</v>
      </c>
      <c r="AT34" s="3">
        <v>-1.3804676941707616</v>
      </c>
      <c r="AU34" s="3">
        <v>-3.3722278468307572</v>
      </c>
    </row>
    <row r="35" spans="1:47" x14ac:dyDescent="0.25">
      <c r="A35">
        <v>2007.375</v>
      </c>
      <c r="B35">
        <v>5</v>
      </c>
      <c r="C35" s="3">
        <v>2.2741382218892316</v>
      </c>
      <c r="D35">
        <v>3.4121976172015636E-2</v>
      </c>
      <c r="G35" s="3">
        <v>2.2741382218892316</v>
      </c>
      <c r="H35" s="3">
        <v>0.91576861426923528</v>
      </c>
      <c r="I35" s="3">
        <v>1.5584511780692361</v>
      </c>
      <c r="J35" s="3">
        <v>-0.38390259033377455</v>
      </c>
      <c r="K35" s="3">
        <v>-0.29827832770077151</v>
      </c>
      <c r="L35" s="3">
        <v>-1.3194225846907526</v>
      </c>
      <c r="M35" s="3">
        <v>0.34878441866923404</v>
      </c>
      <c r="N35" s="3">
        <v>0.133375123389223</v>
      </c>
      <c r="O35" s="3">
        <v>1.2713854909392337</v>
      </c>
      <c r="P35" s="3">
        <v>1.789928194669234</v>
      </c>
      <c r="Q35" s="3">
        <v>1.2275044462992428</v>
      </c>
      <c r="R35" s="3">
        <v>1.816965704619234</v>
      </c>
      <c r="S35" s="3">
        <v>2.1628221249392339</v>
      </c>
      <c r="T35" s="3">
        <v>2.2926456901192314</v>
      </c>
      <c r="U35" s="3">
        <v>1.9418874460192272</v>
      </c>
      <c r="V35" s="3">
        <v>1.5328446123392316</v>
      </c>
      <c r="W35" s="3">
        <v>0.24639725443924221</v>
      </c>
      <c r="X35" s="3">
        <v>-1.7059552504307725</v>
      </c>
      <c r="Y35" s="3">
        <v>2.3657050289692316</v>
      </c>
      <c r="Z35" s="3">
        <v>2.1485403461692405</v>
      </c>
      <c r="AA35" s="3">
        <v>1.8314558438692428</v>
      </c>
      <c r="AB35" s="3">
        <v>1.3496924048692274</v>
      </c>
      <c r="AC35" s="3">
        <v>1.4338550498692317</v>
      </c>
      <c r="AD35" s="3">
        <v>0.3387690722692363</v>
      </c>
      <c r="AE35" s="3">
        <v>-0.5079246517307725</v>
      </c>
      <c r="AF35" s="3">
        <v>0.29846351686923395</v>
      </c>
      <c r="AG35" s="3">
        <v>-1.6761749096307603</v>
      </c>
      <c r="AH35" s="3">
        <v>-1.3825177939307545</v>
      </c>
      <c r="AI35" s="3">
        <v>-1.774578943930764</v>
      </c>
      <c r="AJ35" s="3">
        <v>-0.34530564288076371</v>
      </c>
      <c r="AK35" s="3">
        <v>0.32788333794924063</v>
      </c>
      <c r="AL35" s="3">
        <v>0.44187939644322305</v>
      </c>
      <c r="AM35" s="3">
        <v>0.97939350272924519</v>
      </c>
      <c r="AN35" s="3">
        <v>0.19707756144923189</v>
      </c>
      <c r="AO35" s="3">
        <v>0.82747681711923837</v>
      </c>
      <c r="AP35" s="3">
        <v>1.9188675702592293</v>
      </c>
      <c r="AQ35" s="3">
        <v>1.3046613783592229</v>
      </c>
      <c r="AR35" s="3">
        <v>0.59094081723922087</v>
      </c>
      <c r="AS35" s="3">
        <v>1.4408482313592275</v>
      </c>
      <c r="AT35" s="3">
        <v>-1.6729482482407596</v>
      </c>
      <c r="AU35" s="3">
        <v>-1.095964693210753</v>
      </c>
    </row>
    <row r="36" spans="1:47" x14ac:dyDescent="0.25">
      <c r="A36">
        <v>2008.375</v>
      </c>
      <c r="B36">
        <v>5</v>
      </c>
      <c r="C36" s="3">
        <v>3.1445083440692292</v>
      </c>
      <c r="D36">
        <v>0.31889173506263158</v>
      </c>
      <c r="G36" s="3">
        <v>3.1445083440692292</v>
      </c>
      <c r="H36" s="3">
        <v>4.3037038856692229</v>
      </c>
      <c r="I36" s="3">
        <v>3.5141544352692451</v>
      </c>
      <c r="J36" s="3">
        <v>2.0171252992692406</v>
      </c>
      <c r="K36" s="3">
        <v>2.6252510639492432</v>
      </c>
      <c r="L36" s="3">
        <v>2.6049737380592211</v>
      </c>
      <c r="M36" s="3">
        <v>1.9780654593992426</v>
      </c>
      <c r="N36" s="3">
        <v>3.8121810804692426</v>
      </c>
      <c r="O36" s="3">
        <v>2.9581203447292252</v>
      </c>
      <c r="P36" s="3">
        <v>2.7815152350692447</v>
      </c>
      <c r="Q36" s="3">
        <v>2.0566604165692253</v>
      </c>
      <c r="R36" s="3">
        <v>2.5920905191692314</v>
      </c>
      <c r="S36" s="3">
        <v>2.2741382218892316</v>
      </c>
      <c r="T36" s="3">
        <v>0.91576861426923528</v>
      </c>
      <c r="U36" s="3">
        <v>1.5584511780692361</v>
      </c>
      <c r="V36" s="3">
        <v>-0.38390259033377455</v>
      </c>
      <c r="W36" s="3">
        <v>-0.29827832770077151</v>
      </c>
      <c r="X36" s="3">
        <v>-1.3194225846907526</v>
      </c>
      <c r="Y36" s="3">
        <v>0.34878441866923404</v>
      </c>
      <c r="Z36" s="3">
        <v>0.133375123389223</v>
      </c>
      <c r="AA36" s="3">
        <v>1.2713854909392337</v>
      </c>
      <c r="AB36" s="3">
        <v>1.789928194669234</v>
      </c>
      <c r="AC36" s="3">
        <v>1.2275044462992428</v>
      </c>
      <c r="AD36" s="3">
        <v>1.816965704619234</v>
      </c>
      <c r="AE36" s="3">
        <v>2.1628221249392339</v>
      </c>
      <c r="AF36" s="3">
        <v>2.2926456901192314</v>
      </c>
      <c r="AG36" s="3">
        <v>1.9418874460192272</v>
      </c>
      <c r="AH36" s="3">
        <v>1.5328446123392316</v>
      </c>
      <c r="AI36" s="3">
        <v>0.24639725443924221</v>
      </c>
      <c r="AJ36" s="3">
        <v>-1.7059552504307725</v>
      </c>
      <c r="AK36" s="3">
        <v>2.3657050289692316</v>
      </c>
      <c r="AL36" s="3">
        <v>2.1485403461692405</v>
      </c>
      <c r="AM36" s="3">
        <v>1.8314558438692428</v>
      </c>
      <c r="AN36" s="3">
        <v>1.3496924048692274</v>
      </c>
      <c r="AO36" s="3">
        <v>1.4338550498692317</v>
      </c>
      <c r="AP36" s="3">
        <v>0.3387690722692363</v>
      </c>
      <c r="AQ36" s="3">
        <v>-0.5079246517307725</v>
      </c>
      <c r="AR36" s="3">
        <v>0.29846351686923395</v>
      </c>
      <c r="AS36" s="3">
        <v>-1.6761749096307603</v>
      </c>
      <c r="AT36" s="3">
        <v>-1.3825177939307545</v>
      </c>
      <c r="AU36" s="3">
        <v>-1.774578943930764</v>
      </c>
    </row>
    <row r="37" spans="1:47" x14ac:dyDescent="0.25">
      <c r="A37">
        <v>2009.375</v>
      </c>
      <c r="B37">
        <v>5</v>
      </c>
      <c r="C37" s="3">
        <v>2.8559780762592273</v>
      </c>
      <c r="D37">
        <v>0.47066764107356213</v>
      </c>
      <c r="G37" s="3">
        <v>2.8559780762592273</v>
      </c>
      <c r="H37" s="3">
        <v>3.3982535946892316</v>
      </c>
      <c r="I37" s="3">
        <v>3.7437798352422273</v>
      </c>
      <c r="J37" s="3">
        <v>3.1401515433092211</v>
      </c>
      <c r="K37" s="3">
        <v>2.3256610174192414</v>
      </c>
      <c r="L37" s="3">
        <v>3.0732084994992381</v>
      </c>
      <c r="M37" s="3">
        <v>2.4197133966692208</v>
      </c>
      <c r="N37" s="3">
        <v>3.7297149387692254</v>
      </c>
      <c r="O37" s="3">
        <v>3.1178040014692385</v>
      </c>
      <c r="P37" s="3">
        <v>3.3034292364692428</v>
      </c>
      <c r="Q37" s="3">
        <v>3.5154691291692206</v>
      </c>
      <c r="R37" s="3">
        <v>3.7396919383692429</v>
      </c>
      <c r="S37" s="3">
        <v>3.1445083440692292</v>
      </c>
      <c r="T37" s="3">
        <v>4.3037038856692229</v>
      </c>
      <c r="U37" s="3">
        <v>3.5141544352692451</v>
      </c>
      <c r="V37" s="3">
        <v>2.0171252992692406</v>
      </c>
      <c r="W37" s="3">
        <v>2.6252510639492432</v>
      </c>
      <c r="X37" s="3">
        <v>2.6049737380592211</v>
      </c>
      <c r="Y37" s="3">
        <v>1.9780654593992426</v>
      </c>
      <c r="Z37" s="3">
        <v>3.8121810804692426</v>
      </c>
      <c r="AA37" s="3">
        <v>2.9581203447292252</v>
      </c>
      <c r="AB37" s="3">
        <v>2.7815152350692447</v>
      </c>
      <c r="AC37" s="3">
        <v>2.0566604165692253</v>
      </c>
      <c r="AD37" s="3">
        <v>2.5920905191692314</v>
      </c>
      <c r="AE37" s="3">
        <v>2.2741382218892316</v>
      </c>
      <c r="AF37" s="3">
        <v>0.91576861426923528</v>
      </c>
      <c r="AG37" s="3">
        <v>1.5584511780692361</v>
      </c>
      <c r="AH37" s="3">
        <v>-0.38390259033377455</v>
      </c>
      <c r="AI37" s="3">
        <v>-0.29827832770077151</v>
      </c>
      <c r="AJ37" s="3">
        <v>-1.3194225846907526</v>
      </c>
      <c r="AK37" s="3">
        <v>0.34878441866923404</v>
      </c>
      <c r="AL37" s="3">
        <v>0.133375123389223</v>
      </c>
      <c r="AM37" s="3">
        <v>1.2713854909392337</v>
      </c>
      <c r="AN37" s="3">
        <v>1.789928194669234</v>
      </c>
      <c r="AO37" s="3">
        <v>1.2275044462992428</v>
      </c>
      <c r="AP37" s="3">
        <v>1.816965704619234</v>
      </c>
      <c r="AQ37" s="3">
        <v>2.1628221249392339</v>
      </c>
      <c r="AR37" s="3">
        <v>2.2926456901192314</v>
      </c>
      <c r="AS37" s="3">
        <v>1.9418874460192272</v>
      </c>
      <c r="AT37" s="3">
        <v>1.5328446123392316</v>
      </c>
      <c r="AU37" s="3">
        <v>0.24639725443924221</v>
      </c>
    </row>
    <row r="38" spans="1:47" x14ac:dyDescent="0.25">
      <c r="A38">
        <v>2010.375</v>
      </c>
      <c r="B38">
        <v>5</v>
      </c>
      <c r="C38" s="3">
        <v>2.1367981933692386</v>
      </c>
      <c r="D38">
        <v>0.91673367462889965</v>
      </c>
      <c r="G38" s="3">
        <v>2.1367981933692386</v>
      </c>
      <c r="H38" s="3">
        <v>1.1052457697692384</v>
      </c>
      <c r="I38" s="3">
        <v>-0.48756181103076601</v>
      </c>
      <c r="J38" s="3">
        <v>-2.6477017098307662</v>
      </c>
      <c r="K38" s="3">
        <v>-3.3208245141307722</v>
      </c>
      <c r="L38" s="3">
        <v>-2.4654593805307572</v>
      </c>
      <c r="M38" s="3">
        <v>1.0901500019244892E-2</v>
      </c>
      <c r="N38" s="3">
        <v>-0.44134536233076377</v>
      </c>
      <c r="O38" s="3">
        <v>0.55891123916923846</v>
      </c>
      <c r="P38" s="3">
        <v>1.2312497751892382</v>
      </c>
      <c r="Q38" s="3">
        <v>1.1174872949192272</v>
      </c>
      <c r="R38" s="3">
        <v>1.0325521682292274</v>
      </c>
      <c r="S38" s="3">
        <v>2.8559780762592273</v>
      </c>
      <c r="T38" s="3">
        <v>3.3982535946892316</v>
      </c>
      <c r="U38" s="3">
        <v>3.7437798352422273</v>
      </c>
      <c r="V38" s="3">
        <v>3.1401515433092211</v>
      </c>
      <c r="W38" s="3">
        <v>2.3256610174192414</v>
      </c>
      <c r="X38" s="3">
        <v>3.0732084994992381</v>
      </c>
      <c r="Y38" s="3">
        <v>2.4197133966692208</v>
      </c>
      <c r="Z38" s="3">
        <v>3.7297149387692254</v>
      </c>
      <c r="AA38" s="3">
        <v>3.1178040014692385</v>
      </c>
      <c r="AB38" s="3">
        <v>3.3034292364692428</v>
      </c>
      <c r="AC38" s="3">
        <v>3.5154691291692206</v>
      </c>
      <c r="AD38" s="3">
        <v>3.7396919383692429</v>
      </c>
      <c r="AE38" s="3">
        <v>3.1445083440692292</v>
      </c>
      <c r="AF38" s="3">
        <v>4.3037038856692229</v>
      </c>
      <c r="AG38" s="3">
        <v>3.5141544352692451</v>
      </c>
      <c r="AH38" s="3">
        <v>2.0171252992692406</v>
      </c>
      <c r="AI38" s="3">
        <v>2.6252510639492432</v>
      </c>
      <c r="AJ38" s="3">
        <v>2.6049737380592211</v>
      </c>
      <c r="AK38" s="3">
        <v>1.9780654593992426</v>
      </c>
      <c r="AL38" s="3">
        <v>3.8121810804692426</v>
      </c>
      <c r="AM38" s="3">
        <v>2.9581203447292252</v>
      </c>
      <c r="AN38" s="3">
        <v>2.7815152350692447</v>
      </c>
      <c r="AO38" s="3">
        <v>2.0566604165692253</v>
      </c>
      <c r="AP38" s="3">
        <v>2.5920905191692314</v>
      </c>
      <c r="AQ38" s="3">
        <v>2.2741382218892316</v>
      </c>
      <c r="AR38" s="3">
        <v>0.91576861426923528</v>
      </c>
      <c r="AS38" s="3">
        <v>1.5584511780692361</v>
      </c>
      <c r="AT38" s="3">
        <v>-0.38390259033377455</v>
      </c>
      <c r="AU38" s="3">
        <v>-0.29827832770077151</v>
      </c>
    </row>
    <row r="39" spans="1:47" x14ac:dyDescent="0.25">
      <c r="A39">
        <v>2011.375</v>
      </c>
      <c r="B39">
        <v>5</v>
      </c>
      <c r="C39" s="3">
        <v>2.994733051169236</v>
      </c>
      <c r="D39">
        <v>0.86123465766858176</v>
      </c>
      <c r="G39" s="3">
        <v>2.994733051169236</v>
      </c>
      <c r="H39" s="3">
        <v>3.7169376469992383</v>
      </c>
      <c r="I39" s="3">
        <v>2.6917547487692408</v>
      </c>
      <c r="J39" s="3">
        <v>4.0854112138192225</v>
      </c>
      <c r="K39" s="3">
        <v>1.239910041719225</v>
      </c>
      <c r="L39" s="3">
        <v>3.7306486162292316</v>
      </c>
      <c r="M39" s="3">
        <v>4.031058309969243</v>
      </c>
      <c r="N39" s="3">
        <v>3.7667653419692209</v>
      </c>
      <c r="O39" s="3">
        <v>4.2842263740692337</v>
      </c>
      <c r="P39" s="3">
        <v>5.3692223996192361</v>
      </c>
      <c r="Q39" s="3">
        <v>5.3632401589792407</v>
      </c>
      <c r="R39" s="3">
        <v>3.3288297101692361</v>
      </c>
      <c r="S39" s="3">
        <v>2.1367981933692386</v>
      </c>
      <c r="T39" s="3">
        <v>1.1052457697692384</v>
      </c>
      <c r="U39" s="3">
        <v>-0.48756181103076601</v>
      </c>
      <c r="V39" s="3">
        <v>-2.6477017098307662</v>
      </c>
      <c r="W39" s="3">
        <v>-3.3208245141307722</v>
      </c>
      <c r="X39" s="3">
        <v>-2.4654593805307572</v>
      </c>
      <c r="Y39" s="3">
        <v>1.0901500019244892E-2</v>
      </c>
      <c r="Z39" s="3">
        <v>-0.44134536233076377</v>
      </c>
      <c r="AA39" s="3">
        <v>0.55891123916923846</v>
      </c>
      <c r="AB39" s="3">
        <v>1.2312497751892382</v>
      </c>
      <c r="AC39" s="3">
        <v>1.1174872949192272</v>
      </c>
      <c r="AD39" s="3">
        <v>1.0325521682292274</v>
      </c>
      <c r="AE39" s="3">
        <v>2.8559780762592273</v>
      </c>
      <c r="AF39" s="3">
        <v>3.3982535946892316</v>
      </c>
      <c r="AG39" s="3">
        <v>3.7437798352422273</v>
      </c>
      <c r="AH39" s="3">
        <v>3.1401515433092211</v>
      </c>
      <c r="AI39" s="3">
        <v>2.3256610174192414</v>
      </c>
      <c r="AJ39" s="3">
        <v>3.0732084994992381</v>
      </c>
      <c r="AK39" s="3">
        <v>2.4197133966692208</v>
      </c>
      <c r="AL39" s="3">
        <v>3.7297149387692254</v>
      </c>
      <c r="AM39" s="3">
        <v>3.1178040014692385</v>
      </c>
      <c r="AN39" s="3">
        <v>3.3034292364692428</v>
      </c>
      <c r="AO39" s="3">
        <v>3.5154691291692206</v>
      </c>
      <c r="AP39" s="3">
        <v>3.7396919383692429</v>
      </c>
      <c r="AQ39" s="3">
        <v>3.1445083440692292</v>
      </c>
      <c r="AR39" s="3">
        <v>4.3037038856692229</v>
      </c>
      <c r="AS39" s="3">
        <v>3.5141544352692451</v>
      </c>
      <c r="AT39" s="3">
        <v>2.0171252992692406</v>
      </c>
      <c r="AU39" s="3">
        <v>2.6252510639492432</v>
      </c>
    </row>
    <row r="40" spans="1:47" x14ac:dyDescent="0.25">
      <c r="A40">
        <v>2012.375</v>
      </c>
      <c r="B40">
        <v>5</v>
      </c>
      <c r="C40" s="3">
        <v>3.3148665312692316</v>
      </c>
      <c r="D40">
        <v>0.78696923546066722</v>
      </c>
      <c r="G40" s="3">
        <v>3.3148665312692316</v>
      </c>
      <c r="H40" s="3">
        <v>2.7316463550692207</v>
      </c>
      <c r="I40" s="3">
        <v>2.9837590889692205</v>
      </c>
      <c r="J40" s="3">
        <v>0.95535216508924714</v>
      </c>
      <c r="K40" s="3">
        <v>1.7700253141892386</v>
      </c>
      <c r="L40" s="3">
        <v>2.882561274810246</v>
      </c>
      <c r="M40" s="3">
        <v>4.0480641576192209</v>
      </c>
      <c r="N40" s="3">
        <v>3.3780577038692257</v>
      </c>
      <c r="O40" s="3">
        <v>3.505408443069232</v>
      </c>
      <c r="P40" s="3">
        <v>3.303517913359225</v>
      </c>
      <c r="Q40" s="3">
        <v>3.6558712369092294</v>
      </c>
      <c r="R40" s="3">
        <v>2.754497701969234</v>
      </c>
      <c r="S40" s="3">
        <v>2.994733051169236</v>
      </c>
      <c r="T40" s="3">
        <v>3.7169376469992383</v>
      </c>
      <c r="U40" s="3">
        <v>2.6917547487692408</v>
      </c>
      <c r="V40" s="3">
        <v>4.0854112138192225</v>
      </c>
      <c r="W40" s="3">
        <v>1.239910041719225</v>
      </c>
      <c r="X40" s="3">
        <v>3.7306486162292316</v>
      </c>
      <c r="Y40" s="3">
        <v>4.031058309969243</v>
      </c>
      <c r="Z40" s="3">
        <v>3.7667653419692209</v>
      </c>
      <c r="AA40" s="3">
        <v>4.2842263740692337</v>
      </c>
      <c r="AB40" s="3">
        <v>5.3692223996192361</v>
      </c>
      <c r="AC40" s="3">
        <v>5.3632401589792407</v>
      </c>
      <c r="AD40" s="3">
        <v>3.3288297101692361</v>
      </c>
      <c r="AE40" s="3">
        <v>2.1367981933692386</v>
      </c>
      <c r="AF40" s="3">
        <v>1.1052457697692384</v>
      </c>
      <c r="AG40" s="3">
        <v>-0.48756181103076601</v>
      </c>
      <c r="AH40" s="3">
        <v>-2.6477017098307662</v>
      </c>
      <c r="AI40" s="3">
        <v>-3.3208245141307722</v>
      </c>
      <c r="AJ40" s="3">
        <v>-2.4654593805307572</v>
      </c>
      <c r="AK40" s="3">
        <v>1.0901500019244892E-2</v>
      </c>
      <c r="AL40" s="3">
        <v>-0.44134536233076377</v>
      </c>
      <c r="AM40" s="3">
        <v>0.55891123916923846</v>
      </c>
      <c r="AN40" s="3">
        <v>1.2312497751892382</v>
      </c>
      <c r="AO40" s="3">
        <v>1.1174872949192272</v>
      </c>
      <c r="AP40" s="3">
        <v>1.0325521682292274</v>
      </c>
      <c r="AQ40" s="3">
        <v>2.8559780762592273</v>
      </c>
      <c r="AR40" s="3">
        <v>3.3982535946892316</v>
      </c>
      <c r="AS40" s="3">
        <v>3.7437798352422273</v>
      </c>
      <c r="AT40" s="3">
        <v>3.1401515433092211</v>
      </c>
      <c r="AU40" s="3">
        <v>2.3256610174192414</v>
      </c>
    </row>
    <row r="41" spans="1:47" x14ac:dyDescent="0.25">
      <c r="A41">
        <v>2013.375</v>
      </c>
      <c r="B41">
        <v>5</v>
      </c>
      <c r="C41" s="3">
        <v>2.6100064923692252</v>
      </c>
      <c r="D41">
        <v>0.90456202117038498</v>
      </c>
      <c r="G41" s="3">
        <v>2.6100064923692252</v>
      </c>
      <c r="H41" s="3">
        <v>2.4413346113592227</v>
      </c>
      <c r="I41" s="3">
        <v>1.7311234118592274</v>
      </c>
      <c r="J41" s="3">
        <v>1.2031396460692443</v>
      </c>
      <c r="K41" s="3">
        <v>0.36910590186924719</v>
      </c>
      <c r="L41" s="3">
        <v>0.81033411676924127</v>
      </c>
      <c r="M41" s="3">
        <v>1.2795358532692251</v>
      </c>
      <c r="N41" s="3">
        <v>1.5053767653692383</v>
      </c>
      <c r="O41" s="3">
        <v>3.135958294269245</v>
      </c>
      <c r="P41" s="3">
        <v>3.1158533679692386</v>
      </c>
      <c r="Q41" s="3">
        <v>3.1915599164692323</v>
      </c>
      <c r="R41" s="3">
        <v>2.4713739030692272</v>
      </c>
      <c r="S41" s="3">
        <v>3.3148665312692316</v>
      </c>
      <c r="T41" s="3">
        <v>2.7316463550692207</v>
      </c>
      <c r="U41" s="3">
        <v>2.9837590889692205</v>
      </c>
      <c r="V41" s="3">
        <v>0.95535216508924714</v>
      </c>
      <c r="W41" s="3">
        <v>1.7700253141892386</v>
      </c>
      <c r="X41" s="3">
        <v>2.882561274810246</v>
      </c>
      <c r="Y41" s="3">
        <v>4.0480641576192209</v>
      </c>
      <c r="Z41" s="3">
        <v>3.3780577038692257</v>
      </c>
      <c r="AA41" s="3">
        <v>3.505408443069232</v>
      </c>
      <c r="AB41" s="3">
        <v>3.303517913359225</v>
      </c>
      <c r="AC41" s="3">
        <v>3.6558712369092294</v>
      </c>
      <c r="AD41" s="3">
        <v>2.754497701969234</v>
      </c>
      <c r="AE41" s="3">
        <v>2.994733051169236</v>
      </c>
      <c r="AF41" s="3">
        <v>3.7169376469992383</v>
      </c>
      <c r="AG41" s="3">
        <v>2.6917547487692408</v>
      </c>
      <c r="AH41" s="3">
        <v>4.0854112138192225</v>
      </c>
      <c r="AI41" s="3">
        <v>1.239910041719225</v>
      </c>
      <c r="AJ41" s="3">
        <v>3.7306486162292316</v>
      </c>
      <c r="AK41" s="3">
        <v>4.031058309969243</v>
      </c>
      <c r="AL41" s="3">
        <v>3.7667653419692209</v>
      </c>
      <c r="AM41" s="3">
        <v>4.2842263740692337</v>
      </c>
      <c r="AN41" s="3">
        <v>5.3692223996192361</v>
      </c>
      <c r="AO41" s="3">
        <v>5.3632401589792407</v>
      </c>
      <c r="AP41" s="3">
        <v>3.3288297101692361</v>
      </c>
      <c r="AQ41" s="3">
        <v>2.1367981933692386</v>
      </c>
      <c r="AR41" s="3">
        <v>1.1052457697692384</v>
      </c>
      <c r="AS41" s="3">
        <v>-0.48756181103076601</v>
      </c>
      <c r="AT41" s="3">
        <v>-2.6477017098307662</v>
      </c>
      <c r="AU41" s="3">
        <v>-3.3208245141307722</v>
      </c>
    </row>
    <row r="42" spans="1:47" x14ac:dyDescent="0.25">
      <c r="A42">
        <v>2014.375</v>
      </c>
      <c r="B42">
        <v>5</v>
      </c>
      <c r="C42" s="3">
        <v>1.4034630548992453</v>
      </c>
      <c r="D42">
        <v>0.40748764597127796</v>
      </c>
      <c r="G42" s="3">
        <v>1.4034630548992453</v>
      </c>
      <c r="H42" s="3">
        <v>0.41214923718922075</v>
      </c>
      <c r="I42" s="3">
        <v>0.28743131410924311</v>
      </c>
      <c r="J42" s="3">
        <v>1.0879898171392406</v>
      </c>
      <c r="K42" s="3">
        <v>-0.77898724903076388</v>
      </c>
      <c r="L42" s="3">
        <v>1.0610023320692252</v>
      </c>
      <c r="M42" s="3">
        <v>2.2475169349192448</v>
      </c>
      <c r="N42" s="3">
        <v>1.7144541562192339</v>
      </c>
      <c r="O42" s="3">
        <v>1.7441879054492251</v>
      </c>
      <c r="P42" s="3">
        <v>2.441292262069223</v>
      </c>
      <c r="Q42" s="3">
        <v>3.4288168388092322</v>
      </c>
      <c r="R42" s="3">
        <v>3.176564167829234</v>
      </c>
      <c r="S42" s="3">
        <v>2.6100064923692252</v>
      </c>
      <c r="T42" s="3">
        <v>2.4413346113592227</v>
      </c>
      <c r="U42" s="3">
        <v>1.7311234118592274</v>
      </c>
      <c r="V42" s="3">
        <v>1.2031396460692443</v>
      </c>
      <c r="W42" s="3">
        <v>0.36910590186924719</v>
      </c>
      <c r="X42" s="3">
        <v>0.81033411676924127</v>
      </c>
      <c r="Y42" s="3">
        <v>1.2795358532692251</v>
      </c>
      <c r="Z42" s="3">
        <v>1.5053767653692383</v>
      </c>
      <c r="AA42" s="3">
        <v>3.135958294269245</v>
      </c>
      <c r="AB42" s="3">
        <v>3.1158533679692386</v>
      </c>
      <c r="AC42" s="3">
        <v>3.1915599164692323</v>
      </c>
      <c r="AD42" s="3">
        <v>2.4713739030692272</v>
      </c>
      <c r="AE42" s="3">
        <v>3.3148665312692316</v>
      </c>
      <c r="AF42" s="3">
        <v>2.7316463550692207</v>
      </c>
      <c r="AG42" s="3">
        <v>2.9837590889692205</v>
      </c>
      <c r="AH42" s="3">
        <v>0.95535216508924714</v>
      </c>
      <c r="AI42" s="3">
        <v>1.7700253141892386</v>
      </c>
      <c r="AJ42" s="3">
        <v>2.882561274810246</v>
      </c>
      <c r="AK42" s="3">
        <v>4.0480641576192209</v>
      </c>
      <c r="AL42" s="3">
        <v>3.3780577038692257</v>
      </c>
      <c r="AM42" s="3">
        <v>3.505408443069232</v>
      </c>
      <c r="AN42" s="3">
        <v>3.303517913359225</v>
      </c>
      <c r="AO42" s="3">
        <v>3.6558712369092294</v>
      </c>
      <c r="AP42" s="3">
        <v>2.754497701969234</v>
      </c>
      <c r="AQ42" s="3">
        <v>2.994733051169236</v>
      </c>
      <c r="AR42" s="3">
        <v>3.7169376469992383</v>
      </c>
      <c r="AS42" s="3">
        <v>2.6917547487692408</v>
      </c>
      <c r="AT42" s="3">
        <v>4.0854112138192225</v>
      </c>
      <c r="AU42" s="3">
        <v>1.239910041719225</v>
      </c>
    </row>
    <row r="43" spans="1:47" x14ac:dyDescent="0.25">
      <c r="A43">
        <v>2015.375</v>
      </c>
      <c r="B43">
        <v>5</v>
      </c>
      <c r="C43" s="3">
        <v>-3.0684870940772491E-2</v>
      </c>
      <c r="D43">
        <v>1.4650854653470478</v>
      </c>
      <c r="G43" s="3">
        <v>-3.0684870940772491E-2</v>
      </c>
      <c r="H43" s="3">
        <v>0.45460829456923418</v>
      </c>
      <c r="I43" s="3">
        <v>3.5930787669227304E-2</v>
      </c>
      <c r="J43" s="3">
        <v>-1.4061045382307595</v>
      </c>
      <c r="K43" s="3">
        <v>-2.1196752670907553</v>
      </c>
      <c r="L43" s="3">
        <v>-2.2526105113207597</v>
      </c>
      <c r="M43" s="3">
        <v>-1.2621451354507678</v>
      </c>
      <c r="N43" s="3">
        <v>-0.56983358888077473</v>
      </c>
      <c r="O43" s="3">
        <v>0.10178133444922077</v>
      </c>
      <c r="P43" s="3">
        <v>0.71163629737922962</v>
      </c>
      <c r="Q43" s="3">
        <v>1.2302889477092382</v>
      </c>
      <c r="R43" s="3">
        <v>1.5207169755392274</v>
      </c>
      <c r="S43" s="3">
        <v>1.4034630548992453</v>
      </c>
      <c r="T43" s="3">
        <v>0.41214923718922075</v>
      </c>
      <c r="U43" s="3">
        <v>0.28743131410924311</v>
      </c>
      <c r="V43" s="3">
        <v>1.0879898171392406</v>
      </c>
      <c r="W43" s="3">
        <v>-0.77898724903076388</v>
      </c>
      <c r="X43" s="3">
        <v>1.0610023320692252</v>
      </c>
      <c r="Y43" s="3">
        <v>2.2475169349192448</v>
      </c>
      <c r="Z43" s="3">
        <v>1.7144541562192339</v>
      </c>
      <c r="AA43" s="3">
        <v>1.7441879054492251</v>
      </c>
      <c r="AB43" s="3">
        <v>2.441292262069223</v>
      </c>
      <c r="AC43" s="3">
        <v>3.4288168388092322</v>
      </c>
      <c r="AD43" s="3">
        <v>3.176564167829234</v>
      </c>
      <c r="AE43" s="3">
        <v>2.6100064923692252</v>
      </c>
      <c r="AF43" s="3">
        <v>2.4413346113592227</v>
      </c>
      <c r="AG43" s="3">
        <v>1.7311234118592274</v>
      </c>
      <c r="AH43" s="3">
        <v>1.2031396460692443</v>
      </c>
      <c r="AI43" s="3">
        <v>0.36910590186924719</v>
      </c>
      <c r="AJ43" s="3">
        <v>0.81033411676924127</v>
      </c>
      <c r="AK43" s="3">
        <v>1.2795358532692251</v>
      </c>
      <c r="AL43" s="3">
        <v>1.5053767653692383</v>
      </c>
      <c r="AM43" s="3">
        <v>3.135958294269245</v>
      </c>
      <c r="AN43" s="3">
        <v>3.1158533679692386</v>
      </c>
      <c r="AO43" s="3">
        <v>3.1915599164692323</v>
      </c>
      <c r="AP43" s="3">
        <v>2.4713739030692272</v>
      </c>
      <c r="AQ43" s="3">
        <v>3.3148665312692316</v>
      </c>
      <c r="AR43" s="3">
        <v>2.7316463550692207</v>
      </c>
      <c r="AS43" s="3">
        <v>2.9837590889692205</v>
      </c>
      <c r="AT43" s="3">
        <v>0.95535216508924714</v>
      </c>
      <c r="AU43" s="3">
        <v>1.7700253141892386</v>
      </c>
    </row>
    <row r="44" spans="1:47" x14ac:dyDescent="0.25">
      <c r="A44">
        <v>2016.375</v>
      </c>
      <c r="B44">
        <v>5</v>
      </c>
      <c r="C44" s="3">
        <v>-3.6238594620772724E-2</v>
      </c>
      <c r="D44">
        <v>-0.21146701024661071</v>
      </c>
      <c r="G44" s="3">
        <v>-3.6238594620772724E-2</v>
      </c>
      <c r="H44" s="3">
        <v>-1.9728460609507639</v>
      </c>
      <c r="I44" s="3">
        <v>-2.3126394715807717</v>
      </c>
      <c r="J44" s="3">
        <v>-4.0803512152507615</v>
      </c>
      <c r="K44" s="3">
        <v>-5.0763222569207516</v>
      </c>
      <c r="L44" s="3">
        <v>-3.4209596195307723</v>
      </c>
      <c r="M44" s="3">
        <v>-1.3308764840307548</v>
      </c>
      <c r="N44" s="3">
        <v>-3.1528870372307658</v>
      </c>
      <c r="O44" s="3">
        <v>-1.9948764680307747</v>
      </c>
      <c r="P44" s="3">
        <v>-1.5252614967307725</v>
      </c>
      <c r="Q44" s="3">
        <v>-1.6149105574307594</v>
      </c>
      <c r="R44" s="3">
        <v>-0.92363914943077907</v>
      </c>
      <c r="S44" s="3">
        <v>-3.0684870940772491E-2</v>
      </c>
      <c r="T44" s="3">
        <v>0.45460829456923418</v>
      </c>
      <c r="U44" s="3">
        <v>3.5930787669227304E-2</v>
      </c>
      <c r="V44" s="3">
        <v>-1.4061045382307595</v>
      </c>
      <c r="W44" s="3">
        <v>-2.1196752670907553</v>
      </c>
      <c r="X44" s="3">
        <v>-2.2526105113207597</v>
      </c>
      <c r="Y44" s="3">
        <v>-1.2621451354507678</v>
      </c>
      <c r="Z44" s="3">
        <v>-0.56983358888077473</v>
      </c>
      <c r="AA44" s="3">
        <v>0.10178133444922077</v>
      </c>
      <c r="AB44" s="3">
        <v>0.71163629737922962</v>
      </c>
      <c r="AC44" s="3">
        <v>1.2302889477092382</v>
      </c>
      <c r="AD44" s="3">
        <v>1.5207169755392274</v>
      </c>
      <c r="AE44" s="3">
        <v>1.4034630548992453</v>
      </c>
      <c r="AF44" s="3">
        <v>0.41214923718922075</v>
      </c>
      <c r="AG44" s="3">
        <v>0.28743131410924311</v>
      </c>
      <c r="AH44" s="3">
        <v>1.0879898171392406</v>
      </c>
      <c r="AI44" s="3">
        <v>-0.77898724903076388</v>
      </c>
      <c r="AJ44" s="3">
        <v>1.0610023320692252</v>
      </c>
      <c r="AK44" s="3">
        <v>2.2475169349192448</v>
      </c>
      <c r="AL44" s="3">
        <v>1.7144541562192339</v>
      </c>
      <c r="AM44" s="3">
        <v>1.7441879054492251</v>
      </c>
      <c r="AN44" s="3">
        <v>2.441292262069223</v>
      </c>
      <c r="AO44" s="3">
        <v>3.4288168388092322</v>
      </c>
      <c r="AP44" s="3">
        <v>3.176564167829234</v>
      </c>
      <c r="AQ44" s="3">
        <v>2.6100064923692252</v>
      </c>
      <c r="AR44" s="3">
        <v>2.4413346113592227</v>
      </c>
      <c r="AS44" s="3">
        <v>1.7311234118592274</v>
      </c>
      <c r="AT44" s="3">
        <v>1.2031396460692443</v>
      </c>
      <c r="AU44" s="3">
        <v>0.36910590186924719</v>
      </c>
    </row>
    <row r="45" spans="1:47" x14ac:dyDescent="0.25">
      <c r="A45">
        <v>2017.375</v>
      </c>
      <c r="B45">
        <v>5</v>
      </c>
      <c r="C45" s="3">
        <v>0.6355308827592252</v>
      </c>
      <c r="D45">
        <v>0.36243996980436877</v>
      </c>
      <c r="G45" s="3">
        <v>0.6355308827592252</v>
      </c>
      <c r="H45" s="3">
        <v>0.2263728185012383</v>
      </c>
      <c r="I45" s="3">
        <v>0.75269428361922963</v>
      </c>
      <c r="J45" s="3">
        <v>0.10561636126922933</v>
      </c>
      <c r="K45" s="3">
        <v>0.53788867355923242</v>
      </c>
      <c r="L45" s="3">
        <v>1.3136739487692362</v>
      </c>
      <c r="M45" s="3">
        <v>0.48803656106923615</v>
      </c>
      <c r="N45" s="3">
        <v>0.91796129348923017</v>
      </c>
      <c r="O45" s="3">
        <v>2.3205943892092407</v>
      </c>
      <c r="P45" s="3">
        <v>2.8199650322192427</v>
      </c>
      <c r="Q45" s="3">
        <v>2.6337997278192273</v>
      </c>
      <c r="R45" s="3">
        <v>1.1669819309692406</v>
      </c>
      <c r="S45" s="3">
        <v>-3.6238594620772724E-2</v>
      </c>
      <c r="T45" s="3">
        <v>-1.9728460609507639</v>
      </c>
      <c r="U45" s="3">
        <v>-2.3126394715807717</v>
      </c>
      <c r="V45" s="3">
        <v>-4.0803512152507615</v>
      </c>
      <c r="W45" s="3">
        <v>-5.0763222569207516</v>
      </c>
      <c r="X45" s="3">
        <v>-3.4209596195307723</v>
      </c>
      <c r="Y45" s="3">
        <v>-1.3308764840307548</v>
      </c>
      <c r="Z45" s="3">
        <v>-3.1528870372307658</v>
      </c>
      <c r="AA45" s="3">
        <v>-1.9948764680307747</v>
      </c>
      <c r="AB45" s="3">
        <v>-1.5252614967307725</v>
      </c>
      <c r="AC45" s="3">
        <v>-1.6149105574307594</v>
      </c>
      <c r="AD45" s="3">
        <v>-0.92363914943077907</v>
      </c>
      <c r="AE45" s="3">
        <v>-3.0684870940772491E-2</v>
      </c>
      <c r="AF45" s="3">
        <v>0.45460829456923418</v>
      </c>
      <c r="AG45" s="3">
        <v>3.5930787669227304E-2</v>
      </c>
      <c r="AH45" s="3">
        <v>-1.4061045382307595</v>
      </c>
      <c r="AI45" s="3">
        <v>-2.1196752670907553</v>
      </c>
      <c r="AJ45" s="3">
        <v>-2.2526105113207597</v>
      </c>
      <c r="AK45" s="3">
        <v>-1.2621451354507678</v>
      </c>
      <c r="AL45" s="3">
        <v>-0.56983358888077473</v>
      </c>
      <c r="AM45" s="3">
        <v>0.10178133444922077</v>
      </c>
      <c r="AN45" s="3">
        <v>0.71163629737922962</v>
      </c>
      <c r="AO45" s="3">
        <v>1.2302889477092382</v>
      </c>
      <c r="AP45" s="3">
        <v>1.5207169755392274</v>
      </c>
      <c r="AQ45" s="3">
        <v>1.4034630548992453</v>
      </c>
      <c r="AR45" s="3">
        <v>0.41214923718922075</v>
      </c>
      <c r="AS45" s="3">
        <v>0.28743131410924311</v>
      </c>
      <c r="AT45" s="3">
        <v>1.0879898171392406</v>
      </c>
      <c r="AU45" s="3">
        <v>-0.77898724903076388</v>
      </c>
    </row>
    <row r="46" spans="1:47" x14ac:dyDescent="0.25">
      <c r="A46">
        <v>2018.375</v>
      </c>
      <c r="B46">
        <v>5</v>
      </c>
      <c r="C46" s="3">
        <v>2.0574152523692271</v>
      </c>
      <c r="D46">
        <v>-0.77343629720605933</v>
      </c>
      <c r="G46" s="3">
        <v>2.0574152523692271</v>
      </c>
      <c r="H46" s="3">
        <v>2.057989922469234</v>
      </c>
      <c r="I46" s="3">
        <v>2.4866597172692426</v>
      </c>
      <c r="J46" s="3">
        <v>1.7138665980692449</v>
      </c>
      <c r="K46" s="3">
        <v>9.4529943569231722E-2</v>
      </c>
      <c r="L46" s="3">
        <v>0.60212085066922516</v>
      </c>
      <c r="M46" s="3">
        <v>2.3005714547692206</v>
      </c>
      <c r="N46" s="3">
        <v>2.2583431590692404</v>
      </c>
      <c r="O46" s="3">
        <v>1.6955769090092339</v>
      </c>
      <c r="P46" s="3">
        <v>2.0752345825592298</v>
      </c>
      <c r="Q46" s="3">
        <v>2.4774201739092447</v>
      </c>
      <c r="R46" s="3">
        <v>0.86056713492922976</v>
      </c>
      <c r="S46" s="3">
        <v>0.6355308827592252</v>
      </c>
      <c r="T46" s="3">
        <v>0.2263728185012383</v>
      </c>
      <c r="U46" s="3">
        <v>0.75269428361922963</v>
      </c>
      <c r="V46" s="3">
        <v>0.10561636126922933</v>
      </c>
      <c r="W46" s="3">
        <v>0.53788867355923242</v>
      </c>
      <c r="X46" s="3">
        <v>1.3136739487692362</v>
      </c>
      <c r="Y46" s="3">
        <v>0.48803656106923615</v>
      </c>
      <c r="Z46" s="3">
        <v>0.91796129348923017</v>
      </c>
      <c r="AA46" s="3">
        <v>2.3205943892092407</v>
      </c>
      <c r="AB46" s="3">
        <v>2.8199650322192427</v>
      </c>
      <c r="AC46" s="3">
        <v>2.6337997278192273</v>
      </c>
      <c r="AD46" s="3">
        <v>1.1669819309692406</v>
      </c>
      <c r="AE46" s="3">
        <v>-3.6238594620772724E-2</v>
      </c>
      <c r="AF46" s="3">
        <v>-1.9728460609507639</v>
      </c>
      <c r="AG46" s="3">
        <v>-2.3126394715807717</v>
      </c>
      <c r="AH46" s="3">
        <v>-4.0803512152507615</v>
      </c>
      <c r="AI46" s="3">
        <v>-5.0763222569207516</v>
      </c>
      <c r="AJ46" s="3">
        <v>-3.4209596195307723</v>
      </c>
      <c r="AK46" s="3">
        <v>-1.3308764840307548</v>
      </c>
      <c r="AL46" s="3">
        <v>-3.1528870372307658</v>
      </c>
      <c r="AM46" s="3">
        <v>-1.9948764680307747</v>
      </c>
      <c r="AN46" s="3">
        <v>-1.5252614967307725</v>
      </c>
      <c r="AO46" s="3">
        <v>-1.6149105574307594</v>
      </c>
      <c r="AP46" s="3">
        <v>-0.92363914943077907</v>
      </c>
      <c r="AQ46" s="3">
        <v>-3.0684870940772491E-2</v>
      </c>
      <c r="AR46" s="3">
        <v>0.45460829456923418</v>
      </c>
      <c r="AS46" s="3">
        <v>3.5930787669227304E-2</v>
      </c>
      <c r="AT46" s="3">
        <v>-1.4061045382307595</v>
      </c>
      <c r="AU46" s="3">
        <v>-2.1196752670907553</v>
      </c>
    </row>
    <row r="47" spans="1:47" x14ac:dyDescent="0.25">
      <c r="A47">
        <v>2019.375</v>
      </c>
      <c r="B47">
        <v>5</v>
      </c>
      <c r="C47" s="3">
        <v>0.16846339816923617</v>
      </c>
      <c r="D47">
        <v>-1.0061200929063885</v>
      </c>
      <c r="G47" s="3">
        <v>0.16846339816923617</v>
      </c>
      <c r="H47" s="3">
        <v>-0.47616772613075503</v>
      </c>
      <c r="I47" s="3">
        <v>-0.53457451533077904</v>
      </c>
      <c r="J47" s="3">
        <v>0.49570576106923198</v>
      </c>
      <c r="K47" s="3">
        <v>-1.7311455758407726</v>
      </c>
      <c r="L47" s="3">
        <v>-0.96561260333077037</v>
      </c>
      <c r="M47" s="3">
        <v>-0.49344882973076382</v>
      </c>
      <c r="N47" s="3">
        <v>-0.57542024343075715</v>
      </c>
      <c r="O47" s="3">
        <v>0.80345345206922736</v>
      </c>
      <c r="P47" s="3">
        <v>1.1295069963692277</v>
      </c>
      <c r="Q47" s="3">
        <v>2.2252832571692274</v>
      </c>
      <c r="R47" s="3">
        <v>1.4889856663692449</v>
      </c>
      <c r="S47" s="3">
        <v>2.0574152523692271</v>
      </c>
      <c r="T47" s="3">
        <v>2.057989922469234</v>
      </c>
      <c r="U47" s="3">
        <v>2.4866597172692426</v>
      </c>
      <c r="V47" s="3">
        <v>1.7138665980692449</v>
      </c>
      <c r="W47" s="3">
        <v>9.4529943569231722E-2</v>
      </c>
      <c r="X47" s="3">
        <v>0.60212085066922516</v>
      </c>
      <c r="Y47" s="3">
        <v>2.3005714547692206</v>
      </c>
      <c r="Z47" s="3">
        <v>2.2583431590692404</v>
      </c>
      <c r="AA47" s="3">
        <v>1.6955769090092339</v>
      </c>
      <c r="AB47" s="3">
        <v>2.0752345825592298</v>
      </c>
      <c r="AC47" s="3">
        <v>2.4774201739092447</v>
      </c>
      <c r="AD47" s="3">
        <v>0.86056713492922976</v>
      </c>
      <c r="AE47" s="3">
        <v>0.6355308827592252</v>
      </c>
      <c r="AF47" s="3">
        <v>0.2263728185012383</v>
      </c>
      <c r="AG47" s="3">
        <v>0.75269428361922963</v>
      </c>
      <c r="AH47" s="3">
        <v>0.10561636126922933</v>
      </c>
      <c r="AI47" s="3">
        <v>0.53788867355923242</v>
      </c>
      <c r="AJ47" s="3">
        <v>1.3136739487692362</v>
      </c>
      <c r="AK47" s="3">
        <v>0.48803656106923615</v>
      </c>
      <c r="AL47" s="3">
        <v>0.91796129348923017</v>
      </c>
      <c r="AM47" s="3">
        <v>2.3205943892092407</v>
      </c>
      <c r="AN47" s="3">
        <v>2.8199650322192427</v>
      </c>
      <c r="AO47" s="3">
        <v>2.6337997278192273</v>
      </c>
      <c r="AP47" s="3">
        <v>1.1669819309692406</v>
      </c>
      <c r="AQ47" s="3">
        <v>-3.6238594620772724E-2</v>
      </c>
      <c r="AR47" s="3">
        <v>-1.9728460609507639</v>
      </c>
      <c r="AS47" s="3">
        <v>-2.3126394715807717</v>
      </c>
      <c r="AT47" s="3">
        <v>-4.0803512152507615</v>
      </c>
      <c r="AU47" s="3">
        <v>-5.0763222569207516</v>
      </c>
    </row>
    <row r="48" spans="1:47" x14ac:dyDescent="0.25">
      <c r="A48">
        <v>2020.375</v>
      </c>
      <c r="B48">
        <v>5</v>
      </c>
      <c r="C48" s="3">
        <v>0.94188844476923839</v>
      </c>
      <c r="D48">
        <v>0.78379846293178257</v>
      </c>
      <c r="G48" s="3">
        <v>0.94188844476923839</v>
      </c>
      <c r="H48" s="3">
        <v>1.418113753069234</v>
      </c>
      <c r="I48" s="3">
        <v>2.890156064869227</v>
      </c>
      <c r="J48" s="3">
        <v>0.72176298916923387</v>
      </c>
      <c r="K48" s="3">
        <v>0.50067563736922516</v>
      </c>
      <c r="L48" s="3">
        <v>-1.2565737220307747</v>
      </c>
      <c r="M48" s="3">
        <v>-1.0369431740307637</v>
      </c>
      <c r="N48" s="3">
        <v>0.70103079876923413</v>
      </c>
      <c r="O48" s="3">
        <v>0.37751908686922514</v>
      </c>
      <c r="P48" s="3">
        <v>0.59593210106922745</v>
      </c>
      <c r="Q48" s="3">
        <v>0.41449108666922962</v>
      </c>
      <c r="R48" s="3">
        <v>0.73665835736922736</v>
      </c>
      <c r="S48" s="3">
        <v>0.16846339816923617</v>
      </c>
      <c r="T48" s="3">
        <v>-0.47616772613075503</v>
      </c>
      <c r="U48" s="3">
        <v>-0.53457451533077904</v>
      </c>
      <c r="V48" s="3">
        <v>0.49570576106923198</v>
      </c>
      <c r="W48" s="3">
        <v>-1.7311455758407726</v>
      </c>
      <c r="X48" s="3">
        <v>-0.96561260333077037</v>
      </c>
      <c r="Y48" s="3">
        <v>-0.49344882973076382</v>
      </c>
      <c r="Z48" s="3">
        <v>-0.57542024343075715</v>
      </c>
      <c r="AA48" s="3">
        <v>0.80345345206922736</v>
      </c>
      <c r="AB48" s="3">
        <v>1.1295069963692277</v>
      </c>
      <c r="AC48" s="3">
        <v>2.2252832571692274</v>
      </c>
      <c r="AD48" s="3">
        <v>1.4889856663692449</v>
      </c>
      <c r="AE48" s="3">
        <v>2.0574152523692271</v>
      </c>
      <c r="AF48" s="3">
        <v>2.057989922469234</v>
      </c>
      <c r="AG48" s="3">
        <v>2.4866597172692426</v>
      </c>
      <c r="AH48" s="3">
        <v>1.7138665980692449</v>
      </c>
      <c r="AI48" s="3">
        <v>9.4529943569231722E-2</v>
      </c>
      <c r="AJ48" s="3">
        <v>0.60212085066922516</v>
      </c>
      <c r="AK48" s="3">
        <v>2.3005714547692206</v>
      </c>
      <c r="AL48" s="3">
        <v>2.2583431590692404</v>
      </c>
      <c r="AM48" s="3">
        <v>1.6955769090092339</v>
      </c>
      <c r="AN48" s="3">
        <v>2.0752345825592298</v>
      </c>
      <c r="AO48" s="3">
        <v>2.4774201739092447</v>
      </c>
      <c r="AP48" s="3">
        <v>0.86056713492922976</v>
      </c>
      <c r="AQ48" s="3">
        <v>0.6355308827592252</v>
      </c>
      <c r="AR48" s="3">
        <v>0.2263728185012383</v>
      </c>
      <c r="AS48" s="3">
        <v>0.75269428361922963</v>
      </c>
      <c r="AT48" s="3">
        <v>0.10561636126922933</v>
      </c>
      <c r="AU48" s="3">
        <v>0.53788867355923242</v>
      </c>
    </row>
    <row r="49" spans="1:47" x14ac:dyDescent="0.25">
      <c r="A49">
        <v>2021.375</v>
      </c>
      <c r="B49">
        <v>5</v>
      </c>
      <c r="C49" s="3">
        <v>3.013470621229243</v>
      </c>
      <c r="D49">
        <v>0.38384132171908769</v>
      </c>
      <c r="G49" s="3">
        <v>3.013470621229243</v>
      </c>
      <c r="H49" s="3">
        <v>3.4358862912692407</v>
      </c>
      <c r="I49" s="3">
        <v>4.1419505337292053</v>
      </c>
      <c r="J49" s="3">
        <v>1.6625542466692296</v>
      </c>
      <c r="K49" s="3">
        <v>0.56966047319922519</v>
      </c>
      <c r="L49" s="3">
        <v>7.4266250269225065E-2</v>
      </c>
      <c r="M49" s="3">
        <v>2.7389921961692316</v>
      </c>
      <c r="N49" s="3">
        <v>2.6532131311692275</v>
      </c>
      <c r="O49" s="3">
        <v>2.7449835301692338</v>
      </c>
      <c r="P49" s="3">
        <v>2.4282919043692339</v>
      </c>
      <c r="Q49" s="3">
        <v>2.4569034265692382</v>
      </c>
      <c r="R49" s="3">
        <v>1.9575282925692208</v>
      </c>
      <c r="S49" s="3">
        <v>0.94188844476923839</v>
      </c>
      <c r="T49" s="3">
        <v>1.418113753069234</v>
      </c>
      <c r="U49" s="3">
        <v>2.890156064869227</v>
      </c>
      <c r="V49" s="3">
        <v>0.72176298916923387</v>
      </c>
      <c r="W49" s="3">
        <v>0.50067563736922516</v>
      </c>
      <c r="X49" s="3">
        <v>-1.2565737220307747</v>
      </c>
      <c r="Y49" s="3">
        <v>-1.0369431740307637</v>
      </c>
      <c r="Z49" s="3">
        <v>0.70103079876923413</v>
      </c>
      <c r="AA49" s="3">
        <v>0.37751908686922514</v>
      </c>
      <c r="AB49" s="3">
        <v>0.59593210106922745</v>
      </c>
      <c r="AC49" s="3">
        <v>0.41449108666922962</v>
      </c>
      <c r="AD49" s="3">
        <v>0.73665835736922736</v>
      </c>
      <c r="AE49" s="3">
        <v>0.16846339816923617</v>
      </c>
      <c r="AF49" s="3">
        <v>-0.47616772613075503</v>
      </c>
      <c r="AG49" s="3">
        <v>-0.53457451533077904</v>
      </c>
      <c r="AH49" s="3">
        <v>0.49570576106923198</v>
      </c>
      <c r="AI49" s="3">
        <v>-1.7311455758407726</v>
      </c>
      <c r="AJ49" s="3">
        <v>-0.96561260333077037</v>
      </c>
      <c r="AK49" s="3">
        <v>-0.49344882973076382</v>
      </c>
      <c r="AL49" s="3">
        <v>-0.57542024343075715</v>
      </c>
      <c r="AM49" s="3">
        <v>0.80345345206922736</v>
      </c>
      <c r="AN49" s="3">
        <v>1.1295069963692277</v>
      </c>
      <c r="AO49" s="3">
        <v>2.2252832571692274</v>
      </c>
      <c r="AP49" s="3">
        <v>1.4889856663692449</v>
      </c>
      <c r="AQ49" s="3">
        <v>2.0574152523692271</v>
      </c>
      <c r="AR49" s="3">
        <v>2.057989922469234</v>
      </c>
      <c r="AS49" s="3">
        <v>2.4866597172692426</v>
      </c>
      <c r="AT49" s="3">
        <v>1.7138665980692449</v>
      </c>
      <c r="AU49" s="3">
        <v>9.4529943569231722E-2</v>
      </c>
    </row>
    <row r="50" spans="1:47" x14ac:dyDescent="0.25">
      <c r="A50">
        <v>2022.375</v>
      </c>
      <c r="B50">
        <v>5</v>
      </c>
      <c r="C50" s="3">
        <v>4.3843827266992443</v>
      </c>
      <c r="D50">
        <v>0.23147775658511094</v>
      </c>
      <c r="G50" s="3">
        <v>4.3843827266992443</v>
      </c>
      <c r="H50" s="3">
        <v>3.738704460969243</v>
      </c>
      <c r="I50" s="3">
        <v>2.5391773460692382</v>
      </c>
      <c r="J50" s="3">
        <v>1.5244433762692298</v>
      </c>
      <c r="K50" s="3">
        <v>1.1166221583692315</v>
      </c>
      <c r="L50" s="3">
        <v>3.7450370694692299</v>
      </c>
      <c r="M50" s="3">
        <v>3.3026885758992401</v>
      </c>
      <c r="N50" s="3">
        <v>3.7375478410922232</v>
      </c>
      <c r="O50" s="3">
        <v>3.2127393982092203</v>
      </c>
      <c r="P50" s="3">
        <v>2.8442826277692275</v>
      </c>
      <c r="Q50" s="3">
        <v>4.163303717119228</v>
      </c>
      <c r="R50" s="3">
        <v>2.8356994875692361</v>
      </c>
      <c r="S50" s="3">
        <v>3.013470621229243</v>
      </c>
      <c r="T50" s="3">
        <v>3.4358862912692407</v>
      </c>
      <c r="U50" s="3">
        <v>4.1419505337292053</v>
      </c>
      <c r="V50" s="3">
        <v>1.6625542466692296</v>
      </c>
      <c r="W50" s="3">
        <v>0.56966047319922519</v>
      </c>
      <c r="X50" s="3">
        <v>7.4266250269225065E-2</v>
      </c>
      <c r="Y50" s="3">
        <v>2.7389921961692316</v>
      </c>
      <c r="Z50" s="3">
        <v>2.6532131311692275</v>
      </c>
      <c r="AA50" s="3">
        <v>2.7449835301692338</v>
      </c>
      <c r="AB50" s="3">
        <v>2.4282919043692339</v>
      </c>
      <c r="AC50" s="3">
        <v>2.4569034265692382</v>
      </c>
      <c r="AD50" s="3">
        <v>1.9575282925692208</v>
      </c>
      <c r="AE50" s="3">
        <v>0.94188844476923839</v>
      </c>
      <c r="AF50" s="3">
        <v>1.418113753069234</v>
      </c>
      <c r="AG50" s="3">
        <v>2.890156064869227</v>
      </c>
      <c r="AH50" s="3">
        <v>0.72176298916923387</v>
      </c>
      <c r="AI50" s="3">
        <v>0.50067563736922516</v>
      </c>
      <c r="AJ50" s="3">
        <v>-1.2565737220307747</v>
      </c>
      <c r="AK50" s="3">
        <v>-1.0369431740307637</v>
      </c>
      <c r="AL50" s="3">
        <v>0.70103079876923413</v>
      </c>
      <c r="AM50" s="3">
        <v>0.37751908686922514</v>
      </c>
      <c r="AN50" s="3">
        <v>0.59593210106922745</v>
      </c>
      <c r="AO50" s="3">
        <v>0.41449108666922962</v>
      </c>
      <c r="AP50" s="3">
        <v>0.73665835736922736</v>
      </c>
      <c r="AQ50" s="3">
        <v>0.16846339816923617</v>
      </c>
      <c r="AR50" s="3">
        <v>-0.47616772613075503</v>
      </c>
      <c r="AS50" s="3">
        <v>-0.53457451533077904</v>
      </c>
      <c r="AT50" s="3">
        <v>0.49570576106923198</v>
      </c>
      <c r="AU50" s="3">
        <v>-1.7311455758407726</v>
      </c>
    </row>
    <row r="51" spans="1:47" x14ac:dyDescent="0.25">
      <c r="A51">
        <v>2023.375</v>
      </c>
      <c r="B51">
        <v>5</v>
      </c>
      <c r="C51" s="3">
        <v>2.5315232330692252</v>
      </c>
      <c r="D51">
        <v>5.29734003531993E-2</v>
      </c>
      <c r="G51" s="3">
        <v>2.5315232330692252</v>
      </c>
      <c r="H51" s="3">
        <v>2.4242919410692383</v>
      </c>
      <c r="I51" s="3">
        <v>3.0204558906692407</v>
      </c>
      <c r="J51" s="3">
        <v>2.5160163088692427</v>
      </c>
      <c r="K51" s="3">
        <v>0.21799792796922957</v>
      </c>
      <c r="L51" s="3">
        <v>1.0712564202692405</v>
      </c>
      <c r="M51" s="3">
        <v>3.5479114080692211</v>
      </c>
      <c r="N51" s="3">
        <v>3.5468615474692231</v>
      </c>
      <c r="O51" s="3">
        <v>3.5616315340692255</v>
      </c>
      <c r="P51" s="3">
        <v>4.1160447731392207</v>
      </c>
      <c r="Q51" s="3">
        <v>4.716440559979227</v>
      </c>
      <c r="R51" s="3">
        <v>3.4192657767092252</v>
      </c>
      <c r="S51" s="3">
        <v>4.3843827266992443</v>
      </c>
      <c r="T51" s="3">
        <v>3.738704460969243</v>
      </c>
      <c r="U51" s="3">
        <v>2.5391773460692382</v>
      </c>
      <c r="V51" s="3">
        <v>1.5244433762692298</v>
      </c>
      <c r="W51" s="3">
        <v>1.1166221583692315</v>
      </c>
      <c r="X51" s="3">
        <v>3.7450370694692299</v>
      </c>
      <c r="Y51" s="3">
        <v>3.3026885758992401</v>
      </c>
      <c r="Z51" s="3">
        <v>3.7375478410922232</v>
      </c>
      <c r="AA51" s="3">
        <v>3.2127393982092203</v>
      </c>
      <c r="AB51" s="3">
        <v>2.8442826277692275</v>
      </c>
      <c r="AC51" s="3">
        <v>4.163303717119228</v>
      </c>
      <c r="AD51" s="3">
        <v>2.8356994875692361</v>
      </c>
      <c r="AE51" s="3">
        <v>3.013470621229243</v>
      </c>
      <c r="AF51" s="3">
        <v>3.4358862912692407</v>
      </c>
      <c r="AG51" s="3">
        <v>4.1419505337292053</v>
      </c>
      <c r="AH51" s="3">
        <v>1.6625542466692296</v>
      </c>
      <c r="AI51" s="3">
        <v>0.56966047319922519</v>
      </c>
      <c r="AJ51" s="3">
        <v>7.4266250269225065E-2</v>
      </c>
      <c r="AK51" s="3">
        <v>2.7389921961692316</v>
      </c>
      <c r="AL51" s="3">
        <v>2.6532131311692275</v>
      </c>
      <c r="AM51" s="3">
        <v>2.7449835301692338</v>
      </c>
      <c r="AN51" s="3">
        <v>2.4282919043692339</v>
      </c>
      <c r="AO51" s="3">
        <v>2.4569034265692382</v>
      </c>
      <c r="AP51" s="3">
        <v>1.9575282925692208</v>
      </c>
      <c r="AQ51" s="3">
        <v>0.94188844476923839</v>
      </c>
      <c r="AR51" s="3">
        <v>1.418113753069234</v>
      </c>
      <c r="AS51" s="3">
        <v>2.890156064869227</v>
      </c>
      <c r="AT51" s="3">
        <v>0.72176298916923387</v>
      </c>
      <c r="AU51" s="3">
        <v>0.50067563736922516</v>
      </c>
    </row>
    <row r="52" spans="1:47" x14ac:dyDescent="0.25">
      <c r="A52">
        <v>2024</v>
      </c>
      <c r="D52">
        <v>0.15952065516912481</v>
      </c>
      <c r="S52" s="3">
        <v>2.5315232330692252</v>
      </c>
      <c r="T52" s="3">
        <v>2.4242919410692383</v>
      </c>
      <c r="U52" s="3">
        <v>3.0204558906692407</v>
      </c>
      <c r="V52" s="3">
        <v>2.5160163088692427</v>
      </c>
      <c r="W52" s="3">
        <v>0.21799792796922957</v>
      </c>
      <c r="X52" s="3">
        <v>1.0712564202692405</v>
      </c>
      <c r="Y52" s="3">
        <v>3.5479114080692211</v>
      </c>
      <c r="Z52" s="3">
        <v>3.5468615474692231</v>
      </c>
      <c r="AA52" s="3">
        <v>3.5616315340692255</v>
      </c>
      <c r="AB52" s="3">
        <v>4.1160447731392207</v>
      </c>
      <c r="AC52" s="3">
        <v>4.716440559979227</v>
      </c>
      <c r="AD52" s="3">
        <v>3.4192657767092252</v>
      </c>
      <c r="AE52" s="3">
        <v>4.3843827266992443</v>
      </c>
      <c r="AF52" s="3">
        <v>3.738704460969243</v>
      </c>
      <c r="AG52" s="3">
        <v>2.5391773460692382</v>
      </c>
      <c r="AH52" s="3">
        <v>1.5244433762692298</v>
      </c>
      <c r="AI52" s="3">
        <v>1.1166221583692315</v>
      </c>
      <c r="AJ52" s="3">
        <v>3.7450370694692299</v>
      </c>
      <c r="AK52" s="3">
        <v>3.3026885758992401</v>
      </c>
      <c r="AL52" s="3">
        <v>3.7375478410922232</v>
      </c>
      <c r="AM52" s="3">
        <v>3.2127393982092203</v>
      </c>
      <c r="AN52" s="3">
        <v>2.8442826277692275</v>
      </c>
      <c r="AO52" s="3">
        <v>4.163303717119228</v>
      </c>
      <c r="AP52" s="3">
        <v>2.8356994875692361</v>
      </c>
      <c r="AQ52" s="3">
        <v>3.013470621229243</v>
      </c>
      <c r="AR52" s="3">
        <v>3.4358862912692407</v>
      </c>
      <c r="AS52" s="3">
        <v>4.1419505337292053</v>
      </c>
      <c r="AT52" s="3">
        <v>1.6625542466692296</v>
      </c>
      <c r="AU52" s="3">
        <v>0.56966047319922519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AE76-EFB1-44E8-B889-CF3BAC1B9C3A}">
  <dimension ref="A2:AB100"/>
  <sheetViews>
    <sheetView tabSelected="1" workbookViewId="0">
      <selection activeCell="J6" sqref="J6"/>
    </sheetView>
  </sheetViews>
  <sheetFormatPr defaultRowHeight="15" x14ac:dyDescent="0.25"/>
  <sheetData>
    <row r="2" spans="1:24" x14ac:dyDescent="0.25">
      <c r="A2" t="s">
        <v>41</v>
      </c>
    </row>
    <row r="4" spans="1:24" x14ac:dyDescent="0.25">
      <c r="Q4" t="s">
        <v>42</v>
      </c>
    </row>
    <row r="5" spans="1:24" x14ac:dyDescent="0.25"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</row>
    <row r="6" spans="1:24" x14ac:dyDescent="0.25">
      <c r="N6" t="s">
        <v>36</v>
      </c>
      <c r="O6">
        <v>1967</v>
      </c>
      <c r="P6">
        <v>344305.58557739703</v>
      </c>
      <c r="Q6">
        <v>314033.55737485801</v>
      </c>
      <c r="R6">
        <v>6377.2976221262898</v>
      </c>
      <c r="S6">
        <v>231001.909353708</v>
      </c>
      <c r="T6">
        <v>104885.02950868401</v>
      </c>
      <c r="U6">
        <v>1.07023568731815E-9</v>
      </c>
      <c r="V6">
        <v>415.02338220093401</v>
      </c>
      <c r="W6">
        <v>1626.32571067297</v>
      </c>
      <c r="X6">
        <v>1.07349935010011E-9</v>
      </c>
    </row>
    <row r="7" spans="1:24" x14ac:dyDescent="0.25">
      <c r="N7" t="s">
        <v>36</v>
      </c>
      <c r="O7">
        <v>1968</v>
      </c>
      <c r="P7">
        <v>314033.55737485801</v>
      </c>
      <c r="Q7">
        <v>324288.95516926399</v>
      </c>
      <c r="R7">
        <v>8480.0418474477192</v>
      </c>
      <c r="S7">
        <v>97650.421548388898</v>
      </c>
      <c r="T7">
        <v>151684.16119201499</v>
      </c>
      <c r="U7">
        <v>8.0880332283337902E-10</v>
      </c>
      <c r="V7">
        <v>1880.2815250495701</v>
      </c>
      <c r="W7">
        <v>30953.023329648</v>
      </c>
      <c r="X7">
        <v>22573.016633527801</v>
      </c>
    </row>
    <row r="8" spans="1:24" x14ac:dyDescent="0.25">
      <c r="N8" t="s">
        <v>36</v>
      </c>
      <c r="O8">
        <v>1969</v>
      </c>
      <c r="P8">
        <v>324288.95516926399</v>
      </c>
      <c r="Q8">
        <v>500779.51142110903</v>
      </c>
      <c r="R8">
        <v>9662.4664898059491</v>
      </c>
      <c r="S8">
        <v>110322.958582639</v>
      </c>
      <c r="T8">
        <v>90731.091836028994</v>
      </c>
      <c r="U8">
        <v>2.1571068725590798E-9</v>
      </c>
      <c r="V8">
        <v>509.92968359188001</v>
      </c>
      <c r="W8">
        <v>112243.297590412</v>
      </c>
      <c r="X8">
        <v>819.21098677764303</v>
      </c>
    </row>
    <row r="9" spans="1:24" x14ac:dyDescent="0.25">
      <c r="N9" t="s">
        <v>36</v>
      </c>
      <c r="O9">
        <v>1970</v>
      </c>
      <c r="P9">
        <v>500779.51142110903</v>
      </c>
      <c r="Q9">
        <v>537293.52445327595</v>
      </c>
      <c r="R9">
        <v>5829.7840867585001</v>
      </c>
      <c r="S9">
        <v>304544.09366823302</v>
      </c>
      <c r="T9">
        <v>88347.848884584804</v>
      </c>
      <c r="U9">
        <v>0</v>
      </c>
      <c r="V9">
        <v>0</v>
      </c>
      <c r="W9">
        <v>29040.271876447801</v>
      </c>
      <c r="X9">
        <v>73017.512905070806</v>
      </c>
    </row>
    <row r="10" spans="1:24" x14ac:dyDescent="0.25">
      <c r="N10" t="s">
        <v>36</v>
      </c>
      <c r="O10">
        <v>1971</v>
      </c>
      <c r="P10">
        <v>537293.52445327595</v>
      </c>
      <c r="Q10">
        <v>302589.30717202002</v>
      </c>
      <c r="R10">
        <v>8143.4625124798904</v>
      </c>
      <c r="S10">
        <v>260360.126735236</v>
      </c>
      <c r="T10">
        <v>229247.61702939999</v>
      </c>
      <c r="U10">
        <v>5497.0603030838101</v>
      </c>
      <c r="V10">
        <v>2325.1893646583999</v>
      </c>
      <c r="W10">
        <v>13317.4626320725</v>
      </c>
      <c r="X10">
        <v>17530.7969367517</v>
      </c>
    </row>
    <row r="11" spans="1:24" x14ac:dyDescent="0.25">
      <c r="N11" t="s">
        <v>36</v>
      </c>
      <c r="O11">
        <v>1972</v>
      </c>
      <c r="P11">
        <v>302589.30717202002</v>
      </c>
      <c r="Q11">
        <v>63552.969370713901</v>
      </c>
      <c r="R11">
        <v>7.0852196840766003E-9</v>
      </c>
      <c r="S11">
        <v>182414.447683053</v>
      </c>
      <c r="T11">
        <v>52163.066047070497</v>
      </c>
      <c r="U11">
        <v>9.717918193017951E-10</v>
      </c>
      <c r="V11">
        <v>0</v>
      </c>
      <c r="W11">
        <v>59199.567021545998</v>
      </c>
      <c r="X11">
        <v>8812.2264203387404</v>
      </c>
    </row>
    <row r="12" spans="1:24" x14ac:dyDescent="0.25">
      <c r="N12" t="s">
        <v>36</v>
      </c>
      <c r="O12">
        <v>1973</v>
      </c>
      <c r="P12">
        <v>63552.969370713901</v>
      </c>
      <c r="Q12">
        <v>247579.730446879</v>
      </c>
      <c r="R12">
        <v>4.4638464016442702E-10</v>
      </c>
      <c r="S12">
        <v>1353.5625847451499</v>
      </c>
      <c r="T12">
        <v>52504.168379925002</v>
      </c>
      <c r="U12">
        <v>3.3478947095101902E-10</v>
      </c>
      <c r="V12">
        <v>0</v>
      </c>
      <c r="W12">
        <v>685.37333584882401</v>
      </c>
      <c r="X12">
        <v>9009.8650701926999</v>
      </c>
    </row>
    <row r="13" spans="1:24" x14ac:dyDescent="0.25">
      <c r="N13" t="s">
        <v>36</v>
      </c>
      <c r="O13">
        <v>1974</v>
      </c>
      <c r="P13">
        <v>247579.730446879</v>
      </c>
      <c r="Q13">
        <v>112656.701619766</v>
      </c>
      <c r="R13">
        <v>1232.55460274746</v>
      </c>
      <c r="S13">
        <v>78027.480044075695</v>
      </c>
      <c r="T13">
        <v>54756.533800925201</v>
      </c>
      <c r="U13">
        <v>2129.5693344302199</v>
      </c>
      <c r="V13">
        <v>9.2618781232176502E-10</v>
      </c>
      <c r="W13">
        <v>108529.16742171699</v>
      </c>
      <c r="X13">
        <v>2904.4252429818898</v>
      </c>
    </row>
    <row r="14" spans="1:24" x14ac:dyDescent="0.25">
      <c r="N14" t="s">
        <v>36</v>
      </c>
      <c r="O14">
        <v>1975</v>
      </c>
      <c r="P14">
        <v>112656.701619766</v>
      </c>
      <c r="Q14">
        <v>157449.67068392399</v>
      </c>
      <c r="R14">
        <v>1462.13105593817</v>
      </c>
      <c r="S14">
        <v>28837.9158028944</v>
      </c>
      <c r="T14">
        <v>58491.201634390702</v>
      </c>
      <c r="U14">
        <v>0</v>
      </c>
      <c r="V14">
        <v>0</v>
      </c>
      <c r="W14">
        <v>8320.0927505093605</v>
      </c>
      <c r="X14">
        <v>15545.360376026199</v>
      </c>
    </row>
    <row r="15" spans="1:24" x14ac:dyDescent="0.25">
      <c r="N15" t="s">
        <v>36</v>
      </c>
      <c r="O15">
        <v>1976</v>
      </c>
      <c r="P15">
        <v>157449.67068392399</v>
      </c>
      <c r="Q15">
        <v>234915.33416411001</v>
      </c>
      <c r="R15">
        <v>0</v>
      </c>
      <c r="S15">
        <v>70319.717258709905</v>
      </c>
      <c r="T15">
        <v>56203.803488022597</v>
      </c>
      <c r="U15">
        <v>0</v>
      </c>
      <c r="V15">
        <v>1.0263018204556E-9</v>
      </c>
      <c r="W15">
        <v>30123.169812246899</v>
      </c>
      <c r="X15">
        <v>802.98012493857505</v>
      </c>
    </row>
    <row r="16" spans="1:24" x14ac:dyDescent="0.25">
      <c r="N16" t="s">
        <v>36</v>
      </c>
      <c r="O16">
        <v>1977</v>
      </c>
      <c r="P16">
        <v>234915.33416411001</v>
      </c>
      <c r="Q16">
        <v>1110702.1544836799</v>
      </c>
      <c r="R16">
        <v>0</v>
      </c>
      <c r="S16">
        <v>2.1065944309084099E-8</v>
      </c>
      <c r="T16">
        <v>27572.160952725601</v>
      </c>
      <c r="U16">
        <v>0</v>
      </c>
      <c r="V16">
        <v>0</v>
      </c>
      <c r="W16">
        <v>2.97670952157567E-8</v>
      </c>
      <c r="X16">
        <v>207343.17321130799</v>
      </c>
    </row>
    <row r="17" spans="14:27" x14ac:dyDescent="0.25">
      <c r="N17" t="s">
        <v>36</v>
      </c>
      <c r="O17">
        <v>1978</v>
      </c>
      <c r="P17">
        <v>1110702.1544836799</v>
      </c>
      <c r="Q17">
        <v>1620186.93918502</v>
      </c>
      <c r="R17">
        <v>0</v>
      </c>
      <c r="S17">
        <v>722581.359778921</v>
      </c>
      <c r="T17">
        <v>6686.6405200101999</v>
      </c>
      <c r="U17">
        <v>1.49688610441306E-8</v>
      </c>
      <c r="V17">
        <v>6.3878580783088694E-8</v>
      </c>
      <c r="W17">
        <v>350599.51976364403</v>
      </c>
      <c r="X17">
        <v>2.1364595636920099E-7</v>
      </c>
    </row>
    <row r="18" spans="14:27" x14ac:dyDescent="0.25">
      <c r="N18" t="s">
        <v>36</v>
      </c>
      <c r="O18">
        <v>1979</v>
      </c>
      <c r="P18">
        <v>1620186.93918502</v>
      </c>
      <c r="Q18">
        <v>855660.862369649</v>
      </c>
      <c r="R18">
        <v>3.7947067267458502E-8</v>
      </c>
      <c r="S18">
        <v>8.1642260699105195E-8</v>
      </c>
      <c r="T18">
        <v>2.8488228459524999E-8</v>
      </c>
      <c r="U18">
        <v>1377.89295868572</v>
      </c>
      <c r="V18">
        <v>3.2255007171676703E-8</v>
      </c>
      <c r="W18">
        <v>1551297.18495049</v>
      </c>
      <c r="X18">
        <v>3.7984304616130497E-8</v>
      </c>
    </row>
    <row r="19" spans="14:27" x14ac:dyDescent="0.25">
      <c r="N19" t="s">
        <v>36</v>
      </c>
      <c r="O19">
        <v>1980</v>
      </c>
      <c r="P19">
        <v>855660.862369649</v>
      </c>
      <c r="Q19">
        <v>667234.69757733005</v>
      </c>
      <c r="R19">
        <v>163393.681931834</v>
      </c>
      <c r="S19">
        <v>1.3020350252655201E-2</v>
      </c>
      <c r="T19">
        <v>467274.994785132</v>
      </c>
      <c r="U19">
        <v>1866.9778464338599</v>
      </c>
      <c r="V19">
        <v>1.46139377608859</v>
      </c>
      <c r="W19">
        <v>2.4200018740000599E-2</v>
      </c>
      <c r="X19">
        <v>0.212863893700389</v>
      </c>
    </row>
    <row r="20" spans="14:27" x14ac:dyDescent="0.25">
      <c r="N20" t="s">
        <v>36</v>
      </c>
      <c r="O20">
        <v>1981</v>
      </c>
      <c r="P20">
        <v>667234.69757733005</v>
      </c>
      <c r="Q20">
        <v>1345575.8198595301</v>
      </c>
      <c r="R20">
        <v>0</v>
      </c>
      <c r="S20">
        <v>2.8777801477125102E-7</v>
      </c>
      <c r="T20">
        <v>157897.41741392299</v>
      </c>
      <c r="U20">
        <v>0</v>
      </c>
      <c r="V20">
        <v>0</v>
      </c>
      <c r="W20">
        <v>1.8934959236271399E-6</v>
      </c>
      <c r="X20">
        <v>492798.39563922503</v>
      </c>
    </row>
    <row r="21" spans="14:27" x14ac:dyDescent="0.25">
      <c r="N21" t="s">
        <v>36</v>
      </c>
      <c r="O21">
        <v>1982</v>
      </c>
      <c r="P21">
        <v>1345575.8198595301</v>
      </c>
      <c r="Q21">
        <v>2664575.17756896</v>
      </c>
      <c r="R21">
        <v>0</v>
      </c>
      <c r="S21">
        <v>561752.38068303105</v>
      </c>
      <c r="T21">
        <v>689174.63941949105</v>
      </c>
      <c r="U21">
        <v>2.2064745985621501E-8</v>
      </c>
      <c r="V21">
        <v>0</v>
      </c>
      <c r="W21">
        <v>2.6308110363613501E-8</v>
      </c>
      <c r="X21">
        <v>94648.799756924695</v>
      </c>
      <c r="AA21" s="3"/>
    </row>
    <row r="22" spans="14:27" x14ac:dyDescent="0.25">
      <c r="N22" t="s">
        <v>36</v>
      </c>
      <c r="O22">
        <v>1983</v>
      </c>
      <c r="P22">
        <v>2664575.17756896</v>
      </c>
      <c r="Q22">
        <v>1193249.44342189</v>
      </c>
      <c r="R22">
        <v>0</v>
      </c>
      <c r="S22">
        <v>947783.06213282596</v>
      </c>
      <c r="T22">
        <v>1026219.17470876</v>
      </c>
      <c r="U22">
        <v>3.5584400418184002E-8</v>
      </c>
      <c r="V22">
        <v>16623.337547858599</v>
      </c>
      <c r="W22">
        <v>512955.08714974899</v>
      </c>
      <c r="X22">
        <v>145046.23468979599</v>
      </c>
      <c r="AA22" s="3"/>
    </row>
    <row r="23" spans="14:27" x14ac:dyDescent="0.25">
      <c r="N23" t="s">
        <v>36</v>
      </c>
      <c r="O23">
        <v>1984</v>
      </c>
      <c r="P23">
        <v>1193249.44342189</v>
      </c>
      <c r="Q23">
        <v>843580.10872609494</v>
      </c>
      <c r="R23">
        <v>0</v>
      </c>
      <c r="S23">
        <v>1.7125592388208699E-8</v>
      </c>
      <c r="T23">
        <v>81154.7648968063</v>
      </c>
      <c r="U23">
        <v>15371.060847430301</v>
      </c>
      <c r="V23">
        <v>5.1303709269791002E-8</v>
      </c>
      <c r="W23">
        <v>1047576.63469065</v>
      </c>
      <c r="X23">
        <v>2.1415124025424101E-8</v>
      </c>
      <c r="AA23" s="3"/>
    </row>
    <row r="24" spans="14:27" x14ac:dyDescent="0.25">
      <c r="N24" t="s">
        <v>36</v>
      </c>
      <c r="O24">
        <v>1985</v>
      </c>
      <c r="P24">
        <v>843580.10872609494</v>
      </c>
      <c r="Q24">
        <v>1020938.7083222501</v>
      </c>
      <c r="R24">
        <v>9.2629856201421493E-8</v>
      </c>
      <c r="S24">
        <v>174414.656177659</v>
      </c>
      <c r="T24">
        <v>368591.12703693699</v>
      </c>
      <c r="U24">
        <v>14173.2301858467</v>
      </c>
      <c r="V24">
        <v>4.3433110347799602E-7</v>
      </c>
      <c r="W24">
        <v>269864.31356014998</v>
      </c>
      <c r="X24">
        <v>1.0679273059451501E-6</v>
      </c>
      <c r="AA24" s="3"/>
    </row>
    <row r="25" spans="14:27" x14ac:dyDescent="0.25">
      <c r="N25" t="s">
        <v>36</v>
      </c>
      <c r="O25">
        <v>1986</v>
      </c>
      <c r="P25">
        <v>1020938.7083222501</v>
      </c>
      <c r="Q25">
        <v>780737.31908047304</v>
      </c>
      <c r="R25">
        <v>6508.4267052018804</v>
      </c>
      <c r="S25">
        <v>3.3004279488335202E-8</v>
      </c>
      <c r="T25">
        <v>1008291.54835751</v>
      </c>
      <c r="U25">
        <v>2.0224626220515999E-8</v>
      </c>
      <c r="V25">
        <v>0</v>
      </c>
      <c r="W25">
        <v>1.59698126539881E-8</v>
      </c>
      <c r="X25">
        <v>5.4305126817285398E-8</v>
      </c>
      <c r="AA25" s="3"/>
    </row>
    <row r="26" spans="14:27" x14ac:dyDescent="0.25">
      <c r="N26" t="s">
        <v>36</v>
      </c>
      <c r="O26">
        <v>1987</v>
      </c>
      <c r="P26">
        <v>780737.31908047304</v>
      </c>
      <c r="Q26">
        <v>851134.59856892901</v>
      </c>
      <c r="R26">
        <v>4.2166935507772501E-8</v>
      </c>
      <c r="S26">
        <v>3.11040645777601E-8</v>
      </c>
      <c r="T26">
        <v>767481.15495600202</v>
      </c>
      <c r="U26">
        <v>9.2632597133270593E-9</v>
      </c>
      <c r="V26">
        <v>0</v>
      </c>
      <c r="W26">
        <v>2.2989960777635898E-8</v>
      </c>
      <c r="X26">
        <v>1.13997439818948E-7</v>
      </c>
      <c r="AA26" s="3"/>
    </row>
    <row r="27" spans="14:27" x14ac:dyDescent="0.25">
      <c r="N27" t="s">
        <v>36</v>
      </c>
      <c r="O27">
        <v>1988</v>
      </c>
      <c r="P27">
        <v>851134.59856892901</v>
      </c>
      <c r="Q27">
        <v>1379369.7665329501</v>
      </c>
      <c r="R27">
        <v>6814.9115635197004</v>
      </c>
      <c r="S27">
        <v>403722.28802238498</v>
      </c>
      <c r="T27">
        <v>434065.17230691999</v>
      </c>
      <c r="U27">
        <v>4.6068045833226402E-9</v>
      </c>
      <c r="V27">
        <v>1.18251687032876E-7</v>
      </c>
      <c r="W27">
        <v>8.1492940204979003E-8</v>
      </c>
      <c r="X27">
        <v>2.43322425082375E-8</v>
      </c>
      <c r="AA27" s="3"/>
    </row>
    <row r="28" spans="14:27" x14ac:dyDescent="0.25">
      <c r="N28" t="s">
        <v>36</v>
      </c>
      <c r="O28">
        <v>1989</v>
      </c>
      <c r="P28">
        <v>1379369.7665329501</v>
      </c>
      <c r="Q28">
        <v>1591425.18648978</v>
      </c>
      <c r="R28">
        <v>1.9735611754795301E-7</v>
      </c>
      <c r="S28">
        <v>86570.426806624804</v>
      </c>
      <c r="T28">
        <v>1250869.72502813</v>
      </c>
      <c r="U28">
        <v>9.7919131669176804E-9</v>
      </c>
      <c r="V28">
        <v>2.9022958473262501E-8</v>
      </c>
      <c r="W28">
        <v>4.3130344467206797E-8</v>
      </c>
      <c r="X28">
        <v>1247.1611182916999</v>
      </c>
      <c r="AA28" s="3"/>
    </row>
    <row r="29" spans="14:27" x14ac:dyDescent="0.25">
      <c r="N29" t="s">
        <v>36</v>
      </c>
      <c r="O29">
        <v>1990</v>
      </c>
      <c r="P29">
        <v>1591425.18648978</v>
      </c>
      <c r="Q29">
        <v>1684654.8706050799</v>
      </c>
      <c r="R29">
        <v>1.33140910640605E-8</v>
      </c>
      <c r="S29">
        <v>9.3348146005003394E-8</v>
      </c>
      <c r="T29">
        <v>792074.18183056498</v>
      </c>
      <c r="U29">
        <v>25116.476535758698</v>
      </c>
      <c r="V29">
        <v>3.9942273188081898E-8</v>
      </c>
      <c r="W29">
        <v>1.1314926788431E-8</v>
      </c>
      <c r="X29">
        <v>772146.24266868504</v>
      </c>
      <c r="AA29" s="3"/>
    </row>
    <row r="30" spans="14:27" x14ac:dyDescent="0.25">
      <c r="N30" t="s">
        <v>36</v>
      </c>
      <c r="O30">
        <v>1991</v>
      </c>
      <c r="P30">
        <v>1684654.8706050799</v>
      </c>
      <c r="Q30">
        <v>1461638.5858147</v>
      </c>
      <c r="R30">
        <v>0</v>
      </c>
      <c r="S30">
        <v>2.6968708957824699E-8</v>
      </c>
      <c r="T30">
        <v>954824.07969028596</v>
      </c>
      <c r="U30">
        <v>1.64782411877803E-8</v>
      </c>
      <c r="V30">
        <v>3.4868555619017303E-8</v>
      </c>
      <c r="W30">
        <v>1.3484354483884701E-7</v>
      </c>
      <c r="X30">
        <v>720017.36392479902</v>
      </c>
      <c r="AA30" s="3"/>
    </row>
    <row r="31" spans="14:27" x14ac:dyDescent="0.25">
      <c r="N31" t="s">
        <v>36</v>
      </c>
      <c r="O31">
        <v>1992</v>
      </c>
      <c r="P31">
        <v>1461638.5858147</v>
      </c>
      <c r="Q31">
        <v>2451734.9146045898</v>
      </c>
      <c r="R31">
        <v>0</v>
      </c>
      <c r="S31">
        <v>9.5060808767440803E-9</v>
      </c>
      <c r="T31">
        <v>394531.99466867198</v>
      </c>
      <c r="U31">
        <v>1.7170074589755101E-7</v>
      </c>
      <c r="V31">
        <v>9.6676899361060596E-9</v>
      </c>
      <c r="W31">
        <v>1.18826011011931E-8</v>
      </c>
      <c r="X31">
        <v>1066241.36924701</v>
      </c>
      <c r="AA31" s="3"/>
    </row>
    <row r="32" spans="14:27" x14ac:dyDescent="0.25">
      <c r="N32" t="s">
        <v>36</v>
      </c>
      <c r="O32">
        <v>1993</v>
      </c>
      <c r="P32">
        <v>2451734.9146045898</v>
      </c>
      <c r="Q32">
        <v>2062023.39943197</v>
      </c>
      <c r="R32">
        <v>100366.256665957</v>
      </c>
      <c r="S32">
        <v>712704.84194484504</v>
      </c>
      <c r="T32">
        <v>638576.41479876405</v>
      </c>
      <c r="U32">
        <v>1.07072596161112E-8</v>
      </c>
      <c r="V32">
        <v>7.71666475425494E-8</v>
      </c>
      <c r="W32">
        <v>615410.93775841803</v>
      </c>
      <c r="X32">
        <v>374484.40626835101</v>
      </c>
      <c r="AA32" s="3"/>
    </row>
    <row r="33" spans="2:28" x14ac:dyDescent="0.25">
      <c r="N33" t="s">
        <v>36</v>
      </c>
      <c r="O33">
        <v>1994</v>
      </c>
      <c r="P33">
        <v>2062023.39943197</v>
      </c>
      <c r="Q33">
        <v>2198777.94068358</v>
      </c>
      <c r="R33">
        <v>23838.2984895964</v>
      </c>
      <c r="S33">
        <v>3.4672803610928299E-8</v>
      </c>
      <c r="T33">
        <v>1322636.5321448499</v>
      </c>
      <c r="U33">
        <v>19833.513533182399</v>
      </c>
      <c r="V33">
        <v>5.0641799801334299E-8</v>
      </c>
      <c r="W33">
        <v>691211.909936563</v>
      </c>
      <c r="X33">
        <v>1.37400706340816E-8</v>
      </c>
      <c r="AA33" s="3"/>
    </row>
    <row r="34" spans="2:28" x14ac:dyDescent="0.25">
      <c r="B34" t="s">
        <v>80</v>
      </c>
      <c r="N34" t="s">
        <v>36</v>
      </c>
      <c r="O34">
        <v>1995</v>
      </c>
      <c r="P34">
        <v>2198777.94068358</v>
      </c>
      <c r="Q34">
        <v>2383541.7351381201</v>
      </c>
      <c r="R34">
        <v>0</v>
      </c>
      <c r="S34">
        <v>1012274.36267232</v>
      </c>
      <c r="T34">
        <v>1174114.7612811101</v>
      </c>
      <c r="U34">
        <v>12148.054254594599</v>
      </c>
      <c r="V34">
        <v>3.2912715984560501E-7</v>
      </c>
      <c r="W34">
        <v>1.75824998710406E-7</v>
      </c>
      <c r="X34">
        <v>4.4917684520349598E-6</v>
      </c>
      <c r="AA34" s="3"/>
    </row>
    <row r="35" spans="2:28" x14ac:dyDescent="0.25">
      <c r="C35" t="s">
        <v>55</v>
      </c>
      <c r="N35" t="s">
        <v>36</v>
      </c>
      <c r="O35">
        <v>1996</v>
      </c>
      <c r="P35">
        <v>2383541.7351381201</v>
      </c>
      <c r="Q35">
        <v>814336.19779917598</v>
      </c>
      <c r="R35">
        <v>3.0119722311937001E-8</v>
      </c>
      <c r="S35">
        <v>3.1092999113827797E-8</v>
      </c>
      <c r="T35">
        <v>2341905.2647526301</v>
      </c>
      <c r="U35">
        <v>4214.6110007162797</v>
      </c>
      <c r="V35">
        <v>1.1713225348575101E-8</v>
      </c>
      <c r="W35">
        <v>8.1823681864634093E-9</v>
      </c>
      <c r="X35">
        <v>1.4719239892155201E-8</v>
      </c>
      <c r="AA35" s="3"/>
    </row>
    <row r="36" spans="2:28" x14ac:dyDescent="0.25">
      <c r="C36" t="s">
        <v>54</v>
      </c>
      <c r="N36" t="s">
        <v>36</v>
      </c>
      <c r="O36">
        <v>1997</v>
      </c>
      <c r="P36">
        <v>814336.19779917598</v>
      </c>
      <c r="Q36">
        <v>1185591.3031894399</v>
      </c>
      <c r="R36">
        <v>593413.38258772704</v>
      </c>
      <c r="S36">
        <v>1463.5390141728899</v>
      </c>
      <c r="T36">
        <v>150356.31565366499</v>
      </c>
      <c r="U36">
        <v>3.8004956762627299E-3</v>
      </c>
      <c r="V36">
        <v>0</v>
      </c>
      <c r="W36">
        <v>2.8574057230692901E-3</v>
      </c>
      <c r="X36">
        <v>53630.107226633299</v>
      </c>
      <c r="AA36" s="3"/>
    </row>
    <row r="37" spans="2:28" x14ac:dyDescent="0.25">
      <c r="C37" t="s">
        <v>56</v>
      </c>
      <c r="G37">
        <v>0.43</v>
      </c>
      <c r="N37" t="s">
        <v>36</v>
      </c>
      <c r="O37">
        <v>1998</v>
      </c>
      <c r="P37">
        <v>1185591.3031894399</v>
      </c>
      <c r="Q37">
        <v>3028936.64962732</v>
      </c>
      <c r="R37">
        <v>0</v>
      </c>
      <c r="S37">
        <v>9.6027992923939597E-8</v>
      </c>
      <c r="T37">
        <v>957262.24129181798</v>
      </c>
      <c r="U37">
        <v>8.5813144097725899E-9</v>
      </c>
      <c r="V37">
        <v>4.4689057059324598E-8</v>
      </c>
      <c r="W37">
        <v>226712.78312294901</v>
      </c>
      <c r="X37">
        <v>1.17343086167266E-8</v>
      </c>
      <c r="AA37" s="3"/>
    </row>
    <row r="38" spans="2:28" x14ac:dyDescent="0.25">
      <c r="D38" t="s">
        <v>57</v>
      </c>
      <c r="N38" t="s">
        <v>36</v>
      </c>
      <c r="O38">
        <v>1999</v>
      </c>
      <c r="P38">
        <v>3028936.64962732</v>
      </c>
      <c r="Q38">
        <v>2189169.9536476801</v>
      </c>
      <c r="R38">
        <v>0</v>
      </c>
      <c r="S38">
        <v>2028132.49256904</v>
      </c>
      <c r="T38">
        <v>688616.32885284303</v>
      </c>
      <c r="U38">
        <v>38.875846981648401</v>
      </c>
      <c r="V38">
        <v>3.53231658567199E-9</v>
      </c>
      <c r="W38">
        <v>1106.66577731393</v>
      </c>
      <c r="X38">
        <v>311042.28658112697</v>
      </c>
      <c r="AA38" s="3"/>
    </row>
    <row r="39" spans="2:28" x14ac:dyDescent="0.25">
      <c r="N39" t="s">
        <v>36</v>
      </c>
      <c r="O39">
        <v>2000</v>
      </c>
      <c r="P39">
        <v>2189169.9536476801</v>
      </c>
      <c r="Q39">
        <v>1186912.5549520601</v>
      </c>
      <c r="R39">
        <v>5994.0532323287298</v>
      </c>
      <c r="S39">
        <v>40387.3104103675</v>
      </c>
      <c r="T39">
        <v>1861831.5607410399</v>
      </c>
      <c r="U39">
        <v>11052.978760682599</v>
      </c>
      <c r="V39">
        <v>0</v>
      </c>
      <c r="W39">
        <v>1922.91169605244</v>
      </c>
      <c r="X39">
        <v>259857.14084481701</v>
      </c>
      <c r="AA39" s="3"/>
    </row>
    <row r="40" spans="2:28" x14ac:dyDescent="0.25">
      <c r="N40" t="s">
        <v>36</v>
      </c>
      <c r="O40">
        <v>2001</v>
      </c>
      <c r="P40">
        <v>1186912.5549520601</v>
      </c>
      <c r="Q40">
        <v>941300.53276682703</v>
      </c>
      <c r="R40">
        <v>11639.277607628799</v>
      </c>
      <c r="S40">
        <v>1871.3870317861099</v>
      </c>
      <c r="T40">
        <v>1167710.2161441599</v>
      </c>
      <c r="U40">
        <v>974.45005206285305</v>
      </c>
      <c r="V40">
        <v>11.0732961268463</v>
      </c>
      <c r="W40">
        <v>1162.6960848533299</v>
      </c>
      <c r="X40">
        <v>3421.6484789015599</v>
      </c>
      <c r="AA40" s="3"/>
    </row>
    <row r="41" spans="2:28" x14ac:dyDescent="0.25">
      <c r="N41" t="s">
        <v>36</v>
      </c>
      <c r="O41">
        <v>2002</v>
      </c>
      <c r="P41">
        <v>941300.53276682703</v>
      </c>
      <c r="Q41">
        <v>4157797.3451392301</v>
      </c>
      <c r="R41">
        <v>7.4594738344762596E-8</v>
      </c>
      <c r="S41">
        <v>9903.0144088112993</v>
      </c>
      <c r="T41">
        <v>625825.29588940099</v>
      </c>
      <c r="U41">
        <v>204767.56432058799</v>
      </c>
      <c r="V41">
        <v>8095.7628824584399</v>
      </c>
      <c r="W41">
        <v>85372.128452352394</v>
      </c>
      <c r="X41">
        <v>7234.1169085940901</v>
      </c>
      <c r="AA41" s="3"/>
    </row>
    <row r="42" spans="2:28" x14ac:dyDescent="0.25">
      <c r="N42" t="s">
        <v>36</v>
      </c>
      <c r="O42">
        <v>2003</v>
      </c>
      <c r="P42">
        <v>4157797.3451392301</v>
      </c>
      <c r="Q42">
        <v>7525949.1367229596</v>
      </c>
      <c r="R42">
        <v>2051.16774657631</v>
      </c>
      <c r="S42">
        <v>802308.79682670801</v>
      </c>
      <c r="T42">
        <v>2422101.5669849399</v>
      </c>
      <c r="U42">
        <v>41421.523842009301</v>
      </c>
      <c r="V42">
        <v>47.012387864672398</v>
      </c>
      <c r="W42">
        <v>269435.09362689801</v>
      </c>
      <c r="X42">
        <v>620197.12178491906</v>
      </c>
      <c r="AA42" t="s">
        <v>58</v>
      </c>
      <c r="AB42" s="3"/>
    </row>
    <row r="43" spans="2:28" x14ac:dyDescent="0.25">
      <c r="N43" t="s">
        <v>36</v>
      </c>
      <c r="O43">
        <v>2004</v>
      </c>
      <c r="P43">
        <v>7525949.1367229596</v>
      </c>
      <c r="Q43">
        <v>5224715.57924587</v>
      </c>
      <c r="R43">
        <v>39954.212873833501</v>
      </c>
      <c r="S43">
        <v>5559714.5741176996</v>
      </c>
      <c r="T43">
        <v>1213013.1341530399</v>
      </c>
      <c r="U43">
        <v>84.949876028747994</v>
      </c>
      <c r="V43">
        <v>3.8618757322482898E-9</v>
      </c>
      <c r="W43">
        <v>646231.01050435298</v>
      </c>
      <c r="X43">
        <v>56520.484349160302</v>
      </c>
      <c r="Z43">
        <f t="shared" ref="Z43:Z63" si="0">LN(T43/S42)</f>
        <v>0.41336916950159558</v>
      </c>
      <c r="AA43">
        <v>2.8748315578692294</v>
      </c>
      <c r="AB43" s="3"/>
    </row>
    <row r="44" spans="2:28" x14ac:dyDescent="0.25">
      <c r="N44" t="s">
        <v>36</v>
      </c>
      <c r="O44">
        <v>2005</v>
      </c>
      <c r="P44">
        <v>5224715.57924587</v>
      </c>
      <c r="Q44">
        <v>3342878.9177765902</v>
      </c>
      <c r="R44">
        <v>14.675832749492701</v>
      </c>
      <c r="S44">
        <v>127914.74648942699</v>
      </c>
      <c r="T44">
        <v>4007257.5700709601</v>
      </c>
      <c r="U44">
        <v>277.28435223196402</v>
      </c>
      <c r="V44">
        <v>17.8963723393896</v>
      </c>
      <c r="W44">
        <v>34671.473962391203</v>
      </c>
      <c r="X44">
        <v>1053967.2242004599</v>
      </c>
      <c r="Z44">
        <f t="shared" si="0"/>
        <v>-0.32743966173860617</v>
      </c>
      <c r="AA44">
        <v>1.9076068417692387</v>
      </c>
      <c r="AB44" s="3"/>
    </row>
    <row r="45" spans="2:28" x14ac:dyDescent="0.25">
      <c r="N45" t="s">
        <v>36</v>
      </c>
      <c r="O45">
        <v>2006</v>
      </c>
      <c r="P45">
        <v>3342878.9177765902</v>
      </c>
      <c r="Q45">
        <v>4771232.6823479496</v>
      </c>
      <c r="R45">
        <v>2.6908225396372699E-9</v>
      </c>
      <c r="S45">
        <v>1774631.8424627001</v>
      </c>
      <c r="T45">
        <v>1366722.7940110201</v>
      </c>
      <c r="U45">
        <v>31485.865886474301</v>
      </c>
      <c r="V45">
        <v>2.6908225396372699E-9</v>
      </c>
      <c r="W45">
        <v>37516.649654499401</v>
      </c>
      <c r="X45">
        <v>115780.485602792</v>
      </c>
      <c r="Z45">
        <f t="shared" si="0"/>
        <v>2.3688070330064863</v>
      </c>
      <c r="AA45">
        <v>2.2880968023692252</v>
      </c>
      <c r="AB45" s="3"/>
    </row>
    <row r="46" spans="2:28" x14ac:dyDescent="0.25">
      <c r="N46" t="s">
        <v>36</v>
      </c>
      <c r="O46">
        <v>2007</v>
      </c>
      <c r="P46">
        <v>4771232.6823479496</v>
      </c>
      <c r="Q46">
        <v>4706011.4554488799</v>
      </c>
      <c r="R46">
        <v>1822.4754486280899</v>
      </c>
      <c r="S46">
        <v>2760468.6493307701</v>
      </c>
      <c r="T46">
        <v>1836230.7495599</v>
      </c>
      <c r="U46">
        <v>12340.6681596462</v>
      </c>
      <c r="V46">
        <v>3.2836645516849202E-9</v>
      </c>
      <c r="W46">
        <v>67960.439648040599</v>
      </c>
      <c r="X46">
        <v>92409.700200949897</v>
      </c>
      <c r="Z46">
        <f t="shared" si="0"/>
        <v>3.4121976172015636E-2</v>
      </c>
      <c r="AA46">
        <v>1.3046613783592229</v>
      </c>
      <c r="AB46" s="3"/>
    </row>
    <row r="47" spans="2:28" x14ac:dyDescent="0.25">
      <c r="N47" t="s">
        <v>36</v>
      </c>
      <c r="O47">
        <v>2008</v>
      </c>
      <c r="P47">
        <v>4706011.4554488799</v>
      </c>
      <c r="Q47">
        <v>2369159.9284568802</v>
      </c>
      <c r="R47">
        <v>3.3137610944095299E-9</v>
      </c>
      <c r="S47">
        <v>860687.90830501996</v>
      </c>
      <c r="T47">
        <v>3797307.2641897802</v>
      </c>
      <c r="U47">
        <v>4217.8321262733398</v>
      </c>
      <c r="V47">
        <v>3.3137610944095299E-9</v>
      </c>
      <c r="W47">
        <v>5381.4814888645296</v>
      </c>
      <c r="X47">
        <v>38416.969338911498</v>
      </c>
      <c r="Z47">
        <f t="shared" si="0"/>
        <v>0.31889173506263158</v>
      </c>
      <c r="AA47">
        <v>-0.5079246517307725</v>
      </c>
      <c r="AB47" s="3"/>
    </row>
    <row r="48" spans="2:28" x14ac:dyDescent="0.25">
      <c r="N48" t="s">
        <v>36</v>
      </c>
      <c r="O48">
        <v>2009</v>
      </c>
      <c r="P48">
        <v>2369159.9284568802</v>
      </c>
      <c r="Q48">
        <v>2815554.2563738301</v>
      </c>
      <c r="R48">
        <v>1340.20655608377</v>
      </c>
      <c r="S48">
        <v>741790.31261922698</v>
      </c>
      <c r="T48">
        <v>1378015.3680670301</v>
      </c>
      <c r="U48">
        <v>116853.80505881899</v>
      </c>
      <c r="V48">
        <v>3.2871775560735499E-9</v>
      </c>
      <c r="W48">
        <v>109723.987646765</v>
      </c>
      <c r="X48">
        <v>21436.248508950201</v>
      </c>
      <c r="Z48">
        <f t="shared" si="0"/>
        <v>0.47066764107356213</v>
      </c>
      <c r="AA48">
        <v>2.1628221249392339</v>
      </c>
      <c r="AB48" s="3"/>
    </row>
    <row r="49" spans="14:28" x14ac:dyDescent="0.25">
      <c r="N49" t="s">
        <v>36</v>
      </c>
      <c r="O49">
        <v>2010</v>
      </c>
      <c r="P49">
        <v>2815554.2563738301</v>
      </c>
      <c r="Q49">
        <v>2249301.6714230999</v>
      </c>
      <c r="R49">
        <v>1625.2558897767599</v>
      </c>
      <c r="S49">
        <v>666876.14270274702</v>
      </c>
      <c r="T49">
        <v>1855297.3901086999</v>
      </c>
      <c r="U49">
        <v>15868.2069265275</v>
      </c>
      <c r="V49">
        <v>3.12613983449751E-9</v>
      </c>
      <c r="W49">
        <v>127545.81053187999</v>
      </c>
      <c r="X49">
        <v>148341.450214179</v>
      </c>
      <c r="Z49">
        <f t="shared" si="0"/>
        <v>0.91673367462889965</v>
      </c>
      <c r="AA49">
        <v>2.2741382218892316</v>
      </c>
      <c r="AB49" s="3"/>
    </row>
    <row r="50" spans="14:28" x14ac:dyDescent="0.25">
      <c r="N50" t="s">
        <v>36</v>
      </c>
      <c r="O50">
        <v>2011</v>
      </c>
      <c r="P50">
        <v>2249301.6714230999</v>
      </c>
      <c r="Q50">
        <v>2227427.3991779098</v>
      </c>
      <c r="R50">
        <v>827.06982788781397</v>
      </c>
      <c r="S50">
        <v>500487.02540779201</v>
      </c>
      <c r="T50">
        <v>1577882.4304971399</v>
      </c>
      <c r="U50">
        <v>7216.0269029819901</v>
      </c>
      <c r="V50">
        <v>2.5678017202957501E-9</v>
      </c>
      <c r="W50">
        <v>54790.960207699201</v>
      </c>
      <c r="X50">
        <v>108098.158579582</v>
      </c>
      <c r="Z50">
        <f t="shared" si="0"/>
        <v>0.86123465766858176</v>
      </c>
      <c r="AA50">
        <v>3.1445083440692292</v>
      </c>
      <c r="AB50" s="3"/>
    </row>
    <row r="51" spans="14:28" x14ac:dyDescent="0.25">
      <c r="N51" t="s">
        <v>36</v>
      </c>
      <c r="O51">
        <v>2012</v>
      </c>
      <c r="P51">
        <v>2227427.3991779098</v>
      </c>
      <c r="Q51">
        <v>1930231.20777954</v>
      </c>
      <c r="R51">
        <v>0</v>
      </c>
      <c r="S51">
        <v>507010.23989482899</v>
      </c>
      <c r="T51">
        <v>1099434.1426084701</v>
      </c>
      <c r="U51">
        <v>623.63133065409295</v>
      </c>
      <c r="V51">
        <v>2.8638726851505198E-9</v>
      </c>
      <c r="W51">
        <v>481557.63723259</v>
      </c>
      <c r="X51">
        <v>138224.73906025299</v>
      </c>
      <c r="Z51">
        <f t="shared" si="0"/>
        <v>0.78696923546066722</v>
      </c>
      <c r="AA51">
        <v>2.8559780762592273</v>
      </c>
      <c r="AB51" s="3"/>
    </row>
    <row r="52" spans="14:28" x14ac:dyDescent="0.25">
      <c r="N52" t="s">
        <v>36</v>
      </c>
      <c r="O52">
        <v>2013</v>
      </c>
      <c r="P52">
        <v>1930231.20777954</v>
      </c>
      <c r="Q52">
        <v>1621056.34954884</v>
      </c>
      <c r="R52">
        <v>1.7679138243707999E-8</v>
      </c>
      <c r="S52">
        <v>461079.56902672799</v>
      </c>
      <c r="T52">
        <v>1252746.0009139399</v>
      </c>
      <c r="U52">
        <v>258.78064353197402</v>
      </c>
      <c r="V52">
        <v>172.52040172291899</v>
      </c>
      <c r="W52">
        <v>89671.574437233197</v>
      </c>
      <c r="X52">
        <v>126216.502114517</v>
      </c>
      <c r="Z52">
        <f t="shared" si="0"/>
        <v>0.90456202117038498</v>
      </c>
      <c r="AA52">
        <v>2.1367981933692386</v>
      </c>
      <c r="AB52" s="3"/>
    </row>
    <row r="53" spans="14:28" x14ac:dyDescent="0.25">
      <c r="N53" t="s">
        <v>36</v>
      </c>
      <c r="O53">
        <v>2014</v>
      </c>
      <c r="P53">
        <v>1621056.34954884</v>
      </c>
      <c r="Q53">
        <v>8244122.3534390004</v>
      </c>
      <c r="R53">
        <v>119.853551294052</v>
      </c>
      <c r="S53">
        <v>735455.24320706597</v>
      </c>
      <c r="T53">
        <v>693019.59541326598</v>
      </c>
      <c r="U53">
        <v>3907.4673038501801</v>
      </c>
      <c r="V53">
        <v>239.70731395070101</v>
      </c>
      <c r="W53">
        <v>117646.463620104</v>
      </c>
      <c r="X53">
        <v>70466.884198924803</v>
      </c>
      <c r="Z53">
        <f t="shared" si="0"/>
        <v>0.40748764597127796</v>
      </c>
      <c r="AA53">
        <v>2.994733051169236</v>
      </c>
      <c r="AB53" s="3"/>
    </row>
    <row r="54" spans="14:28" x14ac:dyDescent="0.25">
      <c r="N54" t="s">
        <v>36</v>
      </c>
      <c r="O54">
        <v>2015</v>
      </c>
      <c r="P54">
        <v>8244122.3534390004</v>
      </c>
      <c r="Q54">
        <v>4938142.3356476501</v>
      </c>
      <c r="R54">
        <v>39747.720164139901</v>
      </c>
      <c r="S54">
        <v>3087316.4083772399</v>
      </c>
      <c r="T54">
        <v>3182986.38969649</v>
      </c>
      <c r="U54">
        <v>848.31177898306203</v>
      </c>
      <c r="V54">
        <v>7.0954109527191694E-2</v>
      </c>
      <c r="W54">
        <v>1800823.19644013</v>
      </c>
      <c r="X54">
        <v>132394.059191204</v>
      </c>
      <c r="Z54">
        <f t="shared" si="0"/>
        <v>1.4650854653470478</v>
      </c>
      <c r="AA54">
        <v>3.3148665312692316</v>
      </c>
      <c r="AB54" s="3"/>
    </row>
    <row r="55" spans="14:28" x14ac:dyDescent="0.25">
      <c r="N55" t="s">
        <v>36</v>
      </c>
      <c r="O55">
        <v>2016</v>
      </c>
      <c r="P55">
        <v>4938142.3356476501</v>
      </c>
      <c r="Q55">
        <v>4430315.2449948899</v>
      </c>
      <c r="R55">
        <v>2701.8935558933499</v>
      </c>
      <c r="S55">
        <v>1123765.34372818</v>
      </c>
      <c r="T55">
        <v>2498861.4972953498</v>
      </c>
      <c r="U55">
        <v>12833.2777791232</v>
      </c>
      <c r="V55">
        <v>4.45836630198898E-9</v>
      </c>
      <c r="W55">
        <v>533352.51101273601</v>
      </c>
      <c r="X55">
        <v>766627.81227635301</v>
      </c>
      <c r="Z55">
        <f t="shared" si="0"/>
        <v>-0.21146701024661071</v>
      </c>
      <c r="AA55">
        <v>2.6100064923692252</v>
      </c>
      <c r="AB55" s="3"/>
    </row>
    <row r="56" spans="14:28" x14ac:dyDescent="0.25">
      <c r="N56" t="s">
        <v>36</v>
      </c>
      <c r="O56">
        <v>2017</v>
      </c>
      <c r="P56">
        <v>4430315.2449948899</v>
      </c>
      <c r="Q56">
        <v>2873549.5305123501</v>
      </c>
      <c r="R56">
        <v>68087.606334700002</v>
      </c>
      <c r="S56">
        <v>2677120.7196575999</v>
      </c>
      <c r="T56">
        <v>1614660.8434347301</v>
      </c>
      <c r="U56">
        <v>2.7506912366719498</v>
      </c>
      <c r="V56">
        <v>0</v>
      </c>
      <c r="W56">
        <v>22310.6646846369</v>
      </c>
      <c r="X56">
        <v>48130.9857687361</v>
      </c>
      <c r="Z56">
        <f t="shared" si="0"/>
        <v>0.36243996980436877</v>
      </c>
      <c r="AA56">
        <v>1.4034630548992453</v>
      </c>
      <c r="AB56" s="3"/>
    </row>
    <row r="57" spans="14:28" x14ac:dyDescent="0.25">
      <c r="N57" t="s">
        <v>36</v>
      </c>
      <c r="O57">
        <v>2018</v>
      </c>
      <c r="P57">
        <v>2873549.5305123501</v>
      </c>
      <c r="Q57">
        <v>1855135.6227310901</v>
      </c>
      <c r="R57">
        <v>2697.7931794824999</v>
      </c>
      <c r="S57">
        <v>1604307.4179976699</v>
      </c>
      <c r="T57">
        <v>1235289.7543194499</v>
      </c>
      <c r="U57">
        <v>10639.6519160961</v>
      </c>
      <c r="V57">
        <v>34.983827358828897</v>
      </c>
      <c r="W57">
        <v>3197.5298286942102</v>
      </c>
      <c r="X57">
        <v>17181.105975629998</v>
      </c>
      <c r="Z57">
        <f t="shared" si="0"/>
        <v>-0.77343629720605933</v>
      </c>
      <c r="AA57">
        <v>-3.0684870940772491E-2</v>
      </c>
      <c r="AB57" s="3"/>
    </row>
    <row r="58" spans="14:28" x14ac:dyDescent="0.25">
      <c r="N58" t="s">
        <v>36</v>
      </c>
      <c r="O58">
        <v>2019</v>
      </c>
      <c r="P58">
        <v>1855135.6227310901</v>
      </c>
      <c r="Q58">
        <v>4561207.9638651703</v>
      </c>
      <c r="R58">
        <v>4174.7281639448001</v>
      </c>
      <c r="S58">
        <v>1230186.21043933</v>
      </c>
      <c r="T58">
        <v>586590.71872316999</v>
      </c>
      <c r="U58">
        <v>457.58360688202703</v>
      </c>
      <c r="V58">
        <v>0.28460219630509898</v>
      </c>
      <c r="W58">
        <v>24204.110633895601</v>
      </c>
      <c r="X58">
        <v>9521.9670420554594</v>
      </c>
      <c r="Z58">
        <f t="shared" si="0"/>
        <v>-1.0061200929063885</v>
      </c>
      <c r="AA58">
        <v>-3.6238594620772724E-2</v>
      </c>
      <c r="AB58" s="3"/>
    </row>
    <row r="59" spans="14:28" x14ac:dyDescent="0.25">
      <c r="N59" t="s">
        <v>36</v>
      </c>
      <c r="O59">
        <v>2020</v>
      </c>
      <c r="P59">
        <v>4561207.9638651703</v>
      </c>
      <c r="Q59">
        <v>6124320.6042396696</v>
      </c>
      <c r="R59">
        <v>6736.5785698312702</v>
      </c>
      <c r="S59">
        <v>1839803.7759227799</v>
      </c>
      <c r="T59">
        <v>2693830.1041272702</v>
      </c>
      <c r="U59">
        <v>4.7279033802378503E-9</v>
      </c>
      <c r="V59">
        <v>4.7284412253695403E-9</v>
      </c>
      <c r="W59">
        <v>19769.619025591899</v>
      </c>
      <c r="X59">
        <v>1067.8862196785899</v>
      </c>
      <c r="Z59">
        <f t="shared" si="0"/>
        <v>0.78379846293178257</v>
      </c>
      <c r="AA59">
        <v>0.6355308827592252</v>
      </c>
      <c r="AB59" s="3"/>
    </row>
    <row r="60" spans="14:28" x14ac:dyDescent="0.25">
      <c r="N60" t="s">
        <v>36</v>
      </c>
      <c r="O60">
        <v>2021</v>
      </c>
      <c r="P60">
        <v>6124320.6042396696</v>
      </c>
      <c r="Q60">
        <v>4645074.1605213201</v>
      </c>
      <c r="R60">
        <v>2.01168508556661E-4</v>
      </c>
      <c r="S60">
        <v>2324175.5808669301</v>
      </c>
      <c r="T60">
        <v>2700670.9553842102</v>
      </c>
      <c r="U60">
        <v>22635.2479337718</v>
      </c>
      <c r="V60">
        <v>1400.8617931167601</v>
      </c>
      <c r="W60">
        <v>359397.01576594601</v>
      </c>
      <c r="X60">
        <v>716039.90352721699</v>
      </c>
      <c r="Z60">
        <f t="shared" si="0"/>
        <v>0.38384132171908769</v>
      </c>
      <c r="AA60">
        <v>2.0574152523692271</v>
      </c>
      <c r="AB60" s="3"/>
    </row>
    <row r="61" spans="14:28" x14ac:dyDescent="0.25">
      <c r="N61" t="s">
        <v>36</v>
      </c>
      <c r="O61">
        <v>2022</v>
      </c>
      <c r="P61">
        <v>4645074.1605213201</v>
      </c>
      <c r="Q61">
        <v>2539456.19806688</v>
      </c>
      <c r="R61">
        <v>8045.0439207613699</v>
      </c>
      <c r="S61">
        <v>1106969.1845607299</v>
      </c>
      <c r="T61">
        <v>2929533.3492246401</v>
      </c>
      <c r="U61">
        <v>8130.4320492664401</v>
      </c>
      <c r="V61">
        <v>1.04248478570975E-6</v>
      </c>
      <c r="W61">
        <v>420868.00330782298</v>
      </c>
      <c r="X61">
        <v>165740.13911615399</v>
      </c>
      <c r="Z61">
        <f t="shared" si="0"/>
        <v>0.23147775658511094</v>
      </c>
      <c r="AA61">
        <v>0.16846339816923617</v>
      </c>
      <c r="AB61" s="3"/>
    </row>
    <row r="62" spans="14:28" x14ac:dyDescent="0.25">
      <c r="N62" t="s">
        <v>36</v>
      </c>
      <c r="O62">
        <v>2023</v>
      </c>
      <c r="P62">
        <v>2539456.19806688</v>
      </c>
      <c r="Q62">
        <v>4335434.7163846698</v>
      </c>
      <c r="R62">
        <v>1427.3332173873</v>
      </c>
      <c r="S62">
        <v>474456.84494400799</v>
      </c>
      <c r="T62">
        <v>1167190.0771777099</v>
      </c>
      <c r="U62">
        <v>6488.24452799558</v>
      </c>
      <c r="V62">
        <v>9.2922072572112195E-5</v>
      </c>
      <c r="W62">
        <v>46741.778986737198</v>
      </c>
      <c r="X62">
        <v>843127.31570865505</v>
      </c>
      <c r="Z62">
        <f t="shared" si="0"/>
        <v>5.29734003531993E-2</v>
      </c>
      <c r="AA62">
        <v>0.94188844476923839</v>
      </c>
      <c r="AB62" s="3"/>
    </row>
    <row r="63" spans="14:28" x14ac:dyDescent="0.25">
      <c r="N63" t="s">
        <v>36</v>
      </c>
      <c r="O63">
        <v>2024</v>
      </c>
      <c r="P63">
        <v>4335434.7163846698</v>
      </c>
      <c r="R63">
        <v>1.5504811501526399E-4</v>
      </c>
      <c r="S63">
        <v>3467864.0640692799</v>
      </c>
      <c r="T63">
        <v>556513.43957202602</v>
      </c>
      <c r="U63">
        <v>5269.3748180126904</v>
      </c>
      <c r="V63">
        <v>1.5239285303330499E-4</v>
      </c>
      <c r="W63">
        <v>283329.83107897302</v>
      </c>
      <c r="X63">
        <v>21962.5521945236</v>
      </c>
      <c r="Z63">
        <f t="shared" si="0"/>
        <v>0.15952065516912481</v>
      </c>
      <c r="AA63">
        <v>3.013470621229243</v>
      </c>
      <c r="AB63" s="3"/>
    </row>
    <row r="64" spans="14:28" x14ac:dyDescent="0.25">
      <c r="O64">
        <v>2025</v>
      </c>
      <c r="Z64" s="1">
        <f>P81+O81*AA64</f>
        <v>1.1950988982811814</v>
      </c>
      <c r="AA64">
        <v>4.3843827266992443</v>
      </c>
    </row>
    <row r="65" spans="26:26" x14ac:dyDescent="0.25">
      <c r="Z65" t="s">
        <v>78</v>
      </c>
    </row>
    <row r="81" spans="15:25" x14ac:dyDescent="0.25">
      <c r="O81">
        <v>0.30230000000000001</v>
      </c>
      <c r="P81">
        <v>-0.1303</v>
      </c>
    </row>
    <row r="82" spans="15:25" x14ac:dyDescent="0.25">
      <c r="O82" t="s">
        <v>59</v>
      </c>
      <c r="T82">
        <v>1.1950988982811814</v>
      </c>
    </row>
    <row r="83" spans="15:25" x14ac:dyDescent="0.25">
      <c r="O83" t="s">
        <v>60</v>
      </c>
      <c r="P83">
        <v>3467864.0640692799</v>
      </c>
      <c r="Q83" t="s">
        <v>61</v>
      </c>
      <c r="S83">
        <f>(LN(P83)+Z64)</f>
        <v>16.254148317183663</v>
      </c>
      <c r="T83" t="s">
        <v>62</v>
      </c>
      <c r="U83">
        <f>EXP(S83)</f>
        <v>11457422.339245765</v>
      </c>
      <c r="W83" t="s">
        <v>63</v>
      </c>
    </row>
    <row r="84" spans="15:25" x14ac:dyDescent="0.25">
      <c r="W84" t="s">
        <v>64</v>
      </c>
    </row>
    <row r="85" spans="15:25" x14ac:dyDescent="0.25">
      <c r="O85" t="s">
        <v>65</v>
      </c>
      <c r="W85">
        <f>LN(2880000)</f>
        <v>14.873300852112129</v>
      </c>
    </row>
    <row r="86" spans="15:25" x14ac:dyDescent="0.25">
      <c r="P86">
        <v>3467864.0640692799</v>
      </c>
      <c r="Q86" t="s">
        <v>61</v>
      </c>
      <c r="S86">
        <f>1+LN(P86)</f>
        <v>16.059049418902482</v>
      </c>
      <c r="T86" t="s">
        <v>62</v>
      </c>
      <c r="U86">
        <f>EXP(S86)</f>
        <v>9426631.8689256646</v>
      </c>
    </row>
    <row r="87" spans="15:25" x14ac:dyDescent="0.25">
      <c r="Q87" t="s">
        <v>66</v>
      </c>
    </row>
    <row r="89" spans="15:25" x14ac:dyDescent="0.25">
      <c r="O89" t="s">
        <v>67</v>
      </c>
    </row>
    <row r="90" spans="15:25" x14ac:dyDescent="0.25">
      <c r="P90">
        <v>3467864.0640692799</v>
      </c>
      <c r="Q90" t="s">
        <v>61</v>
      </c>
      <c r="S90">
        <f>0.5+LN(P90)</f>
        <v>15.559049418902482</v>
      </c>
      <c r="T90" t="s">
        <v>62</v>
      </c>
      <c r="U90">
        <f>EXP(S90)</f>
        <v>5717541.2463276172</v>
      </c>
      <c r="V90" t="s">
        <v>68</v>
      </c>
    </row>
    <row r="91" spans="15:25" x14ac:dyDescent="0.25">
      <c r="V91" t="s">
        <v>69</v>
      </c>
    </row>
    <row r="93" spans="15:25" x14ac:dyDescent="0.25">
      <c r="U93" t="s">
        <v>76</v>
      </c>
      <c r="X93">
        <v>4007257.5700709601</v>
      </c>
      <c r="Y93">
        <f>LN(X93)</f>
        <v>15.203617667580101</v>
      </c>
    </row>
    <row r="94" spans="15:25" x14ac:dyDescent="0.25">
      <c r="V94" t="s">
        <v>77</v>
      </c>
    </row>
    <row r="95" spans="15:25" x14ac:dyDescent="0.25">
      <c r="O95" t="s">
        <v>70</v>
      </c>
    </row>
    <row r="96" spans="15:25" x14ac:dyDescent="0.25">
      <c r="P96" t="s">
        <v>71</v>
      </c>
      <c r="R96">
        <v>2498861.4972953498</v>
      </c>
      <c r="S96" t="s">
        <v>72</v>
      </c>
      <c r="T96">
        <v>3087316.4083772399</v>
      </c>
      <c r="U96" t="s">
        <v>73</v>
      </c>
      <c r="V96" s="8">
        <f>R96/T96</f>
        <v>0.80939598238614141</v>
      </c>
    </row>
    <row r="97" spans="15:20" x14ac:dyDescent="0.25">
      <c r="P97">
        <v>3467864.0640692799</v>
      </c>
      <c r="Q97" t="s">
        <v>61</v>
      </c>
      <c r="S97">
        <f>P97*V96</f>
        <v>2806875.2409189516</v>
      </c>
      <c r="T97" t="s">
        <v>74</v>
      </c>
    </row>
    <row r="99" spans="15:20" x14ac:dyDescent="0.25">
      <c r="O99" t="s">
        <v>75</v>
      </c>
    </row>
    <row r="100" spans="15:20" x14ac:dyDescent="0.25">
      <c r="P100" s="1">
        <v>3467864.0640692799</v>
      </c>
      <c r="Q100" t="s">
        <v>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9261-ED62-429D-AFF4-7AB052E5534D}">
  <dimension ref="A1:BD123"/>
  <sheetViews>
    <sheetView topLeftCell="A80" workbookViewId="0">
      <selection activeCell="K27" sqref="K27"/>
    </sheetView>
  </sheetViews>
  <sheetFormatPr defaultRowHeight="15" x14ac:dyDescent="0.25"/>
  <cols>
    <col min="10" max="10" width="9.7109375" customWidth="1"/>
    <col min="16" max="16" width="10.5703125" bestFit="1" customWidth="1"/>
    <col min="23" max="23" width="11.5703125" bestFit="1" customWidth="1"/>
    <col min="24" max="24" width="14.7109375" bestFit="1" customWidth="1"/>
    <col min="25" max="25" width="14.7109375" customWidth="1"/>
    <col min="26" max="26" width="13.7109375" bestFit="1" customWidth="1"/>
    <col min="27" max="28" width="14.7109375" bestFit="1" customWidth="1"/>
    <col min="29" max="29" width="15.140625" customWidth="1"/>
    <col min="30" max="30" width="12.5703125" bestFit="1" customWidth="1"/>
    <col min="31" max="32" width="14.7109375" bestFit="1" customWidth="1"/>
  </cols>
  <sheetData>
    <row r="1" spans="1:40" x14ac:dyDescent="0.25">
      <c r="A1" t="s">
        <v>81</v>
      </c>
      <c r="B1" t="s">
        <v>36</v>
      </c>
    </row>
    <row r="2" spans="1:40" x14ac:dyDescent="0.25">
      <c r="B2" s="9" t="s">
        <v>82</v>
      </c>
      <c r="C2" s="9"/>
      <c r="F2" s="1"/>
    </row>
    <row r="3" spans="1:40" x14ac:dyDescent="0.25">
      <c r="B3" s="9"/>
      <c r="C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40" x14ac:dyDescent="0.25">
      <c r="B4" s="9"/>
      <c r="C4" s="9" t="s">
        <v>83</v>
      </c>
    </row>
    <row r="5" spans="1:40" x14ac:dyDescent="0.25">
      <c r="B5" s="9" t="s">
        <v>86</v>
      </c>
      <c r="C5" s="9" t="s">
        <v>87</v>
      </c>
      <c r="D5" t="s">
        <v>88</v>
      </c>
      <c r="E5" t="s">
        <v>89</v>
      </c>
    </row>
    <row r="6" spans="1:40" x14ac:dyDescent="0.25">
      <c r="B6">
        <v>1963</v>
      </c>
      <c r="C6">
        <v>378138.28100000002</v>
      </c>
      <c r="D6">
        <f t="shared" ref="D6:D66" si="0">LN(C6)</f>
        <v>12.843015230456219</v>
      </c>
    </row>
    <row r="7" spans="1:40" x14ac:dyDescent="0.25">
      <c r="B7">
        <v>1964</v>
      </c>
      <c r="C7">
        <v>759383.0503</v>
      </c>
      <c r="D7">
        <f t="shared" si="0"/>
        <v>13.540261606672965</v>
      </c>
      <c r="E7">
        <f>D7-D6</f>
        <v>0.69724637621674646</v>
      </c>
    </row>
    <row r="8" spans="1:40" x14ac:dyDescent="0.25">
      <c r="B8">
        <v>1965</v>
      </c>
      <c r="C8">
        <v>397860.60820000002</v>
      </c>
      <c r="D8">
        <f t="shared" si="0"/>
        <v>12.89385699226823</v>
      </c>
      <c r="E8">
        <f t="shared" ref="E8:E66" si="1">D8-D7</f>
        <v>-0.64640461440473551</v>
      </c>
      <c r="Z8" t="s">
        <v>96</v>
      </c>
    </row>
    <row r="9" spans="1:40" x14ac:dyDescent="0.25">
      <c r="B9">
        <v>1966</v>
      </c>
      <c r="C9">
        <v>394077.15909999999</v>
      </c>
      <c r="D9">
        <f t="shared" si="0"/>
        <v>12.884302004386033</v>
      </c>
      <c r="E9">
        <f t="shared" si="1"/>
        <v>-9.5549878821969969E-3</v>
      </c>
      <c r="Z9" t="s">
        <v>47</v>
      </c>
      <c r="AA9" t="s">
        <v>48</v>
      </c>
      <c r="AB9" t="s">
        <v>49</v>
      </c>
      <c r="AC9" t="s">
        <v>50</v>
      </c>
      <c r="AD9" t="s">
        <v>51</v>
      </c>
      <c r="AE9" t="s">
        <v>52</v>
      </c>
      <c r="AF9" t="s">
        <v>53</v>
      </c>
    </row>
    <row r="10" spans="1:40" ht="15.75" thickBot="1" x14ac:dyDescent="0.3">
      <c r="B10">
        <v>1967</v>
      </c>
      <c r="C10">
        <v>344305.58559999999</v>
      </c>
      <c r="D10" s="4">
        <f t="shared" si="0"/>
        <v>12.749284872256306</v>
      </c>
      <c r="E10" s="4">
        <f t="shared" si="1"/>
        <v>-0.1350171321297271</v>
      </c>
      <c r="F10" s="4"/>
      <c r="G10" s="4"/>
      <c r="H10" s="4"/>
      <c r="I10" s="4"/>
      <c r="J10" s="4"/>
      <c r="Z10" t="e">
        <f t="shared" ref="Z10:AF10" si="2">CORREL($Y$50:$Y$73,R54:R77)</f>
        <v>#DIV/0!</v>
      </c>
      <c r="AA10" t="e">
        <f t="shared" si="2"/>
        <v>#DIV/0!</v>
      </c>
      <c r="AB10">
        <f>CORREL($Y$50:$Y$73,T65:T88)</f>
        <v>0.1583791808768315</v>
      </c>
      <c r="AC10" t="e">
        <f>CORREL($Y$50:$Y$73,U65:U88)</f>
        <v>#DIV/0!</v>
      </c>
      <c r="AD10" t="e">
        <f>CORREL($Y$50:$Y$73,V65:V88)</f>
        <v>#DIV/0!</v>
      </c>
      <c r="AE10">
        <f>CORREL($Y$50:$Y$73,W65:W88)</f>
        <v>0.1583791808768315</v>
      </c>
      <c r="AF10">
        <f t="shared" si="2"/>
        <v>-0.30777178520148585</v>
      </c>
    </row>
    <row r="11" spans="1:40" x14ac:dyDescent="0.25">
      <c r="B11">
        <v>1968</v>
      </c>
      <c r="C11">
        <v>314033.55739999999</v>
      </c>
      <c r="D11">
        <f t="shared" si="0"/>
        <v>12.657255129880761</v>
      </c>
      <c r="E11">
        <f t="shared" si="1"/>
        <v>-9.2029742375544288E-2</v>
      </c>
    </row>
    <row r="12" spans="1:40" x14ac:dyDescent="0.25">
      <c r="B12">
        <v>1969</v>
      </c>
      <c r="C12">
        <v>324288.95520000003</v>
      </c>
      <c r="D12">
        <f t="shared" si="0"/>
        <v>12.689390234361143</v>
      </c>
      <c r="E12">
        <f t="shared" si="1"/>
        <v>3.2135104480381926E-2</v>
      </c>
      <c r="Z12" t="s">
        <v>97</v>
      </c>
    </row>
    <row r="13" spans="1:40" x14ac:dyDescent="0.25">
      <c r="B13">
        <v>1970</v>
      </c>
      <c r="C13">
        <v>500779.51150000002</v>
      </c>
      <c r="D13">
        <f t="shared" si="0"/>
        <v>13.123921186389593</v>
      </c>
      <c r="E13">
        <f t="shared" si="1"/>
        <v>0.43453095202844949</v>
      </c>
      <c r="Z13" t="s">
        <v>98</v>
      </c>
    </row>
    <row r="14" spans="1:40" x14ac:dyDescent="0.25">
      <c r="B14">
        <v>1971</v>
      </c>
      <c r="C14">
        <v>537293.52439999999</v>
      </c>
      <c r="D14">
        <f t="shared" si="0"/>
        <v>13.194299824531871</v>
      </c>
      <c r="E14">
        <f t="shared" si="1"/>
        <v>7.0378638142278405E-2</v>
      </c>
    </row>
    <row r="15" spans="1:40" x14ac:dyDescent="0.25">
      <c r="B15">
        <v>1972</v>
      </c>
      <c r="C15">
        <v>302589.30719999998</v>
      </c>
      <c r="D15">
        <f t="shared" si="0"/>
        <v>12.620131743294333</v>
      </c>
      <c r="E15">
        <f t="shared" si="1"/>
        <v>-0.57416808123753782</v>
      </c>
      <c r="Y15" t="s">
        <v>42</v>
      </c>
      <c r="AL15" t="s">
        <v>99</v>
      </c>
    </row>
    <row r="16" spans="1:40" x14ac:dyDescent="0.25">
      <c r="B16">
        <v>1973</v>
      </c>
      <c r="C16">
        <v>63552.969369999999</v>
      </c>
      <c r="D16">
        <f t="shared" si="0"/>
        <v>11.059629000467016</v>
      </c>
      <c r="E16">
        <f t="shared" si="1"/>
        <v>-1.5605027428273175</v>
      </c>
      <c r="U16" t="s">
        <v>100</v>
      </c>
      <c r="V16" t="s">
        <v>43</v>
      </c>
      <c r="W16" t="s">
        <v>44</v>
      </c>
      <c r="X16" s="10" t="s">
        <v>45</v>
      </c>
      <c r="Y16" s="10" t="s">
        <v>46</v>
      </c>
      <c r="Z16" t="s">
        <v>47</v>
      </c>
      <c r="AA16" t="s">
        <v>48</v>
      </c>
      <c r="AB16" t="s">
        <v>49</v>
      </c>
      <c r="AC16" t="s">
        <v>50</v>
      </c>
      <c r="AD16" t="s">
        <v>51</v>
      </c>
      <c r="AE16" t="s">
        <v>52</v>
      </c>
      <c r="AF16" t="s">
        <v>53</v>
      </c>
      <c r="AI16" t="s">
        <v>48</v>
      </c>
      <c r="AJ16" t="s">
        <v>52</v>
      </c>
      <c r="AK16" t="s">
        <v>101</v>
      </c>
      <c r="AL16" t="s">
        <v>101</v>
      </c>
      <c r="AN16" t="s">
        <v>7</v>
      </c>
    </row>
    <row r="17" spans="2:51" ht="15.75" thickBot="1" x14ac:dyDescent="0.3">
      <c r="B17">
        <v>1974</v>
      </c>
      <c r="C17">
        <v>247579.7304</v>
      </c>
      <c r="D17">
        <f t="shared" si="0"/>
        <v>12.41948795214426</v>
      </c>
      <c r="E17">
        <f t="shared" si="1"/>
        <v>1.3598589516772446</v>
      </c>
      <c r="T17">
        <v>5</v>
      </c>
      <c r="U17" t="s">
        <v>102</v>
      </c>
      <c r="V17" t="s">
        <v>36</v>
      </c>
      <c r="W17" s="10">
        <v>1967</v>
      </c>
      <c r="X17" s="10">
        <v>344305.58557739703</v>
      </c>
      <c r="Y17" s="10">
        <v>314033.55737485801</v>
      </c>
      <c r="Z17" s="10">
        <v>6377.2976221262898</v>
      </c>
      <c r="AA17" s="10">
        <v>231001.909353708</v>
      </c>
      <c r="AB17" s="10">
        <v>104885.02950868401</v>
      </c>
      <c r="AC17" s="11">
        <v>1.07023568731815E-9</v>
      </c>
      <c r="AD17" s="10">
        <v>415.02338220093401</v>
      </c>
      <c r="AE17" s="10">
        <v>1626.32571067297</v>
      </c>
      <c r="AF17" s="11">
        <v>1.07349935010011E-9</v>
      </c>
      <c r="AI17">
        <v>231001.909353708</v>
      </c>
      <c r="AJ17">
        <v>1626.32571067297</v>
      </c>
      <c r="AK17">
        <f>$AO$32+$AO$33*AI17+$AO$34*AJ17</f>
        <v>1771488.0674796803</v>
      </c>
      <c r="AL17">
        <f>$AO$75*AI17+$AO$76*AJ17</f>
        <v>366154.32107129833</v>
      </c>
    </row>
    <row r="18" spans="2:51" x14ac:dyDescent="0.25">
      <c r="B18">
        <v>1975</v>
      </c>
      <c r="C18">
        <v>112656.7016</v>
      </c>
      <c r="D18">
        <f t="shared" si="0"/>
        <v>11.632100434548072</v>
      </c>
      <c r="E18">
        <f t="shared" si="1"/>
        <v>-0.78738751759618886</v>
      </c>
      <c r="T18">
        <v>6</v>
      </c>
      <c r="U18" t="s">
        <v>102</v>
      </c>
      <c r="V18" t="s">
        <v>36</v>
      </c>
      <c r="W18" s="10">
        <v>1968</v>
      </c>
      <c r="X18" s="10">
        <v>314033.55737485801</v>
      </c>
      <c r="Y18" s="10">
        <v>324288.95516926399</v>
      </c>
      <c r="Z18" s="10">
        <v>8480.0418474477192</v>
      </c>
      <c r="AA18" s="10">
        <v>97650.421548388898</v>
      </c>
      <c r="AB18" s="10">
        <v>151684.16119201499</v>
      </c>
      <c r="AC18" s="11">
        <v>8.0880332283337902E-10</v>
      </c>
      <c r="AD18" s="10">
        <v>1880.2815250495701</v>
      </c>
      <c r="AE18" s="10">
        <v>30953.023329648</v>
      </c>
      <c r="AF18" s="10">
        <v>22573.016633527801</v>
      </c>
      <c r="AI18">
        <v>97650.421548388898</v>
      </c>
      <c r="AJ18">
        <v>30953.023329648</v>
      </c>
      <c r="AK18">
        <f t="shared" ref="AK18:AK74" si="3">$AO$32+$AO$33*AI18+$AO$34*AJ18</f>
        <v>1633085.8405814276</v>
      </c>
      <c r="AL18">
        <f t="shared" ref="AL18:AL74" si="4">$AO$75*AI18+$AO$76*AJ18</f>
        <v>185135.38357163232</v>
      </c>
      <c r="AN18" s="6" t="s">
        <v>8</v>
      </c>
      <c r="AO18" s="6"/>
    </row>
    <row r="19" spans="2:51" x14ac:dyDescent="0.25">
      <c r="B19">
        <v>1976</v>
      </c>
      <c r="C19">
        <v>157449.67069999999</v>
      </c>
      <c r="D19">
        <f t="shared" si="0"/>
        <v>11.966861135069378</v>
      </c>
      <c r="E19">
        <f t="shared" si="1"/>
        <v>0.33476070052130602</v>
      </c>
      <c r="T19">
        <v>7</v>
      </c>
      <c r="U19" t="s">
        <v>102</v>
      </c>
      <c r="V19" t="s">
        <v>36</v>
      </c>
      <c r="W19" s="10">
        <v>1969</v>
      </c>
      <c r="X19" s="10">
        <v>324288.95516926399</v>
      </c>
      <c r="Y19" s="10">
        <v>500779.51142110903</v>
      </c>
      <c r="Z19" s="10">
        <v>9662.4664898059491</v>
      </c>
      <c r="AA19" s="10">
        <v>110322.958582639</v>
      </c>
      <c r="AB19" s="10">
        <v>90731.091836028994</v>
      </c>
      <c r="AC19" s="11">
        <v>2.1571068725590798E-9</v>
      </c>
      <c r="AD19" s="10">
        <v>509.92968359188001</v>
      </c>
      <c r="AE19" s="10">
        <v>112243.297590412</v>
      </c>
      <c r="AF19" s="10">
        <v>819.21098677764303</v>
      </c>
      <c r="AI19">
        <v>110322.958582639</v>
      </c>
      <c r="AJ19">
        <v>112243.297590412</v>
      </c>
      <c r="AK19">
        <f t="shared" si="3"/>
        <v>1646105.8943439575</v>
      </c>
      <c r="AL19">
        <f t="shared" si="4"/>
        <v>286656.83781537053</v>
      </c>
      <c r="AN19" t="s">
        <v>9</v>
      </c>
      <c r="AO19">
        <v>0.56584055107298636</v>
      </c>
    </row>
    <row r="20" spans="2:51" x14ac:dyDescent="0.25">
      <c r="B20">
        <v>1977</v>
      </c>
      <c r="C20">
        <v>234915.33420000001</v>
      </c>
      <c r="D20">
        <f t="shared" si="0"/>
        <v>12.366980448209864</v>
      </c>
      <c r="E20">
        <f t="shared" si="1"/>
        <v>0.4001193131404861</v>
      </c>
      <c r="T20">
        <v>8</v>
      </c>
      <c r="U20" t="s">
        <v>102</v>
      </c>
      <c r="V20" t="s">
        <v>36</v>
      </c>
      <c r="W20" s="10">
        <v>1970</v>
      </c>
      <c r="X20" s="10">
        <v>500779.51142110903</v>
      </c>
      <c r="Y20" s="10">
        <v>537293.52445327595</v>
      </c>
      <c r="Z20" s="10">
        <v>5829.7840867585001</v>
      </c>
      <c r="AA20" s="10">
        <v>304544.09366823302</v>
      </c>
      <c r="AB20" s="10">
        <v>88347.848884584804</v>
      </c>
      <c r="AC20" s="10">
        <v>0</v>
      </c>
      <c r="AD20" s="10">
        <v>0</v>
      </c>
      <c r="AE20" s="10">
        <v>29040.271876447801</v>
      </c>
      <c r="AF20" s="10">
        <v>73017.512905070806</v>
      </c>
      <c r="AI20">
        <v>304544.09366823302</v>
      </c>
      <c r="AJ20">
        <v>29040.271876447801</v>
      </c>
      <c r="AK20">
        <f t="shared" si="3"/>
        <v>1847747.020167243</v>
      </c>
      <c r="AL20">
        <f t="shared" si="4"/>
        <v>509697.41020111443</v>
      </c>
      <c r="AN20" t="s">
        <v>10</v>
      </c>
      <c r="AO20">
        <v>0.32017552923858095</v>
      </c>
      <c r="AQ20" t="s">
        <v>103</v>
      </c>
    </row>
    <row r="21" spans="2:51" x14ac:dyDescent="0.25">
      <c r="B21">
        <v>1978</v>
      </c>
      <c r="C21">
        <v>1110702.155</v>
      </c>
      <c r="D21">
        <f t="shared" si="0"/>
        <v>13.92050294537121</v>
      </c>
      <c r="E21">
        <f t="shared" si="1"/>
        <v>1.5535224971613459</v>
      </c>
      <c r="T21">
        <v>9</v>
      </c>
      <c r="U21" t="s">
        <v>102</v>
      </c>
      <c r="V21" t="s">
        <v>36</v>
      </c>
      <c r="W21" s="10">
        <v>1971</v>
      </c>
      <c r="X21" s="10">
        <v>537293.52445327595</v>
      </c>
      <c r="Y21" s="10">
        <v>302589.30717202002</v>
      </c>
      <c r="Z21" s="10">
        <v>8143.4625124798904</v>
      </c>
      <c r="AA21" s="10">
        <v>260360.126735236</v>
      </c>
      <c r="AB21" s="10">
        <v>229247.61702939999</v>
      </c>
      <c r="AC21" s="10">
        <v>5497.0603030838101</v>
      </c>
      <c r="AD21" s="10">
        <v>2325.1893646583999</v>
      </c>
      <c r="AE21" s="10">
        <v>13317.4626320725</v>
      </c>
      <c r="AF21" s="10">
        <v>17530.7969367517</v>
      </c>
      <c r="AI21">
        <v>260360.126735236</v>
      </c>
      <c r="AJ21">
        <v>13317.4626320725</v>
      </c>
      <c r="AK21">
        <f t="shared" si="3"/>
        <v>1801929.6478116687</v>
      </c>
      <c r="AL21">
        <f t="shared" si="4"/>
        <v>424206.6415812209</v>
      </c>
      <c r="AN21" t="s">
        <v>11</v>
      </c>
      <c r="AO21">
        <v>0.2949968451363062</v>
      </c>
    </row>
    <row r="22" spans="2:51" x14ac:dyDescent="0.25">
      <c r="B22">
        <v>1979</v>
      </c>
      <c r="C22">
        <v>1620186.939</v>
      </c>
      <c r="D22" s="12">
        <f t="shared" si="0"/>
        <v>14.298052094995585</v>
      </c>
      <c r="E22" s="12">
        <f t="shared" si="1"/>
        <v>0.37754914962437525</v>
      </c>
      <c r="F22" s="12"/>
      <c r="G22" s="12"/>
      <c r="H22" s="12"/>
      <c r="I22" s="12"/>
      <c r="J22" s="12"/>
      <c r="T22">
        <v>10</v>
      </c>
      <c r="U22" t="s">
        <v>102</v>
      </c>
      <c r="V22" t="s">
        <v>36</v>
      </c>
      <c r="W22" s="10">
        <v>1972</v>
      </c>
      <c r="X22" s="10">
        <v>302589.30717202002</v>
      </c>
      <c r="Y22" s="10">
        <v>63552.969370713901</v>
      </c>
      <c r="Z22" s="11">
        <v>7.0852196840766003E-9</v>
      </c>
      <c r="AA22" s="10">
        <v>182414.447683053</v>
      </c>
      <c r="AB22" s="10">
        <v>52163.066047070497</v>
      </c>
      <c r="AC22" s="11">
        <v>9.717918193017951E-10</v>
      </c>
      <c r="AD22" s="10">
        <v>0</v>
      </c>
      <c r="AE22" s="10">
        <v>59199.567021545998</v>
      </c>
      <c r="AF22" s="10">
        <v>8812.2264203387404</v>
      </c>
      <c r="AI22">
        <v>182414.447683053</v>
      </c>
      <c r="AJ22">
        <v>59199.567021545998</v>
      </c>
      <c r="AK22">
        <f t="shared" si="3"/>
        <v>1720986.4668545625</v>
      </c>
      <c r="AL22">
        <f t="shared" si="4"/>
        <v>347221.64314221975</v>
      </c>
      <c r="AN22" t="s">
        <v>12</v>
      </c>
      <c r="AO22">
        <v>1576760.9462610837</v>
      </c>
    </row>
    <row r="23" spans="2:51" ht="15.75" thickBot="1" x14ac:dyDescent="0.3">
      <c r="B23">
        <v>1980</v>
      </c>
      <c r="C23">
        <v>855660.86230000004</v>
      </c>
      <c r="D23">
        <f t="shared" si="0"/>
        <v>13.659629387718452</v>
      </c>
      <c r="E23">
        <f t="shared" si="1"/>
        <v>-0.63842270727713313</v>
      </c>
      <c r="T23">
        <v>11</v>
      </c>
      <c r="U23" t="s">
        <v>102</v>
      </c>
      <c r="V23" t="s">
        <v>36</v>
      </c>
      <c r="W23" s="10">
        <v>1973</v>
      </c>
      <c r="X23" s="10">
        <v>63552.969370713901</v>
      </c>
      <c r="Y23" s="10">
        <v>247579.730446879</v>
      </c>
      <c r="Z23" s="11">
        <v>4.4638464016442702E-10</v>
      </c>
      <c r="AA23" s="10">
        <v>1353.5625847451499</v>
      </c>
      <c r="AB23" s="10">
        <v>52504.168379925002</v>
      </c>
      <c r="AC23" s="11">
        <v>3.3478947095101902E-10</v>
      </c>
      <c r="AD23" s="10">
        <v>0</v>
      </c>
      <c r="AE23" s="10">
        <v>685.37333584882401</v>
      </c>
      <c r="AF23" s="10">
        <v>9009.8650701926999</v>
      </c>
      <c r="AI23">
        <v>1353.5625847451499</v>
      </c>
      <c r="AJ23">
        <v>685.37333584882401</v>
      </c>
      <c r="AK23">
        <f t="shared" si="3"/>
        <v>1533222.7510112317</v>
      </c>
      <c r="AL23">
        <f t="shared" si="4"/>
        <v>2823.2797288561428</v>
      </c>
      <c r="AN23" s="4" t="s">
        <v>13</v>
      </c>
      <c r="AO23" s="4">
        <v>57</v>
      </c>
    </row>
    <row r="24" spans="2:51" x14ac:dyDescent="0.25">
      <c r="B24">
        <v>1981</v>
      </c>
      <c r="C24">
        <v>667234.69750000001</v>
      </c>
      <c r="D24">
        <f t="shared" si="0"/>
        <v>13.410897133320763</v>
      </c>
      <c r="E24">
        <f t="shared" si="1"/>
        <v>-0.24873225439768909</v>
      </c>
      <c r="T24">
        <v>12</v>
      </c>
      <c r="U24" t="s">
        <v>102</v>
      </c>
      <c r="V24" t="s">
        <v>36</v>
      </c>
      <c r="W24" s="10">
        <v>1974</v>
      </c>
      <c r="X24" s="10">
        <v>247579.730446879</v>
      </c>
      <c r="Y24" s="10">
        <v>112656.701619766</v>
      </c>
      <c r="Z24" s="10">
        <v>1232.55460274746</v>
      </c>
      <c r="AA24" s="10">
        <v>78027.480044075695</v>
      </c>
      <c r="AB24" s="10">
        <v>54756.533800925201</v>
      </c>
      <c r="AC24" s="10">
        <v>2129.5693344302199</v>
      </c>
      <c r="AD24" s="11">
        <v>9.2618781232176502E-10</v>
      </c>
      <c r="AE24" s="10">
        <v>108529.16742171699</v>
      </c>
      <c r="AF24" s="10">
        <v>2904.4252429818898</v>
      </c>
      <c r="AI24">
        <v>78027.480044075695</v>
      </c>
      <c r="AJ24">
        <v>108529.16742171699</v>
      </c>
      <c r="AK24">
        <f t="shared" si="3"/>
        <v>1612604.2531708842</v>
      </c>
      <c r="AL24">
        <f t="shared" si="4"/>
        <v>231969.43844091179</v>
      </c>
    </row>
    <row r="25" spans="2:51" ht="15.75" thickBot="1" x14ac:dyDescent="0.3">
      <c r="B25">
        <v>1982</v>
      </c>
      <c r="C25">
        <v>1345575.82</v>
      </c>
      <c r="D25">
        <f t="shared" si="0"/>
        <v>14.11233259836041</v>
      </c>
      <c r="E25">
        <f t="shared" si="1"/>
        <v>0.70143546503964771</v>
      </c>
      <c r="T25">
        <v>13</v>
      </c>
      <c r="U25" t="s">
        <v>102</v>
      </c>
      <c r="V25" t="s">
        <v>36</v>
      </c>
      <c r="W25" s="10">
        <v>1975</v>
      </c>
      <c r="X25" s="10">
        <v>112656.701619766</v>
      </c>
      <c r="Y25" s="10">
        <v>157449.67068392399</v>
      </c>
      <c r="Z25" s="10">
        <v>1462.13105593817</v>
      </c>
      <c r="AA25" s="10">
        <v>28837.9158028944</v>
      </c>
      <c r="AB25" s="10">
        <v>58491.201634390702</v>
      </c>
      <c r="AC25" s="10">
        <v>0</v>
      </c>
      <c r="AD25" s="10">
        <v>0</v>
      </c>
      <c r="AE25" s="10">
        <v>8320.0927505093605</v>
      </c>
      <c r="AF25" s="10">
        <v>15545.360376026199</v>
      </c>
      <c r="AI25">
        <v>28837.9158028944</v>
      </c>
      <c r="AJ25">
        <v>8320.0927505093605</v>
      </c>
      <c r="AK25">
        <f t="shared" si="3"/>
        <v>1561726.5338337258</v>
      </c>
      <c r="AL25">
        <f t="shared" si="4"/>
        <v>53850.540163720594</v>
      </c>
      <c r="AN25" t="s">
        <v>14</v>
      </c>
    </row>
    <row r="26" spans="2:51" x14ac:dyDescent="0.25">
      <c r="B26">
        <v>1983</v>
      </c>
      <c r="C26">
        <v>2664575.1779999998</v>
      </c>
      <c r="D26">
        <f t="shared" si="0"/>
        <v>14.795555194995371</v>
      </c>
      <c r="E26">
        <f t="shared" si="1"/>
        <v>0.68322259663496077</v>
      </c>
      <c r="T26">
        <v>14</v>
      </c>
      <c r="U26" t="s">
        <v>102</v>
      </c>
      <c r="V26" t="s">
        <v>36</v>
      </c>
      <c r="W26" s="10">
        <v>1976</v>
      </c>
      <c r="X26" s="10">
        <v>157449.67068392399</v>
      </c>
      <c r="Y26" s="10">
        <v>234915.33416411001</v>
      </c>
      <c r="Z26" s="10">
        <v>0</v>
      </c>
      <c r="AA26" s="10">
        <v>70319.717258709905</v>
      </c>
      <c r="AB26" s="10">
        <v>56203.803488022597</v>
      </c>
      <c r="AC26" s="10">
        <v>0</v>
      </c>
      <c r="AD26" s="11">
        <v>1.0263018204556E-9</v>
      </c>
      <c r="AE26" s="10">
        <v>30123.169812246899</v>
      </c>
      <c r="AF26" s="10">
        <v>802.98012493857505</v>
      </c>
      <c r="AI26">
        <v>70319.717258709905</v>
      </c>
      <c r="AJ26">
        <v>30123.169812246899</v>
      </c>
      <c r="AK26">
        <f t="shared" si="3"/>
        <v>1604730.7521536169</v>
      </c>
      <c r="AL26">
        <f t="shared" si="4"/>
        <v>141175.01930862144</v>
      </c>
      <c r="AN26" s="5"/>
      <c r="AO26" s="5" t="s">
        <v>19</v>
      </c>
      <c r="AP26" s="5" t="s">
        <v>20</v>
      </c>
      <c r="AQ26" s="5" t="s">
        <v>21</v>
      </c>
      <c r="AR26" s="5" t="s">
        <v>22</v>
      </c>
      <c r="AS26" s="5" t="s">
        <v>23</v>
      </c>
    </row>
    <row r="27" spans="2:51" x14ac:dyDescent="0.25">
      <c r="B27">
        <v>1984</v>
      </c>
      <c r="C27">
        <v>1193249.4439999999</v>
      </c>
      <c r="D27">
        <f t="shared" si="0"/>
        <v>13.992190768913709</v>
      </c>
      <c r="E27">
        <f t="shared" si="1"/>
        <v>-0.80336442608166259</v>
      </c>
      <c r="T27">
        <v>15</v>
      </c>
      <c r="U27" t="s">
        <v>102</v>
      </c>
      <c r="V27" t="s">
        <v>36</v>
      </c>
      <c r="W27" s="10">
        <v>1977</v>
      </c>
      <c r="X27" s="10">
        <v>234915.33416411001</v>
      </c>
      <c r="Y27" s="10">
        <v>1110702.1544836799</v>
      </c>
      <c r="Z27" s="10">
        <v>0</v>
      </c>
      <c r="AA27" s="11">
        <v>2.1065944309084099E-8</v>
      </c>
      <c r="AB27" s="10">
        <v>27572.160952725601</v>
      </c>
      <c r="AC27" s="10">
        <v>0</v>
      </c>
      <c r="AD27" s="10">
        <v>0</v>
      </c>
      <c r="AE27" s="11">
        <v>2.97670952157567E-8</v>
      </c>
      <c r="AF27" s="10">
        <v>207343.17321130799</v>
      </c>
      <c r="AI27">
        <v>2.1065944309084099E-8</v>
      </c>
      <c r="AJ27">
        <v>2.97670952157567E-8</v>
      </c>
      <c r="AK27">
        <f t="shared" si="3"/>
        <v>1531819.4704780476</v>
      </c>
      <c r="AL27">
        <f t="shared" si="4"/>
        <v>6.3094975440893247E-8</v>
      </c>
      <c r="AN27" t="s">
        <v>15</v>
      </c>
      <c r="AO27">
        <v>2</v>
      </c>
      <c r="AP27">
        <v>63229072600857.094</v>
      </c>
      <c r="AQ27">
        <v>31614536300428.547</v>
      </c>
      <c r="AR27">
        <v>12.716134327673407</v>
      </c>
      <c r="AS27">
        <v>2.983413277141439E-5</v>
      </c>
    </row>
    <row r="28" spans="2:51" x14ac:dyDescent="0.25">
      <c r="B28">
        <v>1985</v>
      </c>
      <c r="C28">
        <v>843580.10880000005</v>
      </c>
      <c r="D28">
        <f t="shared" si="0"/>
        <v>13.6454101483614</v>
      </c>
      <c r="E28">
        <f t="shared" si="1"/>
        <v>-0.34678062055230896</v>
      </c>
      <c r="T28">
        <v>16</v>
      </c>
      <c r="U28" t="s">
        <v>102</v>
      </c>
      <c r="V28" t="s">
        <v>36</v>
      </c>
      <c r="W28" s="10">
        <v>1978</v>
      </c>
      <c r="X28" s="10">
        <v>1110702.1544836799</v>
      </c>
      <c r="Y28" s="10">
        <v>1620186.93918502</v>
      </c>
      <c r="Z28" s="10">
        <v>0</v>
      </c>
      <c r="AA28" s="10">
        <v>722581.359778921</v>
      </c>
      <c r="AB28" s="10">
        <v>6686.6405200101999</v>
      </c>
      <c r="AC28" s="11">
        <v>1.49688610441306E-8</v>
      </c>
      <c r="AD28" s="11">
        <v>6.3878580783088694E-8</v>
      </c>
      <c r="AE28" s="10">
        <v>350599.51976364403</v>
      </c>
      <c r="AF28" s="11">
        <v>2.1364595636920099E-7</v>
      </c>
      <c r="AI28">
        <v>722581.359778921</v>
      </c>
      <c r="AJ28">
        <v>350599.51976364403</v>
      </c>
      <c r="AK28">
        <f t="shared" si="3"/>
        <v>2280966.1646935879</v>
      </c>
      <c r="AL28">
        <f t="shared" si="4"/>
        <v>1491848.4369501173</v>
      </c>
      <c r="AN28" t="s">
        <v>16</v>
      </c>
      <c r="AO28">
        <v>54</v>
      </c>
      <c r="AP28">
        <v>134253454409324</v>
      </c>
      <c r="AQ28">
        <v>2486175081654.1479</v>
      </c>
    </row>
    <row r="29" spans="2:51" ht="15.75" thickBot="1" x14ac:dyDescent="0.3">
      <c r="B29">
        <v>1986</v>
      </c>
      <c r="C29">
        <v>1020938.708</v>
      </c>
      <c r="D29">
        <f t="shared" si="0"/>
        <v>13.836233064003027</v>
      </c>
      <c r="E29">
        <f t="shared" si="1"/>
        <v>0.19082291564162723</v>
      </c>
      <c r="T29">
        <v>17</v>
      </c>
      <c r="U29" t="s">
        <v>102</v>
      </c>
      <c r="V29" t="s">
        <v>36</v>
      </c>
      <c r="W29" s="10">
        <v>1979</v>
      </c>
      <c r="X29" s="10">
        <v>1620186.93918502</v>
      </c>
      <c r="Y29" s="10">
        <v>855660.862369649</v>
      </c>
      <c r="Z29" s="11">
        <v>3.7947067267458502E-8</v>
      </c>
      <c r="AA29" s="11">
        <v>8.1642260699105195E-8</v>
      </c>
      <c r="AB29" s="11">
        <v>2.8488228459524999E-8</v>
      </c>
      <c r="AC29" s="10">
        <v>1377.89295868572</v>
      </c>
      <c r="AD29" s="11">
        <v>3.2255007171676703E-8</v>
      </c>
      <c r="AE29" s="10">
        <v>1551297.18495049</v>
      </c>
      <c r="AF29" s="11">
        <v>3.7984304616130497E-8</v>
      </c>
      <c r="AI29">
        <v>8.1642260699105195E-8</v>
      </c>
      <c r="AJ29">
        <v>1551297.18495049</v>
      </c>
      <c r="AK29">
        <f t="shared" si="3"/>
        <v>1529375.4600384748</v>
      </c>
      <c r="AL29">
        <f t="shared" si="4"/>
        <v>1555758.7015041581</v>
      </c>
      <c r="AN29" s="4" t="s">
        <v>17</v>
      </c>
      <c r="AO29" s="4">
        <v>56</v>
      </c>
      <c r="AP29" s="4">
        <v>197482527010181.09</v>
      </c>
      <c r="AQ29" s="4"/>
      <c r="AR29" s="4"/>
      <c r="AS29" s="4"/>
    </row>
    <row r="30" spans="2:51" ht="15.75" thickBot="1" x14ac:dyDescent="0.3">
      <c r="B30">
        <v>1987</v>
      </c>
      <c r="C30">
        <v>780737.31909999996</v>
      </c>
      <c r="D30">
        <f t="shared" si="0"/>
        <v>13.567994033066578</v>
      </c>
      <c r="E30">
        <f t="shared" si="1"/>
        <v>-0.2682390309364493</v>
      </c>
      <c r="T30">
        <v>18</v>
      </c>
      <c r="U30" t="s">
        <v>102</v>
      </c>
      <c r="V30" t="s">
        <v>36</v>
      </c>
      <c r="W30" s="10">
        <v>1980</v>
      </c>
      <c r="X30" s="10">
        <v>855660.862369649</v>
      </c>
      <c r="Y30" s="10">
        <v>667234.69757733005</v>
      </c>
      <c r="Z30" s="10">
        <v>163393.681931834</v>
      </c>
      <c r="AA30" s="10">
        <v>1.3020350252655201E-2</v>
      </c>
      <c r="AB30" s="10">
        <v>467274.994785132</v>
      </c>
      <c r="AC30" s="10">
        <v>1866.9778464338599</v>
      </c>
      <c r="AD30" s="10">
        <v>1.46139377608859</v>
      </c>
      <c r="AE30" s="10">
        <v>2.4200018740000599E-2</v>
      </c>
      <c r="AF30" s="10">
        <v>0.212863893700389</v>
      </c>
      <c r="AI30">
        <v>1.3020350252655201E-2</v>
      </c>
      <c r="AJ30">
        <v>2.4200018740000599E-2</v>
      </c>
      <c r="AK30">
        <f t="shared" si="3"/>
        <v>1531819.4839488892</v>
      </c>
      <c r="AL30">
        <f t="shared" si="4"/>
        <v>4.481586039822677E-2</v>
      </c>
    </row>
    <row r="31" spans="2:51" x14ac:dyDescent="0.25">
      <c r="B31">
        <v>1988</v>
      </c>
      <c r="C31">
        <v>851134.59849999996</v>
      </c>
      <c r="D31">
        <f t="shared" si="0"/>
        <v>13.654325560148614</v>
      </c>
      <c r="E31">
        <f t="shared" si="1"/>
        <v>8.6331527082036175E-2</v>
      </c>
      <c r="T31">
        <v>19</v>
      </c>
      <c r="U31" t="s">
        <v>102</v>
      </c>
      <c r="V31" t="s">
        <v>36</v>
      </c>
      <c r="W31" s="10">
        <v>1981</v>
      </c>
      <c r="X31" s="10">
        <v>667234.69757733005</v>
      </c>
      <c r="Y31" s="10">
        <v>1345575.8198595301</v>
      </c>
      <c r="Z31" s="10">
        <v>0</v>
      </c>
      <c r="AA31" s="11">
        <v>2.8777801477125102E-7</v>
      </c>
      <c r="AB31" s="10">
        <v>157897.41741392299</v>
      </c>
      <c r="AC31" s="10">
        <v>0</v>
      </c>
      <c r="AD31" s="10">
        <v>0</v>
      </c>
      <c r="AE31" s="11">
        <v>1.8934959236271399E-6</v>
      </c>
      <c r="AF31" s="10">
        <v>492798.39563922503</v>
      </c>
      <c r="AI31">
        <v>2.8777801477125102E-7</v>
      </c>
      <c r="AJ31">
        <v>1.8934959236271399E-6</v>
      </c>
      <c r="AK31">
        <f t="shared" si="3"/>
        <v>1531819.4704783212</v>
      </c>
      <c r="AL31">
        <f t="shared" si="4"/>
        <v>2.353058179595958E-6</v>
      </c>
      <c r="AN31" s="5"/>
      <c r="AO31" s="5" t="s">
        <v>24</v>
      </c>
      <c r="AP31" s="5" t="s">
        <v>12</v>
      </c>
      <c r="AQ31" s="5" t="s">
        <v>25</v>
      </c>
      <c r="AR31" s="5" t="s">
        <v>26</v>
      </c>
      <c r="AS31" s="5" t="s">
        <v>27</v>
      </c>
      <c r="AT31" s="5" t="s">
        <v>28</v>
      </c>
      <c r="AU31" s="5" t="s">
        <v>29</v>
      </c>
      <c r="AV31" s="5" t="s">
        <v>30</v>
      </c>
    </row>
    <row r="32" spans="2:51" x14ac:dyDescent="0.25">
      <c r="B32">
        <v>1989</v>
      </c>
      <c r="C32">
        <v>1379369.767</v>
      </c>
      <c r="D32">
        <f t="shared" si="0"/>
        <v>14.137137262238774</v>
      </c>
      <c r="E32">
        <f t="shared" si="1"/>
        <v>0.48281170209016011</v>
      </c>
      <c r="T32">
        <v>20</v>
      </c>
      <c r="U32" t="s">
        <v>102</v>
      </c>
      <c r="V32" t="s">
        <v>36</v>
      </c>
      <c r="W32" s="10">
        <v>1982</v>
      </c>
      <c r="X32" s="10">
        <v>1345575.8198595301</v>
      </c>
      <c r="Y32" s="10">
        <v>2664575.17756896</v>
      </c>
      <c r="Z32" s="10">
        <v>0</v>
      </c>
      <c r="AA32" s="10">
        <v>561752.38068303105</v>
      </c>
      <c r="AB32" s="10">
        <v>689174.63941949105</v>
      </c>
      <c r="AC32" s="11">
        <v>2.2064745985621501E-8</v>
      </c>
      <c r="AD32" s="10">
        <v>0</v>
      </c>
      <c r="AE32" s="11">
        <v>2.6308110363613501E-8</v>
      </c>
      <c r="AF32" s="10">
        <v>94648.799756924695</v>
      </c>
      <c r="AI32">
        <v>561752.38068303105</v>
      </c>
      <c r="AJ32">
        <v>2.6308110363613501E-8</v>
      </c>
      <c r="AK32">
        <f t="shared" si="3"/>
        <v>2114653.8056908138</v>
      </c>
      <c r="AL32">
        <f t="shared" si="4"/>
        <v>886450.86228560086</v>
      </c>
      <c r="AN32" t="s">
        <v>18</v>
      </c>
      <c r="AO32">
        <v>1531819.4704780257</v>
      </c>
      <c r="AP32">
        <v>262794.72570795898</v>
      </c>
      <c r="AQ32">
        <v>5.8289581967498112</v>
      </c>
      <c r="AR32">
        <v>3.2021617354748232E-7</v>
      </c>
      <c r="AS32">
        <v>1004947.7678610771</v>
      </c>
      <c r="AT32">
        <v>2058691.1730949744</v>
      </c>
      <c r="AU32">
        <v>1004947.7678610771</v>
      </c>
      <c r="AV32">
        <v>2058691.1730949744</v>
      </c>
      <c r="AY32" t="s">
        <v>104</v>
      </c>
    </row>
    <row r="33" spans="2:56" x14ac:dyDescent="0.25">
      <c r="B33">
        <v>1990</v>
      </c>
      <c r="C33">
        <v>1591425.186</v>
      </c>
      <c r="D33">
        <f t="shared" si="0"/>
        <v>14.280140516116788</v>
      </c>
      <c r="E33">
        <f t="shared" si="1"/>
        <v>0.14300325387801394</v>
      </c>
      <c r="T33">
        <v>21</v>
      </c>
      <c r="U33" t="s">
        <v>102</v>
      </c>
      <c r="V33" t="s">
        <v>36</v>
      </c>
      <c r="W33" s="10">
        <v>1983</v>
      </c>
      <c r="X33" s="10">
        <v>2664575.17756896</v>
      </c>
      <c r="Y33" s="10">
        <v>1193249.44342189</v>
      </c>
      <c r="Z33" s="10">
        <v>0</v>
      </c>
      <c r="AA33" s="10">
        <v>947783.06213282596</v>
      </c>
      <c r="AB33" s="10">
        <v>1026219.17470876</v>
      </c>
      <c r="AC33" s="11">
        <v>3.5584400418184002E-8</v>
      </c>
      <c r="AD33" s="10">
        <v>16623.337547858599</v>
      </c>
      <c r="AE33" s="10">
        <v>512955.08714974899</v>
      </c>
      <c r="AF33" s="10">
        <v>145046.23468979599</v>
      </c>
      <c r="AI33">
        <v>947783.06213282596</v>
      </c>
      <c r="AJ33">
        <v>512955.08714974899</v>
      </c>
      <c r="AK33">
        <f t="shared" si="3"/>
        <v>2514363.6563666514</v>
      </c>
      <c r="AL33">
        <f t="shared" si="4"/>
        <v>2010041.471005481</v>
      </c>
      <c r="AN33" t="s">
        <v>31</v>
      </c>
      <c r="AO33">
        <v>1.0375289099872151</v>
      </c>
      <c r="AP33">
        <v>0.21473082405455354</v>
      </c>
      <c r="AQ33">
        <v>4.8317651392406766</v>
      </c>
      <c r="AR33">
        <v>1.1593956009878411E-5</v>
      </c>
      <c r="AS33">
        <v>0.60701952830468675</v>
      </c>
      <c r="AT33">
        <v>1.4680382916697434</v>
      </c>
      <c r="AU33">
        <v>0.60701952830468675</v>
      </c>
      <c r="AV33">
        <v>1.4680382916697434</v>
      </c>
    </row>
    <row r="34" spans="2:56" ht="15.75" thickBot="1" x14ac:dyDescent="0.3">
      <c r="B34">
        <v>1991</v>
      </c>
      <c r="C34">
        <v>1684654.871</v>
      </c>
      <c r="D34">
        <f t="shared" si="0"/>
        <v>14.337071276456888</v>
      </c>
      <c r="E34">
        <f t="shared" si="1"/>
        <v>5.6930760340099695E-2</v>
      </c>
      <c r="T34">
        <v>22</v>
      </c>
      <c r="U34" t="s">
        <v>102</v>
      </c>
      <c r="V34" t="s">
        <v>36</v>
      </c>
      <c r="W34" s="10">
        <v>1984</v>
      </c>
      <c r="X34" s="10">
        <v>1193249.44342189</v>
      </c>
      <c r="Y34" s="10">
        <v>843580.10872609494</v>
      </c>
      <c r="Z34" s="10">
        <v>0</v>
      </c>
      <c r="AA34" s="11">
        <v>1.7125592388208699E-8</v>
      </c>
      <c r="AB34" s="10">
        <v>81154.7648968063</v>
      </c>
      <c r="AC34" s="10">
        <v>15371.060847430301</v>
      </c>
      <c r="AD34" s="11">
        <v>5.1303709269791002E-8</v>
      </c>
      <c r="AE34" s="10">
        <v>1047576.63469065</v>
      </c>
      <c r="AF34" s="11">
        <v>2.1415124025424101E-8</v>
      </c>
      <c r="AI34">
        <v>1.7125592388208699E-8</v>
      </c>
      <c r="AJ34">
        <v>1047576.63469065</v>
      </c>
      <c r="AK34">
        <f t="shared" si="3"/>
        <v>1530169.052842828</v>
      </c>
      <c r="AL34">
        <f t="shared" si="4"/>
        <v>1050589.4555364279</v>
      </c>
      <c r="AN34" s="4" t="s">
        <v>32</v>
      </c>
      <c r="AO34" s="4">
        <v>-1.57546243450039E-3</v>
      </c>
      <c r="AP34" s="4">
        <v>0.60517050905927705</v>
      </c>
      <c r="AQ34" s="4">
        <v>-2.6033364331474254E-3</v>
      </c>
      <c r="AR34" s="4">
        <v>0.99793243414964072</v>
      </c>
      <c r="AS34" s="4">
        <v>-1.2148692818696682</v>
      </c>
      <c r="AT34" s="4">
        <v>1.2117183570006675</v>
      </c>
      <c r="AU34" s="4">
        <v>-1.2148692818696682</v>
      </c>
      <c r="AV34" s="4">
        <v>1.2117183570006675</v>
      </c>
      <c r="AY34">
        <v>3.3000000000000002E-2</v>
      </c>
      <c r="AZ34">
        <v>-51.448999999999998</v>
      </c>
      <c r="BA34">
        <v>2025</v>
      </c>
      <c r="BC34">
        <f>AZ34+AY34*BA34</f>
        <v>15.376000000000005</v>
      </c>
      <c r="BD34" s="1">
        <f>EXP(BC34)</f>
        <v>4761150.9823849155</v>
      </c>
    </row>
    <row r="35" spans="2:56" x14ac:dyDescent="0.25">
      <c r="B35">
        <v>1992</v>
      </c>
      <c r="C35">
        <v>1461638.5859999999</v>
      </c>
      <c r="D35">
        <f t="shared" si="0"/>
        <v>14.195068683533261</v>
      </c>
      <c r="E35">
        <f t="shared" si="1"/>
        <v>-0.14200259292362638</v>
      </c>
      <c r="T35">
        <v>23</v>
      </c>
      <c r="U35" t="s">
        <v>102</v>
      </c>
      <c r="V35" t="s">
        <v>36</v>
      </c>
      <c r="W35" s="10">
        <v>1985</v>
      </c>
      <c r="X35" s="10">
        <v>843580.10872609494</v>
      </c>
      <c r="Y35" s="10">
        <v>1020938.7083222501</v>
      </c>
      <c r="Z35" s="11">
        <v>9.2629856201421493E-8</v>
      </c>
      <c r="AA35" s="10">
        <v>174414.656177659</v>
      </c>
      <c r="AB35" s="10">
        <v>368591.12703693699</v>
      </c>
      <c r="AC35" s="10">
        <v>14173.2301858467</v>
      </c>
      <c r="AD35" s="11">
        <v>4.3433110347799602E-7</v>
      </c>
      <c r="AE35" s="10">
        <v>269864.31356014998</v>
      </c>
      <c r="AF35" s="11">
        <v>1.0679273059451501E-6</v>
      </c>
      <c r="AI35">
        <v>174414.656177659</v>
      </c>
      <c r="AJ35">
        <v>269864.31356014998</v>
      </c>
      <c r="AK35">
        <f t="shared" si="3"/>
        <v>1712354.5574994008</v>
      </c>
      <c r="AL35">
        <f t="shared" si="4"/>
        <v>545868.50874709699</v>
      </c>
    </row>
    <row r="36" spans="2:56" x14ac:dyDescent="0.25">
      <c r="B36">
        <v>1993</v>
      </c>
      <c r="C36">
        <v>2451734.915</v>
      </c>
      <c r="D36">
        <f t="shared" si="0"/>
        <v>14.712306460487602</v>
      </c>
      <c r="E36">
        <f t="shared" si="1"/>
        <v>0.51723777695434059</v>
      </c>
      <c r="T36">
        <v>24</v>
      </c>
      <c r="U36" t="s">
        <v>102</v>
      </c>
      <c r="V36" t="s">
        <v>36</v>
      </c>
      <c r="W36" s="10">
        <v>1986</v>
      </c>
      <c r="X36" s="10">
        <v>1020938.7083222501</v>
      </c>
      <c r="Y36" s="10">
        <v>780737.31908047304</v>
      </c>
      <c r="Z36" s="10">
        <v>6508.4267052018804</v>
      </c>
      <c r="AA36" s="11">
        <v>3.3004279488335202E-8</v>
      </c>
      <c r="AB36" s="10">
        <v>1008291.54835751</v>
      </c>
      <c r="AC36" s="11">
        <v>2.0224626220515999E-8</v>
      </c>
      <c r="AD36" s="10">
        <v>0</v>
      </c>
      <c r="AE36" s="11">
        <v>1.59698126539881E-8</v>
      </c>
      <c r="AF36" s="11">
        <v>5.4305126817285398E-8</v>
      </c>
      <c r="AI36">
        <v>3.3004279488335202E-8</v>
      </c>
      <c r="AJ36">
        <v>1.59698126539881E-8</v>
      </c>
      <c r="AK36">
        <f t="shared" si="3"/>
        <v>1531819.47047806</v>
      </c>
      <c r="AL36">
        <f t="shared" si="4"/>
        <v>6.8096824062451383E-8</v>
      </c>
    </row>
    <row r="37" spans="2:56" x14ac:dyDescent="0.25">
      <c r="B37">
        <v>1994</v>
      </c>
      <c r="C37">
        <v>2062023.399</v>
      </c>
      <c r="D37">
        <f t="shared" si="0"/>
        <v>14.539198291215317</v>
      </c>
      <c r="E37">
        <f t="shared" si="1"/>
        <v>-0.17310816927228423</v>
      </c>
      <c r="T37">
        <v>25</v>
      </c>
      <c r="U37" t="s">
        <v>102</v>
      </c>
      <c r="V37" t="s">
        <v>36</v>
      </c>
      <c r="W37" s="10">
        <v>1987</v>
      </c>
      <c r="X37" s="10">
        <v>780737.31908047304</v>
      </c>
      <c r="Y37" s="10">
        <v>851134.59856892901</v>
      </c>
      <c r="Z37" s="11">
        <v>4.2166935507772501E-8</v>
      </c>
      <c r="AA37" s="11">
        <v>3.11040645777601E-8</v>
      </c>
      <c r="AB37" s="10">
        <v>767481.15495600202</v>
      </c>
      <c r="AC37" s="11">
        <v>9.2632597133270593E-9</v>
      </c>
      <c r="AD37" s="10">
        <v>0</v>
      </c>
      <c r="AE37" s="11">
        <v>2.2989960777635898E-8</v>
      </c>
      <c r="AF37" s="11">
        <v>1.13997439818948E-7</v>
      </c>
      <c r="AI37">
        <v>3.11040645777601E-8</v>
      </c>
      <c r="AJ37">
        <v>2.2989960777635898E-8</v>
      </c>
      <c r="AK37">
        <f t="shared" si="3"/>
        <v>1531819.4704780581</v>
      </c>
      <c r="AL37">
        <f t="shared" si="4"/>
        <v>7.2138603977474113E-8</v>
      </c>
    </row>
    <row r="38" spans="2:56" x14ac:dyDescent="0.25">
      <c r="B38">
        <v>1995</v>
      </c>
      <c r="C38">
        <v>2198777.9410000001</v>
      </c>
      <c r="D38">
        <f t="shared" si="0"/>
        <v>14.603412282627978</v>
      </c>
      <c r="E38">
        <f t="shared" si="1"/>
        <v>6.4213991412660931E-2</v>
      </c>
      <c r="T38">
        <v>26</v>
      </c>
      <c r="U38" t="s">
        <v>102</v>
      </c>
      <c r="V38" t="s">
        <v>36</v>
      </c>
      <c r="W38" s="10">
        <v>1988</v>
      </c>
      <c r="X38" s="10">
        <v>851134.59856892901</v>
      </c>
      <c r="Y38" s="10">
        <v>1379369.7665329501</v>
      </c>
      <c r="Z38" s="10">
        <v>6814.9115635197004</v>
      </c>
      <c r="AA38" s="10">
        <v>403722.28802238498</v>
      </c>
      <c r="AB38" s="10">
        <v>434065.17230691999</v>
      </c>
      <c r="AC38" s="11">
        <v>4.6068045833226402E-9</v>
      </c>
      <c r="AD38" s="11">
        <v>1.18251687032876E-7</v>
      </c>
      <c r="AE38" s="11">
        <v>8.1492940204979003E-8</v>
      </c>
      <c r="AF38" s="11">
        <v>2.43322425082375E-8</v>
      </c>
      <c r="AI38">
        <v>403722.28802238498</v>
      </c>
      <c r="AJ38">
        <v>8.1492940204979003E-8</v>
      </c>
      <c r="AK38">
        <f t="shared" si="3"/>
        <v>1950693.015907435</v>
      </c>
      <c r="AL38">
        <f t="shared" si="4"/>
        <v>637077.79912966315</v>
      </c>
    </row>
    <row r="39" spans="2:56" x14ac:dyDescent="0.25">
      <c r="B39">
        <v>1996</v>
      </c>
      <c r="C39">
        <v>2383541.7349999999</v>
      </c>
      <c r="D39">
        <f t="shared" si="0"/>
        <v>14.684098063438057</v>
      </c>
      <c r="E39">
        <f t="shared" si="1"/>
        <v>8.0685780810078711E-2</v>
      </c>
      <c r="T39">
        <v>27</v>
      </c>
      <c r="U39" t="s">
        <v>102</v>
      </c>
      <c r="V39" t="s">
        <v>36</v>
      </c>
      <c r="W39" s="10">
        <v>1989</v>
      </c>
      <c r="X39" s="10">
        <v>1379369.7665329501</v>
      </c>
      <c r="Y39" s="10">
        <v>1591425.18648978</v>
      </c>
      <c r="Z39" s="11">
        <v>1.9735611754795301E-7</v>
      </c>
      <c r="AA39" s="10">
        <v>86570.426806624804</v>
      </c>
      <c r="AB39" s="10">
        <v>1250869.72502813</v>
      </c>
      <c r="AC39" s="11">
        <v>9.7919131669176804E-9</v>
      </c>
      <c r="AD39" s="11">
        <v>2.9022958473262501E-8</v>
      </c>
      <c r="AE39" s="11">
        <v>4.3130344467206797E-8</v>
      </c>
      <c r="AF39" s="10">
        <v>1247.1611182916999</v>
      </c>
      <c r="AI39">
        <v>86570.426806624804</v>
      </c>
      <c r="AJ39">
        <v>4.3130344467206797E-8</v>
      </c>
      <c r="AK39">
        <f t="shared" si="3"/>
        <v>1621638.7910398312</v>
      </c>
      <c r="AL39">
        <f t="shared" si="4"/>
        <v>136608.9973626438</v>
      </c>
    </row>
    <row r="40" spans="2:56" x14ac:dyDescent="0.25">
      <c r="B40">
        <v>1997</v>
      </c>
      <c r="C40">
        <v>814336.19790000003</v>
      </c>
      <c r="D40">
        <f t="shared" si="0"/>
        <v>13.610128579248757</v>
      </c>
      <c r="E40">
        <f t="shared" si="1"/>
        <v>-1.0739694841893002</v>
      </c>
      <c r="T40">
        <v>28</v>
      </c>
      <c r="U40" t="s">
        <v>102</v>
      </c>
      <c r="V40" t="s">
        <v>36</v>
      </c>
      <c r="W40" s="10">
        <v>1990</v>
      </c>
      <c r="X40" s="10">
        <v>1591425.18648978</v>
      </c>
      <c r="Y40" s="10">
        <v>1684654.8706050799</v>
      </c>
      <c r="Z40" s="11">
        <v>1.33140910640605E-8</v>
      </c>
      <c r="AA40" s="11">
        <v>9.3348146005003394E-8</v>
      </c>
      <c r="AB40" s="10">
        <v>792074.18183056498</v>
      </c>
      <c r="AC40" s="10">
        <v>25116.476535758698</v>
      </c>
      <c r="AD40" s="11">
        <v>3.9942273188081898E-8</v>
      </c>
      <c r="AE40" s="11">
        <v>1.1314926788431E-8</v>
      </c>
      <c r="AF40" s="10">
        <v>772146.24266868504</v>
      </c>
      <c r="AI40">
        <v>9.3348146005003394E-8</v>
      </c>
      <c r="AJ40">
        <v>1.1314926788431E-8</v>
      </c>
      <c r="AK40">
        <f t="shared" si="3"/>
        <v>1531819.4704781226</v>
      </c>
      <c r="AL40">
        <f t="shared" si="4"/>
        <v>1.5865177430524419E-7</v>
      </c>
    </row>
    <row r="41" spans="2:56" x14ac:dyDescent="0.25">
      <c r="B41">
        <v>1998</v>
      </c>
      <c r="C41">
        <v>1185591.3030000001</v>
      </c>
      <c r="D41">
        <f t="shared" si="0"/>
        <v>13.985752197970738</v>
      </c>
      <c r="E41">
        <f t="shared" si="1"/>
        <v>0.37562361872198125</v>
      </c>
      <c r="T41">
        <v>29</v>
      </c>
      <c r="U41" t="s">
        <v>102</v>
      </c>
      <c r="V41" t="s">
        <v>36</v>
      </c>
      <c r="W41" s="10">
        <v>1991</v>
      </c>
      <c r="X41" s="10">
        <v>1684654.8706050799</v>
      </c>
      <c r="Y41" s="10">
        <v>1461638.5858147</v>
      </c>
      <c r="Z41" s="10">
        <v>0</v>
      </c>
      <c r="AA41" s="11">
        <v>2.6968708957824699E-8</v>
      </c>
      <c r="AB41" s="10">
        <v>954824.07969028596</v>
      </c>
      <c r="AC41" s="11">
        <v>1.64782411877803E-8</v>
      </c>
      <c r="AD41" s="11">
        <v>3.4868555619017303E-8</v>
      </c>
      <c r="AE41" s="11">
        <v>1.3484354483884701E-7</v>
      </c>
      <c r="AF41" s="10">
        <v>720017.36392479902</v>
      </c>
      <c r="AI41">
        <v>2.6968708957824699E-8</v>
      </c>
      <c r="AJ41">
        <v>1.3484354483884701E-7</v>
      </c>
      <c r="AK41">
        <f t="shared" si="3"/>
        <v>1531819.4704780534</v>
      </c>
      <c r="AL41">
        <f t="shared" si="4"/>
        <v>1.7778824549235743E-7</v>
      </c>
    </row>
    <row r="42" spans="2:56" x14ac:dyDescent="0.25">
      <c r="B42">
        <v>1999</v>
      </c>
      <c r="C42">
        <v>3028936.65</v>
      </c>
      <c r="D42">
        <f t="shared" si="0"/>
        <v>14.923722175297431</v>
      </c>
      <c r="E42">
        <f t="shared" si="1"/>
        <v>0.93796997732669318</v>
      </c>
      <c r="T42">
        <v>30</v>
      </c>
      <c r="U42" t="s">
        <v>102</v>
      </c>
      <c r="V42" t="s">
        <v>36</v>
      </c>
      <c r="W42" s="10">
        <v>1992</v>
      </c>
      <c r="X42" s="10">
        <v>1461638.5858147</v>
      </c>
      <c r="Y42" s="10">
        <v>2451734.9146045898</v>
      </c>
      <c r="Z42" s="10">
        <v>0</v>
      </c>
      <c r="AA42" s="11">
        <v>9.5060808767440803E-9</v>
      </c>
      <c r="AB42" s="10">
        <v>394531.99466867198</v>
      </c>
      <c r="AC42" s="11">
        <v>1.7170074589755101E-7</v>
      </c>
      <c r="AD42" s="11">
        <v>9.6676899361060596E-9</v>
      </c>
      <c r="AE42" s="11">
        <v>1.18826011011931E-8</v>
      </c>
      <c r="AF42" s="10">
        <v>1066241.36924701</v>
      </c>
      <c r="AI42">
        <v>9.5060808767440803E-9</v>
      </c>
      <c r="AJ42">
        <v>1.18826011011931E-8</v>
      </c>
      <c r="AK42">
        <f t="shared" si="3"/>
        <v>1531819.4704780355</v>
      </c>
      <c r="AL42">
        <f t="shared" si="4"/>
        <v>2.691746583555957E-8</v>
      </c>
    </row>
    <row r="43" spans="2:56" x14ac:dyDescent="0.25">
      <c r="B43">
        <v>2000</v>
      </c>
      <c r="C43">
        <v>2189169.9539999999</v>
      </c>
      <c r="D43">
        <f t="shared" si="0"/>
        <v>14.599033013509443</v>
      </c>
      <c r="E43">
        <f t="shared" si="1"/>
        <v>-0.32468916178798857</v>
      </c>
      <c r="T43">
        <v>31</v>
      </c>
      <c r="U43" t="s">
        <v>102</v>
      </c>
      <c r="V43" t="s">
        <v>36</v>
      </c>
      <c r="W43" s="10">
        <v>1993</v>
      </c>
      <c r="X43" s="10">
        <v>2451734.9146045898</v>
      </c>
      <c r="Y43" s="10">
        <v>2062023.39943197</v>
      </c>
      <c r="Z43" s="10">
        <v>100366.256665957</v>
      </c>
      <c r="AA43" s="10">
        <v>712704.84194484504</v>
      </c>
      <c r="AB43" s="10">
        <v>638576.41479876405</v>
      </c>
      <c r="AC43" s="11">
        <v>1.07072596161112E-8</v>
      </c>
      <c r="AD43" s="11">
        <v>7.71666475425494E-8</v>
      </c>
      <c r="AE43" s="10">
        <v>615410.93775841803</v>
      </c>
      <c r="AF43" s="10">
        <v>374484.40626835101</v>
      </c>
      <c r="AI43">
        <v>712704.84194484504</v>
      </c>
      <c r="AJ43">
        <v>615410.93775841803</v>
      </c>
      <c r="AK43">
        <f t="shared" si="3"/>
        <v>2270301.7914694524</v>
      </c>
      <c r="AL43">
        <f t="shared" si="4"/>
        <v>1741836.2064703859</v>
      </c>
    </row>
    <row r="44" spans="2:56" x14ac:dyDescent="0.25">
      <c r="B44">
        <v>2001</v>
      </c>
      <c r="C44">
        <v>1186912.5549999999</v>
      </c>
      <c r="D44">
        <f t="shared" si="0"/>
        <v>13.986866001964891</v>
      </c>
      <c r="E44">
        <f t="shared" si="1"/>
        <v>-0.61216701154455144</v>
      </c>
      <c r="T44">
        <v>32</v>
      </c>
      <c r="U44" t="s">
        <v>102</v>
      </c>
      <c r="V44" t="s">
        <v>36</v>
      </c>
      <c r="W44" s="10">
        <v>1994</v>
      </c>
      <c r="X44" s="10">
        <v>2062023.39943197</v>
      </c>
      <c r="Y44" s="10">
        <v>2198777.94068358</v>
      </c>
      <c r="Z44" s="10">
        <v>23838.2984895964</v>
      </c>
      <c r="AA44" s="11">
        <v>3.4672803610928299E-8</v>
      </c>
      <c r="AB44" s="10">
        <v>1322636.5321448499</v>
      </c>
      <c r="AC44" s="10">
        <v>19833.513533182399</v>
      </c>
      <c r="AD44" s="11">
        <v>5.0641799801334299E-8</v>
      </c>
      <c r="AE44" s="10">
        <v>691211.909936563</v>
      </c>
      <c r="AF44" s="11">
        <v>1.37400706340816E-8</v>
      </c>
      <c r="AI44">
        <v>3.4672803610928299E-8</v>
      </c>
      <c r="AJ44">
        <v>691211.909936563</v>
      </c>
      <c r="AK44">
        <f t="shared" si="3"/>
        <v>1530730.4920796775</v>
      </c>
      <c r="AL44">
        <f t="shared" si="4"/>
        <v>693199.82908460731</v>
      </c>
    </row>
    <row r="45" spans="2:56" x14ac:dyDescent="0.25">
      <c r="B45">
        <v>2002</v>
      </c>
      <c r="C45">
        <v>941300.53280000004</v>
      </c>
      <c r="D45">
        <f t="shared" si="0"/>
        <v>13.755017743560861</v>
      </c>
      <c r="E45">
        <f t="shared" si="1"/>
        <v>-0.23184825840403001</v>
      </c>
      <c r="T45">
        <v>33</v>
      </c>
      <c r="U45" t="s">
        <v>102</v>
      </c>
      <c r="V45" t="s">
        <v>36</v>
      </c>
      <c r="W45" s="10">
        <v>1995</v>
      </c>
      <c r="X45" s="10">
        <v>2198777.94068358</v>
      </c>
      <c r="Y45" s="10">
        <v>2383541.7351381201</v>
      </c>
      <c r="Z45" s="10">
        <v>0</v>
      </c>
      <c r="AA45" s="10">
        <v>1012274.36267232</v>
      </c>
      <c r="AB45" s="10">
        <v>1174114.7612811101</v>
      </c>
      <c r="AC45" s="10">
        <v>12148.054254594599</v>
      </c>
      <c r="AD45" s="11">
        <v>3.2912715984560501E-7</v>
      </c>
      <c r="AE45" s="11">
        <v>1.75824998710406E-7</v>
      </c>
      <c r="AF45" s="11">
        <v>4.4917684520349598E-6</v>
      </c>
      <c r="AI45">
        <v>1012274.36267232</v>
      </c>
      <c r="AJ45">
        <v>1.75824998710406E-7</v>
      </c>
      <c r="AK45">
        <f t="shared" si="3"/>
        <v>2582083.3865894401</v>
      </c>
      <c r="AL45">
        <f t="shared" si="4"/>
        <v>1597379.0454959851</v>
      </c>
    </row>
    <row r="46" spans="2:56" x14ac:dyDescent="0.25">
      <c r="B46">
        <v>2003</v>
      </c>
      <c r="C46">
        <v>4157797.3450000002</v>
      </c>
      <c r="D46">
        <f t="shared" si="0"/>
        <v>15.240496007636093</v>
      </c>
      <c r="E46">
        <f t="shared" si="1"/>
        <v>1.4854782640752315</v>
      </c>
      <c r="T46">
        <v>34</v>
      </c>
      <c r="U46" t="s">
        <v>102</v>
      </c>
      <c r="V46" t="s">
        <v>36</v>
      </c>
      <c r="W46" s="10">
        <v>1996</v>
      </c>
      <c r="X46" s="10">
        <v>2383541.7351381201</v>
      </c>
      <c r="Y46" s="10">
        <v>814336.19779917598</v>
      </c>
      <c r="Z46" s="11">
        <v>3.0119722311937001E-8</v>
      </c>
      <c r="AA46" s="11">
        <v>3.1092999113827797E-8</v>
      </c>
      <c r="AB46" s="10">
        <v>2341905.2647526301</v>
      </c>
      <c r="AC46" s="10">
        <v>4214.6110007162797</v>
      </c>
      <c r="AD46" s="11">
        <v>1.1713225348575101E-8</v>
      </c>
      <c r="AE46" s="11">
        <v>8.1823681864634093E-9</v>
      </c>
      <c r="AF46" s="11">
        <v>1.4719239892155201E-8</v>
      </c>
      <c r="AI46">
        <v>3.1092999113827797E-8</v>
      </c>
      <c r="AJ46">
        <v>8.1823681864634093E-9</v>
      </c>
      <c r="AK46">
        <f t="shared" si="3"/>
        <v>1531819.4704780581</v>
      </c>
      <c r="AL46">
        <f t="shared" si="4"/>
        <v>5.7270963472574672E-8</v>
      </c>
    </row>
    <row r="47" spans="2:56" x14ac:dyDescent="0.25">
      <c r="B47">
        <v>2004</v>
      </c>
      <c r="C47">
        <v>7525949.1359999999</v>
      </c>
      <c r="D47">
        <f t="shared" si="0"/>
        <v>15.833867491675264</v>
      </c>
      <c r="E47">
        <f t="shared" si="1"/>
        <v>0.59337148403917084</v>
      </c>
      <c r="T47">
        <v>35</v>
      </c>
      <c r="U47" t="s">
        <v>102</v>
      </c>
      <c r="V47" t="s">
        <v>36</v>
      </c>
      <c r="W47" s="10">
        <v>1997</v>
      </c>
      <c r="X47" s="10">
        <v>814336.19779917598</v>
      </c>
      <c r="Y47" s="10">
        <v>1185591.3031894399</v>
      </c>
      <c r="Z47" s="10">
        <v>593413.38258772704</v>
      </c>
      <c r="AA47" s="10">
        <v>1463.5390141728899</v>
      </c>
      <c r="AB47" s="10">
        <v>150356.31565366499</v>
      </c>
      <c r="AC47" s="10">
        <v>3.8004956762627299E-3</v>
      </c>
      <c r="AD47" s="10">
        <v>0</v>
      </c>
      <c r="AE47" s="10">
        <v>2.8574057230692901E-3</v>
      </c>
      <c r="AF47" s="10">
        <v>53630.107226633299</v>
      </c>
      <c r="AI47">
        <v>1463.5390141728899</v>
      </c>
      <c r="AJ47">
        <v>2.8574057230692901E-3</v>
      </c>
      <c r="AK47">
        <f t="shared" si="3"/>
        <v>1533337.9345116224</v>
      </c>
      <c r="AL47">
        <f t="shared" si="4"/>
        <v>2309.4820342293287</v>
      </c>
    </row>
    <row r="48" spans="2:56" x14ac:dyDescent="0.25">
      <c r="B48">
        <v>2005</v>
      </c>
      <c r="C48">
        <v>5224715.5789999999</v>
      </c>
      <c r="D48">
        <f t="shared" si="0"/>
        <v>15.468910919692382</v>
      </c>
      <c r="E48">
        <f t="shared" si="1"/>
        <v>-0.36495657198288178</v>
      </c>
      <c r="T48">
        <v>36</v>
      </c>
      <c r="U48" t="s">
        <v>102</v>
      </c>
      <c r="V48" t="s">
        <v>36</v>
      </c>
      <c r="W48" s="10">
        <v>1998</v>
      </c>
      <c r="X48" s="10">
        <v>1185591.3031894399</v>
      </c>
      <c r="Y48" s="10">
        <v>3028936.64962732</v>
      </c>
      <c r="Z48" s="10">
        <v>0</v>
      </c>
      <c r="AA48" s="11">
        <v>9.6027992923939597E-8</v>
      </c>
      <c r="AB48" s="10">
        <v>957262.24129181798</v>
      </c>
      <c r="AC48" s="11">
        <v>8.5813144097725899E-9</v>
      </c>
      <c r="AD48" s="11">
        <v>4.4689057059324598E-8</v>
      </c>
      <c r="AE48" s="10">
        <v>226712.78312294901</v>
      </c>
      <c r="AF48" s="11">
        <v>1.17343086167266E-8</v>
      </c>
      <c r="AI48">
        <v>9.6027992923939597E-8</v>
      </c>
      <c r="AJ48">
        <v>226712.78312294901</v>
      </c>
      <c r="AK48">
        <f t="shared" si="3"/>
        <v>1531462.2930048942</v>
      </c>
      <c r="AL48">
        <f t="shared" si="4"/>
        <v>227364.80701936921</v>
      </c>
    </row>
    <row r="49" spans="1:47" x14ac:dyDescent="0.25">
      <c r="B49">
        <v>2006</v>
      </c>
      <c r="C49">
        <v>3342878.9169999999</v>
      </c>
      <c r="D49">
        <f t="shared" si="0"/>
        <v>15.022342944883881</v>
      </c>
      <c r="E49">
        <f t="shared" si="1"/>
        <v>-0.44656797480850052</v>
      </c>
      <c r="T49">
        <v>37</v>
      </c>
      <c r="U49" t="s">
        <v>102</v>
      </c>
      <c r="V49" t="s">
        <v>36</v>
      </c>
      <c r="W49" s="10">
        <v>1999</v>
      </c>
      <c r="X49" s="10">
        <v>3028936.64962732</v>
      </c>
      <c r="Y49" s="10">
        <v>2189169.9536476801</v>
      </c>
      <c r="Z49" s="10">
        <v>0</v>
      </c>
      <c r="AA49" s="10">
        <v>2028132.49256904</v>
      </c>
      <c r="AB49" s="10">
        <v>688616.32885284303</v>
      </c>
      <c r="AC49" s="10">
        <v>38.875846981648401</v>
      </c>
      <c r="AD49" s="11">
        <v>3.53231658567199E-9</v>
      </c>
      <c r="AE49" s="10">
        <v>1106.66577731393</v>
      </c>
      <c r="AF49" s="10">
        <v>311042.28658112697</v>
      </c>
      <c r="AI49">
        <v>2028132.49256904</v>
      </c>
      <c r="AJ49">
        <v>1106.66577731393</v>
      </c>
      <c r="AK49">
        <f t="shared" si="3"/>
        <v>3636063.8212924758</v>
      </c>
      <c r="AL49">
        <f t="shared" si="4"/>
        <v>3201523.1599711129</v>
      </c>
    </row>
    <row r="50" spans="1:47" x14ac:dyDescent="0.25">
      <c r="B50">
        <v>2007</v>
      </c>
      <c r="C50">
        <v>4771232.682</v>
      </c>
      <c r="D50">
        <f t="shared" si="0"/>
        <v>15.378115253378191</v>
      </c>
      <c r="E50">
        <f t="shared" si="1"/>
        <v>0.35577230849430919</v>
      </c>
      <c r="T50">
        <v>38</v>
      </c>
      <c r="U50" t="s">
        <v>102</v>
      </c>
      <c r="V50" t="s">
        <v>36</v>
      </c>
      <c r="W50" s="10">
        <v>2000</v>
      </c>
      <c r="X50" s="10">
        <v>2189169.9536476801</v>
      </c>
      <c r="Y50" s="10">
        <v>1186912.5549520601</v>
      </c>
      <c r="Z50" s="10">
        <v>5994.0532323287298</v>
      </c>
      <c r="AA50" s="10">
        <v>40387.3104103675</v>
      </c>
      <c r="AB50" s="10">
        <v>1861831.5607410399</v>
      </c>
      <c r="AC50" s="10">
        <v>11052.978760682599</v>
      </c>
      <c r="AD50" s="10">
        <v>0</v>
      </c>
      <c r="AE50" s="10">
        <v>1922.91169605244</v>
      </c>
      <c r="AF50" s="10">
        <v>259857.14084481701</v>
      </c>
      <c r="AI50">
        <v>40387.3104103675</v>
      </c>
      <c r="AJ50">
        <v>1922.91169605244</v>
      </c>
      <c r="AK50">
        <f t="shared" si="3"/>
        <v>1573719.4431502677</v>
      </c>
      <c r="AL50">
        <f t="shared" si="4"/>
        <v>65660.020813630967</v>
      </c>
    </row>
    <row r="51" spans="1:47" x14ac:dyDescent="0.25">
      <c r="B51">
        <v>2008</v>
      </c>
      <c r="C51">
        <v>4706011.4550000001</v>
      </c>
      <c r="D51">
        <f t="shared" si="0"/>
        <v>15.364351282393129</v>
      </c>
      <c r="E51">
        <f t="shared" si="1"/>
        <v>-1.3763970985062102E-2</v>
      </c>
      <c r="T51">
        <v>39</v>
      </c>
      <c r="U51" t="s">
        <v>102</v>
      </c>
      <c r="V51" t="s">
        <v>36</v>
      </c>
      <c r="W51" s="10">
        <v>2001</v>
      </c>
      <c r="X51" s="10">
        <v>1186912.5549520601</v>
      </c>
      <c r="Y51" s="10">
        <v>941300.53276682703</v>
      </c>
      <c r="Z51" s="10">
        <v>11639.277607628799</v>
      </c>
      <c r="AA51" s="10">
        <v>1871.3870317861099</v>
      </c>
      <c r="AB51" s="10">
        <v>1167710.2161441599</v>
      </c>
      <c r="AC51" s="10">
        <v>974.45005206285305</v>
      </c>
      <c r="AD51" s="10">
        <v>11.0732961268463</v>
      </c>
      <c r="AE51" s="10">
        <v>1162.6960848533299</v>
      </c>
      <c r="AF51" s="10">
        <v>3421.6484789015599</v>
      </c>
      <c r="AI51">
        <v>1871.3870317861099</v>
      </c>
      <c r="AJ51">
        <v>1162.6960848533299</v>
      </c>
      <c r="AK51">
        <f t="shared" si="3"/>
        <v>1533759.2568412747</v>
      </c>
      <c r="AL51">
        <f t="shared" si="4"/>
        <v>4119.1073983868082</v>
      </c>
      <c r="AN51" t="s">
        <v>105</v>
      </c>
    </row>
    <row r="52" spans="1:47" ht="15.75" thickBot="1" x14ac:dyDescent="0.3">
      <c r="B52">
        <v>2009</v>
      </c>
      <c r="C52">
        <v>2369159.9279999998</v>
      </c>
      <c r="D52">
        <f t="shared" si="0"/>
        <v>14.678045989515756</v>
      </c>
      <c r="E52">
        <f t="shared" si="1"/>
        <v>-0.68630529287737296</v>
      </c>
      <c r="T52">
        <v>40</v>
      </c>
      <c r="U52" t="s">
        <v>102</v>
      </c>
      <c r="V52" t="s">
        <v>36</v>
      </c>
      <c r="W52" s="10">
        <v>2002</v>
      </c>
      <c r="X52" s="10">
        <v>941300.53276682703</v>
      </c>
      <c r="Y52" s="10">
        <v>4157797.3451392301</v>
      </c>
      <c r="Z52" s="11">
        <v>7.4594738344762596E-8</v>
      </c>
      <c r="AA52" s="10">
        <v>9903.0144088112993</v>
      </c>
      <c r="AB52" s="10">
        <v>625825.29588940099</v>
      </c>
      <c r="AC52" s="10">
        <v>204767.56432058799</v>
      </c>
      <c r="AD52" s="10">
        <v>8095.7628824584399</v>
      </c>
      <c r="AE52" s="10">
        <v>85372.128452352394</v>
      </c>
      <c r="AF52" s="10">
        <v>7234.1169085940901</v>
      </c>
      <c r="AI52">
        <v>9903.0144088112993</v>
      </c>
      <c r="AJ52">
        <v>85372.128452352394</v>
      </c>
      <c r="AK52">
        <f t="shared" si="3"/>
        <v>1541959.6336418574</v>
      </c>
      <c r="AL52">
        <f t="shared" si="4"/>
        <v>101244.71347152487</v>
      </c>
    </row>
    <row r="53" spans="1:47" ht="15.75" thickBot="1" x14ac:dyDescent="0.3">
      <c r="A53" s="10"/>
      <c r="B53">
        <v>2010</v>
      </c>
      <c r="C53">
        <v>2815554.2560000001</v>
      </c>
      <c r="D53">
        <f t="shared" si="0"/>
        <v>14.850669693958194</v>
      </c>
      <c r="E53">
        <f t="shared" si="1"/>
        <v>0.17262370444243835</v>
      </c>
      <c r="T53">
        <v>41</v>
      </c>
      <c r="U53" t="s">
        <v>102</v>
      </c>
      <c r="V53" t="s">
        <v>36</v>
      </c>
      <c r="W53" s="10">
        <v>2003</v>
      </c>
      <c r="X53" s="10">
        <v>4157797.3451392301</v>
      </c>
      <c r="Y53" s="10">
        <v>7525949.1367229596</v>
      </c>
      <c r="Z53" s="10">
        <v>2051.16774657631</v>
      </c>
      <c r="AA53" s="10">
        <v>802308.79682670801</v>
      </c>
      <c r="AB53" s="10">
        <v>2422101.5669849399</v>
      </c>
      <c r="AC53" s="10">
        <v>41421.523842009301</v>
      </c>
      <c r="AD53" s="10">
        <v>47.012387864672398</v>
      </c>
      <c r="AE53" s="10">
        <v>269435.09362689801</v>
      </c>
      <c r="AF53" s="10">
        <v>620197.12178491906</v>
      </c>
      <c r="AI53">
        <v>802308.79682670801</v>
      </c>
      <c r="AJ53">
        <v>269435.09362689801</v>
      </c>
      <c r="AK53">
        <f t="shared" si="3"/>
        <v>2363813.5570542491</v>
      </c>
      <c r="AL53">
        <f t="shared" si="4"/>
        <v>1536261.2739030547</v>
      </c>
      <c r="AN53" s="13" t="s">
        <v>106</v>
      </c>
      <c r="AO53" s="14"/>
      <c r="AP53" s="15">
        <v>5129382.3173502218</v>
      </c>
      <c r="AQ53" s="12">
        <f>LN(AP53)</f>
        <v>15.450495803922955</v>
      </c>
      <c r="AR53" t="s">
        <v>107</v>
      </c>
      <c r="AU53">
        <v>4970000</v>
      </c>
    </row>
    <row r="54" spans="1:47" x14ac:dyDescent="0.25">
      <c r="A54" s="10"/>
      <c r="B54">
        <v>2011</v>
      </c>
      <c r="C54">
        <v>2249301.6710000001</v>
      </c>
      <c r="D54">
        <f t="shared" si="0"/>
        <v>14.626130357561905</v>
      </c>
      <c r="E54">
        <f t="shared" si="1"/>
        <v>-0.22453933639628865</v>
      </c>
      <c r="T54">
        <v>42</v>
      </c>
      <c r="U54" t="s">
        <v>102</v>
      </c>
      <c r="V54" t="s">
        <v>36</v>
      </c>
      <c r="W54" s="10">
        <v>2004</v>
      </c>
      <c r="X54" s="10">
        <v>7525949.1367229596</v>
      </c>
      <c r="Y54" s="10">
        <v>5224715.57924587</v>
      </c>
      <c r="Z54" s="10">
        <v>39954.212873833501</v>
      </c>
      <c r="AA54" s="10">
        <v>5559714.5741176996</v>
      </c>
      <c r="AB54" s="10">
        <v>1213013.1341530399</v>
      </c>
      <c r="AC54" s="10">
        <v>84.949876028747994</v>
      </c>
      <c r="AD54" s="11">
        <v>3.8618757322482898E-9</v>
      </c>
      <c r="AE54" s="10">
        <v>646231.01050435298</v>
      </c>
      <c r="AF54" s="10">
        <v>56520.484349160302</v>
      </c>
      <c r="AI54">
        <v>5559714.5741176996</v>
      </c>
      <c r="AJ54">
        <v>646231.01050435298</v>
      </c>
      <c r="AK54">
        <f t="shared" si="3"/>
        <v>7299165.959721338</v>
      </c>
      <c r="AL54">
        <f t="shared" si="4"/>
        <v>9421374.6417691763</v>
      </c>
      <c r="AN54" t="s">
        <v>108</v>
      </c>
    </row>
    <row r="55" spans="1:47" x14ac:dyDescent="0.25">
      <c r="A55" s="10"/>
      <c r="B55">
        <v>2012</v>
      </c>
      <c r="C55">
        <v>2227427.4</v>
      </c>
      <c r="D55">
        <f t="shared" si="0"/>
        <v>14.616357845203359</v>
      </c>
      <c r="E55">
        <f t="shared" si="1"/>
        <v>-9.7725123585465923E-3</v>
      </c>
      <c r="T55">
        <v>43</v>
      </c>
      <c r="U55" t="s">
        <v>102</v>
      </c>
      <c r="V55" t="s">
        <v>36</v>
      </c>
      <c r="W55" s="10">
        <v>2005</v>
      </c>
      <c r="X55" s="10">
        <v>5224715.57924587</v>
      </c>
      <c r="Y55" s="10">
        <v>3342878.9177765902</v>
      </c>
      <c r="Z55" s="10">
        <v>14.675832749492701</v>
      </c>
      <c r="AA55" s="10">
        <v>127914.74648942699</v>
      </c>
      <c r="AB55" s="10">
        <v>4007257.5700709601</v>
      </c>
      <c r="AC55" s="10">
        <v>277.28435223196402</v>
      </c>
      <c r="AD55" s="10">
        <v>17.8963723393896</v>
      </c>
      <c r="AE55" s="10">
        <v>34671.473962391203</v>
      </c>
      <c r="AF55" s="10">
        <v>1053967.2242004599</v>
      </c>
      <c r="AI55">
        <v>127914.74648942699</v>
      </c>
      <c r="AJ55">
        <v>34671.473962391203</v>
      </c>
      <c r="AK55">
        <f t="shared" si="3"/>
        <v>1664480.0943697153</v>
      </c>
      <c r="AL55">
        <f t="shared" si="4"/>
        <v>236621.93519055378</v>
      </c>
      <c r="AN55" t="s">
        <v>109</v>
      </c>
    </row>
    <row r="56" spans="1:47" x14ac:dyDescent="0.25">
      <c r="A56" s="10"/>
      <c r="B56">
        <v>2013</v>
      </c>
      <c r="C56">
        <v>1930231.2080000001</v>
      </c>
      <c r="D56">
        <f t="shared" si="0"/>
        <v>14.473150350597185</v>
      </c>
      <c r="E56">
        <f t="shared" si="1"/>
        <v>-0.14320749460617321</v>
      </c>
      <c r="T56">
        <v>44</v>
      </c>
      <c r="U56" t="s">
        <v>102</v>
      </c>
      <c r="V56" t="s">
        <v>36</v>
      </c>
      <c r="W56" s="10">
        <v>2006</v>
      </c>
      <c r="X56" s="10">
        <v>3342878.9177765902</v>
      </c>
      <c r="Y56" s="10">
        <v>4771232.6823479496</v>
      </c>
      <c r="Z56" s="11">
        <v>2.6908225396372699E-9</v>
      </c>
      <c r="AA56" s="10">
        <v>1774631.8424627001</v>
      </c>
      <c r="AB56" s="10">
        <v>1366722.7940110201</v>
      </c>
      <c r="AC56" s="10">
        <v>31485.865886474301</v>
      </c>
      <c r="AD56" s="11">
        <v>2.6908225396372699E-9</v>
      </c>
      <c r="AE56" s="10">
        <v>37516.649654499401</v>
      </c>
      <c r="AF56" s="10">
        <v>115780.485602792</v>
      </c>
      <c r="AI56">
        <v>1774631.8424627001</v>
      </c>
      <c r="AJ56">
        <v>37516.649654499401</v>
      </c>
      <c r="AK56">
        <f t="shared" si="3"/>
        <v>3372992.2055447553</v>
      </c>
      <c r="AL56">
        <f t="shared" si="4"/>
        <v>2838011.3031508853</v>
      </c>
      <c r="AN56" t="s">
        <v>110</v>
      </c>
    </row>
    <row r="57" spans="1:47" x14ac:dyDescent="0.25">
      <c r="A57" s="10"/>
      <c r="B57">
        <v>2014</v>
      </c>
      <c r="C57">
        <v>1621056.35</v>
      </c>
      <c r="D57">
        <f t="shared" si="0"/>
        <v>14.2985885626059</v>
      </c>
      <c r="E57">
        <f t="shared" si="1"/>
        <v>-0.1745617879912853</v>
      </c>
      <c r="T57">
        <v>45</v>
      </c>
      <c r="U57" t="s">
        <v>102</v>
      </c>
      <c r="V57" t="s">
        <v>36</v>
      </c>
      <c r="W57" s="10">
        <v>2007</v>
      </c>
      <c r="X57" s="10">
        <v>4771232.6823479496</v>
      </c>
      <c r="Y57" s="10">
        <v>4706011.4554488799</v>
      </c>
      <c r="Z57" s="10">
        <v>1822.4754486280899</v>
      </c>
      <c r="AA57" s="10">
        <v>2760468.6493307701</v>
      </c>
      <c r="AB57" s="10">
        <v>1836230.7495599</v>
      </c>
      <c r="AC57" s="10">
        <v>12340.6681596462</v>
      </c>
      <c r="AD57" s="11">
        <v>3.2836645516849202E-9</v>
      </c>
      <c r="AE57" s="10">
        <v>67960.439648040599</v>
      </c>
      <c r="AF57" s="10">
        <v>92409.700200949897</v>
      </c>
      <c r="AI57">
        <v>2760468.6493307701</v>
      </c>
      <c r="AJ57">
        <v>67960.439648040599</v>
      </c>
      <c r="AK57">
        <f t="shared" si="3"/>
        <v>4395778.4301523622</v>
      </c>
      <c r="AL57">
        <f t="shared" si="4"/>
        <v>4424202.9678305779</v>
      </c>
    </row>
    <row r="58" spans="1:47" x14ac:dyDescent="0.25">
      <c r="A58" s="10"/>
      <c r="B58">
        <v>2015</v>
      </c>
      <c r="C58">
        <v>8244122.3530000001</v>
      </c>
      <c r="D58">
        <f t="shared" si="0"/>
        <v>15.92501106234281</v>
      </c>
      <c r="E58">
        <f t="shared" si="1"/>
        <v>1.6264224997369094</v>
      </c>
      <c r="T58">
        <v>46</v>
      </c>
      <c r="U58" t="s">
        <v>102</v>
      </c>
      <c r="V58" t="s">
        <v>36</v>
      </c>
      <c r="W58" s="10">
        <v>2008</v>
      </c>
      <c r="X58" s="10">
        <v>4706011.4554488799</v>
      </c>
      <c r="Y58" s="10">
        <v>2369159.9284568802</v>
      </c>
      <c r="Z58" s="11">
        <v>3.3137610944095299E-9</v>
      </c>
      <c r="AA58" s="10">
        <v>860687.90830501996</v>
      </c>
      <c r="AB58" s="10">
        <v>3797307.2641897802</v>
      </c>
      <c r="AC58" s="10">
        <v>4217.8321262733398</v>
      </c>
      <c r="AD58" s="11">
        <v>3.3137610944095299E-9</v>
      </c>
      <c r="AE58" s="10">
        <v>5381.4814888645296</v>
      </c>
      <c r="AF58" s="10">
        <v>38416.969338911498</v>
      </c>
      <c r="AI58">
        <v>860687.90830501996</v>
      </c>
      <c r="AJ58">
        <v>5381.4814888645296</v>
      </c>
      <c r="AK58">
        <f t="shared" si="3"/>
        <v>2424799.5794989816</v>
      </c>
      <c r="AL58">
        <f t="shared" si="4"/>
        <v>1363571.0664464943</v>
      </c>
      <c r="AN58" t="s">
        <v>7</v>
      </c>
    </row>
    <row r="59" spans="1:47" ht="15.75" thickBot="1" x14ac:dyDescent="0.3">
      <c r="A59" s="10"/>
      <c r="B59">
        <v>2016</v>
      </c>
      <c r="C59">
        <v>4938142.3360000001</v>
      </c>
      <c r="D59">
        <f t="shared" si="0"/>
        <v>15.412499773097196</v>
      </c>
      <c r="E59">
        <f t="shared" si="1"/>
        <v>-0.51251128924561407</v>
      </c>
      <c r="T59">
        <v>47</v>
      </c>
      <c r="U59" t="s">
        <v>102</v>
      </c>
      <c r="V59" t="s">
        <v>36</v>
      </c>
      <c r="W59" s="10">
        <v>2009</v>
      </c>
      <c r="X59" s="10">
        <v>2369159.9284568802</v>
      </c>
      <c r="Y59" s="10">
        <v>2815554.2563738301</v>
      </c>
      <c r="Z59" s="10">
        <v>1340.20655608377</v>
      </c>
      <c r="AA59" s="10">
        <v>741790.31261922698</v>
      </c>
      <c r="AB59" s="10">
        <v>1378015.3680670301</v>
      </c>
      <c r="AC59" s="10">
        <v>116853.80505881899</v>
      </c>
      <c r="AD59" s="11">
        <v>3.2871775560735499E-9</v>
      </c>
      <c r="AE59" s="10">
        <v>109723.987646765</v>
      </c>
      <c r="AF59" s="10">
        <v>21436.248508950201</v>
      </c>
      <c r="AI59">
        <v>741790.31261922698</v>
      </c>
      <c r="AJ59">
        <v>109723.987646765</v>
      </c>
      <c r="AK59">
        <f t="shared" si="3"/>
        <v>2301275.4989482267</v>
      </c>
      <c r="AL59">
        <f t="shared" si="4"/>
        <v>1280592.0682627482</v>
      </c>
    </row>
    <row r="60" spans="1:47" x14ac:dyDescent="0.25">
      <c r="A60" s="10"/>
      <c r="B60">
        <v>2017</v>
      </c>
      <c r="C60">
        <v>4430315.2450000001</v>
      </c>
      <c r="D60">
        <f t="shared" si="0"/>
        <v>15.303981300889015</v>
      </c>
      <c r="E60">
        <f t="shared" si="1"/>
        <v>-0.10851847220818023</v>
      </c>
      <c r="T60">
        <v>48</v>
      </c>
      <c r="U60" t="s">
        <v>102</v>
      </c>
      <c r="V60" t="s">
        <v>36</v>
      </c>
      <c r="W60" s="10">
        <v>2010</v>
      </c>
      <c r="X60" s="10">
        <v>2815554.2563738301</v>
      </c>
      <c r="Y60" s="10">
        <v>2249301.6714230999</v>
      </c>
      <c r="Z60" s="10">
        <v>1625.2558897767599</v>
      </c>
      <c r="AA60" s="10">
        <v>666876.14270274702</v>
      </c>
      <c r="AB60" s="10">
        <v>1855297.3901086999</v>
      </c>
      <c r="AC60" s="10">
        <v>15868.2069265275</v>
      </c>
      <c r="AD60" s="11">
        <v>3.12613983449751E-9</v>
      </c>
      <c r="AE60" s="10">
        <v>127545.81053187999</v>
      </c>
      <c r="AF60" s="10">
        <v>148341.450214179</v>
      </c>
      <c r="AI60">
        <v>666876.14270274702</v>
      </c>
      <c r="AJ60">
        <v>127545.81053187999</v>
      </c>
      <c r="AK60">
        <f t="shared" si="3"/>
        <v>2223521.8042797148</v>
      </c>
      <c r="AL60">
        <f t="shared" si="4"/>
        <v>1180249.8388724476</v>
      </c>
      <c r="AN60" s="6" t="s">
        <v>8</v>
      </c>
      <c r="AO60" s="6"/>
    </row>
    <row r="61" spans="1:47" x14ac:dyDescent="0.25">
      <c r="A61" s="10"/>
      <c r="B61">
        <v>2018</v>
      </c>
      <c r="C61">
        <v>2873549.53</v>
      </c>
      <c r="D61">
        <f t="shared" si="0"/>
        <v>14.871058593600591</v>
      </c>
      <c r="E61">
        <f t="shared" si="1"/>
        <v>-0.43292270728842475</v>
      </c>
      <c r="T61">
        <v>49</v>
      </c>
      <c r="U61" t="s">
        <v>102</v>
      </c>
      <c r="V61" t="s">
        <v>36</v>
      </c>
      <c r="W61" s="10">
        <v>2011</v>
      </c>
      <c r="X61" s="10">
        <v>2249301.6714230999</v>
      </c>
      <c r="Y61" s="10">
        <v>2227427.3991779098</v>
      </c>
      <c r="Z61" s="10">
        <v>827.06982788781397</v>
      </c>
      <c r="AA61" s="10">
        <v>500487.02540779201</v>
      </c>
      <c r="AB61" s="10">
        <v>1577882.4304971399</v>
      </c>
      <c r="AC61" s="10">
        <v>7216.0269029819901</v>
      </c>
      <c r="AD61" s="11">
        <v>2.5678017202957501E-9</v>
      </c>
      <c r="AE61" s="10">
        <v>54790.960207699201</v>
      </c>
      <c r="AF61" s="10">
        <v>108098.158579582</v>
      </c>
      <c r="AI61">
        <v>500487.02540779201</v>
      </c>
      <c r="AJ61">
        <v>54790.960207699201</v>
      </c>
      <c r="AK61">
        <f t="shared" si="3"/>
        <v>2051002.9073125585</v>
      </c>
      <c r="AL61">
        <f t="shared" si="4"/>
        <v>844722.05882110854</v>
      </c>
      <c r="AN61" t="s">
        <v>9</v>
      </c>
      <c r="AO61">
        <v>0.74033350408541898</v>
      </c>
    </row>
    <row r="62" spans="1:47" x14ac:dyDescent="0.25">
      <c r="A62" s="10"/>
      <c r="B62">
        <v>2019</v>
      </c>
      <c r="C62">
        <v>1855135.622</v>
      </c>
      <c r="D62">
        <f t="shared" si="0"/>
        <v>14.433468362941447</v>
      </c>
      <c r="E62">
        <f t="shared" si="1"/>
        <v>-0.43759023065914349</v>
      </c>
      <c r="T62">
        <v>50</v>
      </c>
      <c r="U62" t="s">
        <v>102</v>
      </c>
      <c r="V62" t="s">
        <v>36</v>
      </c>
      <c r="W62" s="10">
        <v>2012</v>
      </c>
      <c r="X62" s="10">
        <v>2227427.3991779098</v>
      </c>
      <c r="Y62" s="10">
        <v>1930231.20777954</v>
      </c>
      <c r="Z62" s="10">
        <v>0</v>
      </c>
      <c r="AA62" s="10">
        <v>507010.23989482899</v>
      </c>
      <c r="AB62" s="10">
        <v>1099434.1426084701</v>
      </c>
      <c r="AC62" s="10">
        <v>623.63133065409295</v>
      </c>
      <c r="AD62" s="11">
        <v>2.8638726851505198E-9</v>
      </c>
      <c r="AE62" s="10">
        <v>481557.63723259</v>
      </c>
      <c r="AF62" s="10">
        <v>138224.73906025299</v>
      </c>
      <c r="AI62">
        <v>507010.23989482899</v>
      </c>
      <c r="AJ62">
        <v>481557.63723259</v>
      </c>
      <c r="AK62">
        <f t="shared" si="3"/>
        <v>2057098.5760609575</v>
      </c>
      <c r="AL62">
        <f t="shared" si="4"/>
        <v>1283009.8104701622</v>
      </c>
      <c r="AN62" t="s">
        <v>10</v>
      </c>
      <c r="AO62">
        <v>0.54809369727139512</v>
      </c>
    </row>
    <row r="63" spans="1:47" x14ac:dyDescent="0.25">
      <c r="A63" s="10"/>
      <c r="B63">
        <v>2020</v>
      </c>
      <c r="C63">
        <v>4561207.9639999997</v>
      </c>
      <c r="D63">
        <f t="shared" si="0"/>
        <v>15.333098050795561</v>
      </c>
      <c r="E63">
        <f t="shared" si="1"/>
        <v>0.89962968785411412</v>
      </c>
      <c r="T63">
        <v>51</v>
      </c>
      <c r="U63" t="s">
        <v>102</v>
      </c>
      <c r="V63" t="s">
        <v>36</v>
      </c>
      <c r="W63" s="10">
        <v>2013</v>
      </c>
      <c r="X63" s="10">
        <v>1930231.20777954</v>
      </c>
      <c r="Y63" s="10">
        <v>1621056.34954884</v>
      </c>
      <c r="Z63" s="11">
        <v>1.7679138243707999E-8</v>
      </c>
      <c r="AA63" s="10">
        <v>461079.56902672799</v>
      </c>
      <c r="AB63" s="10">
        <v>1252746.0009139399</v>
      </c>
      <c r="AC63" s="10">
        <v>258.78064353197402</v>
      </c>
      <c r="AD63" s="10">
        <v>172.52040172291899</v>
      </c>
      <c r="AE63" s="10">
        <v>89671.574437233197</v>
      </c>
      <c r="AF63" s="10">
        <v>126216.502114517</v>
      </c>
      <c r="AI63">
        <v>461079.56902672799</v>
      </c>
      <c r="AJ63">
        <v>89671.574437233197</v>
      </c>
      <c r="AK63">
        <f t="shared" si="3"/>
        <v>2010061.5789507334</v>
      </c>
      <c r="AL63">
        <f t="shared" si="4"/>
        <v>817517.62997384381</v>
      </c>
      <c r="AN63" t="s">
        <v>11</v>
      </c>
      <c r="AO63">
        <v>0.52169540085814781</v>
      </c>
    </row>
    <row r="64" spans="1:47" x14ac:dyDescent="0.25">
      <c r="A64" s="10"/>
      <c r="B64">
        <v>2021</v>
      </c>
      <c r="C64">
        <v>6124320.6040000003</v>
      </c>
      <c r="D64">
        <f t="shared" si="0"/>
        <v>15.627778386446868</v>
      </c>
      <c r="E64">
        <f t="shared" si="1"/>
        <v>0.29468033565130725</v>
      </c>
      <c r="T64">
        <v>52</v>
      </c>
      <c r="U64" t="s">
        <v>102</v>
      </c>
      <c r="V64" t="s">
        <v>36</v>
      </c>
      <c r="W64" s="10">
        <v>2014</v>
      </c>
      <c r="X64" s="10">
        <v>1621056.34954884</v>
      </c>
      <c r="Y64" s="10">
        <v>8244122.3534390004</v>
      </c>
      <c r="Z64" s="10">
        <v>119.853551294052</v>
      </c>
      <c r="AA64" s="10">
        <v>735455.24320706597</v>
      </c>
      <c r="AB64" s="10">
        <v>693019.59541326598</v>
      </c>
      <c r="AC64" s="10">
        <v>3907.4673038501801</v>
      </c>
      <c r="AD64" s="10">
        <v>239.70731395070101</v>
      </c>
      <c r="AE64" s="10">
        <v>117646.463620104</v>
      </c>
      <c r="AF64" s="10">
        <v>70466.884198924803</v>
      </c>
      <c r="AI64">
        <v>735455.24320706597</v>
      </c>
      <c r="AJ64">
        <v>117646.463620104</v>
      </c>
      <c r="AK64">
        <f t="shared" si="3"/>
        <v>2294690.1997230495</v>
      </c>
      <c r="AL64">
        <f t="shared" si="4"/>
        <v>1278540.5264564687</v>
      </c>
      <c r="AN64" t="s">
        <v>12</v>
      </c>
      <c r="AO64">
        <v>1994198.9173735762</v>
      </c>
    </row>
    <row r="65" spans="1:48" ht="15.75" thickBot="1" x14ac:dyDescent="0.3">
      <c r="A65" s="10"/>
      <c r="B65">
        <v>2022</v>
      </c>
      <c r="C65">
        <v>4645074.1610000003</v>
      </c>
      <c r="D65">
        <f t="shared" si="0"/>
        <v>15.351317895872269</v>
      </c>
      <c r="E65">
        <f t="shared" si="1"/>
        <v>-0.27646049057459976</v>
      </c>
      <c r="T65">
        <v>53</v>
      </c>
      <c r="U65" t="s">
        <v>102</v>
      </c>
      <c r="V65" t="s">
        <v>36</v>
      </c>
      <c r="W65" s="10">
        <v>2015</v>
      </c>
      <c r="X65" s="10">
        <v>8244122.3534390004</v>
      </c>
      <c r="Y65" s="10">
        <v>4938142.3356476501</v>
      </c>
      <c r="Z65" s="10">
        <v>39747.720164139901</v>
      </c>
      <c r="AA65" s="10">
        <v>3087316.4083772399</v>
      </c>
      <c r="AB65" s="10">
        <v>3182986.38969649</v>
      </c>
      <c r="AC65" s="10">
        <v>848.31177898306203</v>
      </c>
      <c r="AD65" s="10">
        <v>7.0954109527191694E-2</v>
      </c>
      <c r="AE65" s="10">
        <v>1800823.19644013</v>
      </c>
      <c r="AF65" s="10">
        <v>132394.059191204</v>
      </c>
      <c r="AI65">
        <v>3087316.4083772399</v>
      </c>
      <c r="AJ65">
        <v>1800823.19644013</v>
      </c>
      <c r="AK65">
        <f t="shared" si="3"/>
        <v>4732162.3691501394</v>
      </c>
      <c r="AL65">
        <f t="shared" si="4"/>
        <v>6677818.4474011036</v>
      </c>
      <c r="AN65" s="4" t="s">
        <v>13</v>
      </c>
      <c r="AO65" s="4">
        <v>57</v>
      </c>
    </row>
    <row r="66" spans="1:48" x14ac:dyDescent="0.25">
      <c r="A66" s="10"/>
      <c r="B66">
        <v>2023</v>
      </c>
      <c r="C66">
        <v>2539456.1979999999</v>
      </c>
      <c r="D66">
        <f t="shared" si="0"/>
        <v>14.747460520797464</v>
      </c>
      <c r="E66">
        <f t="shared" si="1"/>
        <v>-0.60385737507480464</v>
      </c>
      <c r="T66">
        <v>54</v>
      </c>
      <c r="U66" t="s">
        <v>102</v>
      </c>
      <c r="V66" t="s">
        <v>36</v>
      </c>
      <c r="W66" s="10">
        <v>2016</v>
      </c>
      <c r="X66" s="10">
        <v>4938142.3356476501</v>
      </c>
      <c r="Y66" s="10">
        <v>4430315.2449948899</v>
      </c>
      <c r="Z66" s="10">
        <v>2701.8935558933499</v>
      </c>
      <c r="AA66" s="10">
        <v>1123765.34372818</v>
      </c>
      <c r="AB66" s="10">
        <v>2498861.4972953498</v>
      </c>
      <c r="AC66" s="10">
        <v>12833.2777791232</v>
      </c>
      <c r="AD66" s="11">
        <v>4.45836630198898E-9</v>
      </c>
      <c r="AE66" s="10">
        <v>533352.51101273601</v>
      </c>
      <c r="AF66" s="10">
        <v>766627.81227635301</v>
      </c>
      <c r="AI66">
        <v>1123765.34372818</v>
      </c>
      <c r="AJ66">
        <v>533352.51101273601</v>
      </c>
      <c r="AK66">
        <f t="shared" si="3"/>
        <v>2696918.2257922855</v>
      </c>
      <c r="AL66">
        <f t="shared" si="4"/>
        <v>2308199.354108206</v>
      </c>
    </row>
    <row r="67" spans="1:48" ht="15.75" thickBot="1" x14ac:dyDescent="0.3">
      <c r="A67" s="10"/>
      <c r="B67">
        <v>2024</v>
      </c>
      <c r="C67">
        <v>4335434.7163846698</v>
      </c>
      <c r="D67">
        <f>LN(C67)</f>
        <v>15.282332443765249</v>
      </c>
      <c r="E67">
        <f>D67-D66</f>
        <v>0.53487192296778474</v>
      </c>
      <c r="T67">
        <v>55</v>
      </c>
      <c r="U67" t="s">
        <v>102</v>
      </c>
      <c r="V67" t="s">
        <v>36</v>
      </c>
      <c r="W67" s="10">
        <v>2017</v>
      </c>
      <c r="X67" s="10">
        <v>4430315.2449948899</v>
      </c>
      <c r="Y67" s="10">
        <v>2873549.5305123501</v>
      </c>
      <c r="Z67" s="10">
        <v>68087.606334700002</v>
      </c>
      <c r="AA67" s="10">
        <v>2677120.7196575999</v>
      </c>
      <c r="AB67" s="10">
        <v>1614660.8434347301</v>
      </c>
      <c r="AC67" s="10">
        <v>2.7506912366719498</v>
      </c>
      <c r="AD67" s="10">
        <v>0</v>
      </c>
      <c r="AE67" s="10">
        <v>22310.6646846369</v>
      </c>
      <c r="AF67" s="10">
        <v>48130.9857687361</v>
      </c>
      <c r="AI67">
        <v>2677120.7196575999</v>
      </c>
      <c r="AJ67">
        <v>22310.6646846369</v>
      </c>
      <c r="AK67">
        <f t="shared" si="3"/>
        <v>4309374.463034465</v>
      </c>
      <c r="AL67">
        <f t="shared" si="4"/>
        <v>4246898.0398011571</v>
      </c>
      <c r="AN67" t="s">
        <v>14</v>
      </c>
    </row>
    <row r="68" spans="1:48" ht="15.75" thickBot="1" x14ac:dyDescent="0.3">
      <c r="B68">
        <v>2025</v>
      </c>
      <c r="C68" s="16">
        <v>5756468.7830224112</v>
      </c>
      <c r="D68" s="1">
        <f>LN(C68)</f>
        <v>15.565834786171816</v>
      </c>
      <c r="T68">
        <v>56</v>
      </c>
      <c r="U68" t="s">
        <v>102</v>
      </c>
      <c r="V68" t="s">
        <v>36</v>
      </c>
      <c r="W68" s="10">
        <v>2018</v>
      </c>
      <c r="X68" s="10">
        <v>2873549.5305123501</v>
      </c>
      <c r="Y68" s="10">
        <v>1855135.6227310901</v>
      </c>
      <c r="Z68" s="10">
        <v>2697.7931794824999</v>
      </c>
      <c r="AA68" s="10">
        <v>1604307.4179976699</v>
      </c>
      <c r="AB68" s="10">
        <v>1235289.7543194499</v>
      </c>
      <c r="AC68" s="10">
        <v>10639.6519160961</v>
      </c>
      <c r="AD68" s="10">
        <v>34.983827358828897</v>
      </c>
      <c r="AE68" s="10">
        <v>3197.5298286942102</v>
      </c>
      <c r="AF68" s="10">
        <v>17181.105975629998</v>
      </c>
      <c r="AI68">
        <v>1604307.4179976699</v>
      </c>
      <c r="AJ68">
        <v>3197.5298286942102</v>
      </c>
      <c r="AK68">
        <f t="shared" si="3"/>
        <v>3196329.7595694233</v>
      </c>
      <c r="AL68">
        <f t="shared" si="4"/>
        <v>2534819.8404245451</v>
      </c>
      <c r="AN68" s="5"/>
      <c r="AO68" s="5" t="s">
        <v>19</v>
      </c>
      <c r="AP68" s="5" t="s">
        <v>20</v>
      </c>
      <c r="AQ68" s="5" t="s">
        <v>21</v>
      </c>
      <c r="AR68" s="5" t="s">
        <v>22</v>
      </c>
      <c r="AS68" s="5" t="s">
        <v>23</v>
      </c>
    </row>
    <row r="69" spans="1:48" x14ac:dyDescent="0.25">
      <c r="T69">
        <v>57</v>
      </c>
      <c r="U69" t="s">
        <v>102</v>
      </c>
      <c r="V69" t="s">
        <v>36</v>
      </c>
      <c r="W69" s="10">
        <v>2019</v>
      </c>
      <c r="X69" s="10">
        <v>1855135.6227310901</v>
      </c>
      <c r="Y69" s="10">
        <v>4561207.9638651703</v>
      </c>
      <c r="Z69" s="10">
        <v>4174.7281639448001</v>
      </c>
      <c r="AA69" s="10">
        <v>1230186.21043933</v>
      </c>
      <c r="AB69" s="10">
        <v>586590.71872316999</v>
      </c>
      <c r="AC69" s="10">
        <v>457.58360688202703</v>
      </c>
      <c r="AD69" s="10">
        <v>0.28460219630509898</v>
      </c>
      <c r="AE69" s="10">
        <v>24204.110633895601</v>
      </c>
      <c r="AF69" s="10">
        <v>9521.9670420554594</v>
      </c>
      <c r="AI69">
        <v>1230186.21043933</v>
      </c>
      <c r="AJ69">
        <v>24204.110633895601</v>
      </c>
      <c r="AK69">
        <f t="shared" si="3"/>
        <v>2808135.0958093824</v>
      </c>
      <c r="AL69">
        <f t="shared" si="4"/>
        <v>1965519.8371879994</v>
      </c>
      <c r="AN69" t="s">
        <v>15</v>
      </c>
      <c r="AO69">
        <v>2</v>
      </c>
      <c r="AP69">
        <v>265280942168662.81</v>
      </c>
      <c r="AQ69">
        <v>132640471084331.41</v>
      </c>
      <c r="AR69">
        <v>33.353322544862337</v>
      </c>
      <c r="AS69">
        <v>3.6973424144545277E-10</v>
      </c>
    </row>
    <row r="70" spans="1:48" x14ac:dyDescent="0.25">
      <c r="T70">
        <v>58</v>
      </c>
      <c r="U70" t="s">
        <v>102</v>
      </c>
      <c r="V70" t="s">
        <v>36</v>
      </c>
      <c r="W70" s="10">
        <v>2020</v>
      </c>
      <c r="X70" s="10">
        <v>4561207.9638651703</v>
      </c>
      <c r="Y70" s="10">
        <v>6124320.6042396696</v>
      </c>
      <c r="Z70" s="10">
        <v>6736.5785698312702</v>
      </c>
      <c r="AA70" s="10">
        <v>1839803.7759227799</v>
      </c>
      <c r="AB70" s="10">
        <v>2693830.1041272702</v>
      </c>
      <c r="AC70" s="11">
        <v>4.7279033802378503E-9</v>
      </c>
      <c r="AD70" s="11">
        <v>4.7284412253695403E-9</v>
      </c>
      <c r="AE70" s="10">
        <v>19769.619025591899</v>
      </c>
      <c r="AF70" s="10">
        <v>1067.8862196785899</v>
      </c>
      <c r="AI70">
        <v>1839803.7759227799</v>
      </c>
      <c r="AJ70">
        <v>19769.619025591899</v>
      </c>
      <c r="AK70">
        <f t="shared" si="3"/>
        <v>3440637.930409431</v>
      </c>
      <c r="AL70">
        <f t="shared" si="4"/>
        <v>2923055.1935560252</v>
      </c>
      <c r="AN70" t="s">
        <v>16</v>
      </c>
      <c r="AO70">
        <v>55</v>
      </c>
      <c r="AP70">
        <v>218725612712966.88</v>
      </c>
      <c r="AQ70">
        <v>3976829322053.9434</v>
      </c>
    </row>
    <row r="71" spans="1:48" ht="15.75" thickBot="1" x14ac:dyDescent="0.3">
      <c r="T71">
        <v>59</v>
      </c>
      <c r="U71" t="s">
        <v>102</v>
      </c>
      <c r="V71" t="s">
        <v>36</v>
      </c>
      <c r="W71" s="10">
        <v>2021</v>
      </c>
      <c r="X71" s="10">
        <v>6124320.6042396696</v>
      </c>
      <c r="Y71" s="10">
        <v>4645074.1605213201</v>
      </c>
      <c r="Z71" s="10">
        <v>2.01168508556661E-4</v>
      </c>
      <c r="AA71" s="10">
        <v>2324175.5808669301</v>
      </c>
      <c r="AB71" s="10">
        <v>2700670.9553842102</v>
      </c>
      <c r="AC71" s="10">
        <v>22635.2479337718</v>
      </c>
      <c r="AD71" s="10">
        <v>1400.8617931167601</v>
      </c>
      <c r="AE71" s="10">
        <v>359397.01576594601</v>
      </c>
      <c r="AF71" s="10">
        <v>716039.90352721699</v>
      </c>
      <c r="AI71">
        <v>2324175.5808669301</v>
      </c>
      <c r="AJ71">
        <v>359397.01576594601</v>
      </c>
      <c r="AK71">
        <f t="shared" si="3"/>
        <v>3942652.6110163834</v>
      </c>
      <c r="AL71">
        <f t="shared" si="4"/>
        <v>4028002.897202237</v>
      </c>
      <c r="AN71" s="4" t="s">
        <v>17</v>
      </c>
      <c r="AO71" s="4">
        <v>57</v>
      </c>
      <c r="AP71" s="4">
        <v>484006554881629.69</v>
      </c>
      <c r="AQ71" s="4"/>
      <c r="AR71" s="4"/>
      <c r="AS71" s="4"/>
    </row>
    <row r="72" spans="1:48" ht="15.75" thickBot="1" x14ac:dyDescent="0.3">
      <c r="T72">
        <v>60</v>
      </c>
      <c r="U72" t="s">
        <v>102</v>
      </c>
      <c r="V72" t="s">
        <v>36</v>
      </c>
      <c r="W72" s="10">
        <v>2022</v>
      </c>
      <c r="X72" s="10">
        <v>4645074.1605213201</v>
      </c>
      <c r="Y72" s="10">
        <v>2539456.19806688</v>
      </c>
      <c r="Z72" s="10">
        <v>8045.0439207613699</v>
      </c>
      <c r="AA72" s="10">
        <v>1106969.1845607299</v>
      </c>
      <c r="AB72" s="10">
        <v>2929533.3492246401</v>
      </c>
      <c r="AC72" s="10">
        <v>8130.4320492664401</v>
      </c>
      <c r="AD72" s="11">
        <v>1.04248478570975E-6</v>
      </c>
      <c r="AE72" s="10">
        <v>420868.00330782298</v>
      </c>
      <c r="AF72" s="10">
        <v>165740.13911615399</v>
      </c>
      <c r="AI72">
        <v>1106969.1845607299</v>
      </c>
      <c r="AJ72">
        <v>420868.00330782298</v>
      </c>
      <c r="AK72">
        <f t="shared" si="3"/>
        <v>2679668.9401956615</v>
      </c>
      <c r="AL72">
        <f t="shared" si="4"/>
        <v>2168886.8352148305</v>
      </c>
    </row>
    <row r="73" spans="1:48" ht="15.75" thickBot="1" x14ac:dyDescent="0.3">
      <c r="T73">
        <v>61</v>
      </c>
      <c r="U73" t="s">
        <v>102</v>
      </c>
      <c r="V73" t="s">
        <v>36</v>
      </c>
      <c r="W73" s="10">
        <v>2023</v>
      </c>
      <c r="X73" s="10">
        <v>2539456.19806688</v>
      </c>
      <c r="Y73" s="17">
        <v>4335434.7163846698</v>
      </c>
      <c r="Z73" s="10">
        <v>1427.3332173873</v>
      </c>
      <c r="AA73" s="10">
        <v>474456.84494400799</v>
      </c>
      <c r="AB73" s="10">
        <v>1167190.0771777099</v>
      </c>
      <c r="AC73" s="10">
        <v>6488.24452799558</v>
      </c>
      <c r="AD73" s="11">
        <v>9.2922072572112195E-5</v>
      </c>
      <c r="AE73" s="10">
        <v>46741.778986737198</v>
      </c>
      <c r="AF73" s="10">
        <v>843127.31570865505</v>
      </c>
      <c r="AI73">
        <v>474456.84494400799</v>
      </c>
      <c r="AJ73">
        <v>46741.778986737198</v>
      </c>
      <c r="AK73">
        <f t="shared" si="3"/>
        <v>2024008.5237318403</v>
      </c>
      <c r="AL73">
        <f t="shared" si="4"/>
        <v>795573.84370873426</v>
      </c>
      <c r="AN73" s="5"/>
      <c r="AO73" s="5" t="s">
        <v>24</v>
      </c>
      <c r="AP73" s="5" t="s">
        <v>12</v>
      </c>
      <c r="AQ73" s="5" t="s">
        <v>25</v>
      </c>
      <c r="AR73" s="5" t="s">
        <v>26</v>
      </c>
      <c r="AS73" s="5" t="s">
        <v>27</v>
      </c>
      <c r="AT73" s="5" t="s">
        <v>28</v>
      </c>
      <c r="AU73" s="5" t="s">
        <v>29</v>
      </c>
      <c r="AV73" s="5" t="s">
        <v>30</v>
      </c>
    </row>
    <row r="74" spans="1:48" ht="15.75" thickBot="1" x14ac:dyDescent="0.3">
      <c r="T74" s="4">
        <v>62</v>
      </c>
      <c r="U74" s="4" t="s">
        <v>102</v>
      </c>
      <c r="V74" s="4" t="s">
        <v>36</v>
      </c>
      <c r="W74" s="17">
        <v>2024</v>
      </c>
      <c r="X74" s="17">
        <v>4335434.7163846698</v>
      </c>
      <c r="Y74" s="17"/>
      <c r="Z74" s="17">
        <v>1.5504811501526399E-4</v>
      </c>
      <c r="AA74" s="17">
        <v>3467864.0640692799</v>
      </c>
      <c r="AB74" s="17">
        <v>556513.43957202602</v>
      </c>
      <c r="AC74" s="17">
        <v>5269.3748180126904</v>
      </c>
      <c r="AD74" s="17">
        <v>1.5239285303330499E-4</v>
      </c>
      <c r="AE74" s="17">
        <v>283329.83107897302</v>
      </c>
      <c r="AF74" s="17">
        <v>21962.5521945236</v>
      </c>
      <c r="AI74">
        <v>3467864.0640692799</v>
      </c>
      <c r="AJ74">
        <v>283329.83107897302</v>
      </c>
      <c r="AK74">
        <f t="shared" si="3"/>
        <v>5129382.3173502218</v>
      </c>
      <c r="AL74">
        <f t="shared" si="4"/>
        <v>5756468.7830224112</v>
      </c>
      <c r="AN74" t="s">
        <v>18</v>
      </c>
      <c r="AO74">
        <v>0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</row>
    <row r="75" spans="1:48" x14ac:dyDescent="0.25">
      <c r="AN75" t="s">
        <v>31</v>
      </c>
      <c r="AO75">
        <v>1.5780099787165025</v>
      </c>
      <c r="AP75">
        <v>0.2449547904655108</v>
      </c>
      <c r="AQ75">
        <v>6.4420457984008417</v>
      </c>
      <c r="AR75">
        <v>3.0825918832609453E-8</v>
      </c>
      <c r="AS75">
        <v>1.0871096087424099</v>
      </c>
      <c r="AT75">
        <v>2.0689103486905953</v>
      </c>
      <c r="AU75">
        <v>1.0871096087424099</v>
      </c>
      <c r="AV75">
        <v>2.0689103486905953</v>
      </c>
    </row>
    <row r="76" spans="1:48" ht="15.75" thickBot="1" x14ac:dyDescent="0.3">
      <c r="AN76" s="4" t="s">
        <v>32</v>
      </c>
      <c r="AO76" s="4">
        <v>1.0028759908783575</v>
      </c>
      <c r="AP76" s="4">
        <v>0.73370069554946027</v>
      </c>
      <c r="AQ76" s="4">
        <v>1.3668734362140884</v>
      </c>
      <c r="AR76" s="4">
        <v>0.17722635855879104</v>
      </c>
      <c r="AS76" s="4">
        <v>-0.46749306053315576</v>
      </c>
      <c r="AT76" s="4">
        <v>2.4732450422898706</v>
      </c>
      <c r="AU76" s="4">
        <v>-0.46749306053315576</v>
      </c>
      <c r="AV76" s="4">
        <v>2.4732450422898706</v>
      </c>
    </row>
    <row r="77" spans="1:48" ht="15.75" thickBot="1" x14ac:dyDescent="0.3"/>
    <row r="78" spans="1:48" ht="15.75" thickBot="1" x14ac:dyDescent="0.3">
      <c r="AM78" t="s">
        <v>111</v>
      </c>
      <c r="AN78" s="13" t="s">
        <v>112</v>
      </c>
      <c r="AO78" s="14"/>
      <c r="AP78" s="16">
        <v>5756468.7830224112</v>
      </c>
      <c r="AQ78" s="14" t="s">
        <v>113</v>
      </c>
      <c r="AR78" s="18"/>
    </row>
    <row r="80" spans="1:48" ht="15.75" thickBot="1" x14ac:dyDescent="0.3"/>
    <row r="81" spans="8:35" x14ac:dyDescent="0.25">
      <c r="AA81" s="19" t="s">
        <v>114</v>
      </c>
      <c r="AB81" s="20"/>
      <c r="AC81" s="20"/>
      <c r="AD81" s="21">
        <v>5756468.7830224112</v>
      </c>
      <c r="AE81" s="20"/>
      <c r="AF81" s="20"/>
      <c r="AG81" s="20"/>
      <c r="AH81" s="20"/>
      <c r="AI81" s="22"/>
    </row>
    <row r="82" spans="8:35" ht="15.75" thickBot="1" x14ac:dyDescent="0.3">
      <c r="AA82" s="23" t="s">
        <v>115</v>
      </c>
      <c r="AB82" s="4"/>
      <c r="AC82" s="4"/>
      <c r="AD82" s="4"/>
      <c r="AE82" s="4"/>
      <c r="AF82" s="4"/>
      <c r="AG82" s="4"/>
      <c r="AH82" s="4"/>
      <c r="AI82" s="24"/>
    </row>
    <row r="85" spans="8:35" x14ac:dyDescent="0.25">
      <c r="J85" t="s">
        <v>116</v>
      </c>
    </row>
    <row r="86" spans="8:35" x14ac:dyDescent="0.25">
      <c r="J86" t="s">
        <v>117</v>
      </c>
      <c r="K86" t="s">
        <v>118</v>
      </c>
    </row>
    <row r="87" spans="8:35" x14ac:dyDescent="0.25">
      <c r="K87" t="s">
        <v>119</v>
      </c>
      <c r="R87" t="s">
        <v>120</v>
      </c>
      <c r="S87">
        <v>-51.790999999999997</v>
      </c>
    </row>
    <row r="88" spans="8:35" x14ac:dyDescent="0.25">
      <c r="K88" t="s">
        <v>121</v>
      </c>
    </row>
    <row r="89" spans="8:35" x14ac:dyDescent="0.25">
      <c r="L89" t="s">
        <v>122</v>
      </c>
      <c r="N89" t="s">
        <v>123</v>
      </c>
    </row>
    <row r="90" spans="8:35" x14ac:dyDescent="0.25">
      <c r="J90" t="s">
        <v>124</v>
      </c>
      <c r="K90" t="s">
        <v>125</v>
      </c>
    </row>
    <row r="91" spans="8:35" x14ac:dyDescent="0.25">
      <c r="L91">
        <v>14.747460520797464</v>
      </c>
      <c r="M91">
        <v>-0.373</v>
      </c>
      <c r="N91">
        <f>SUM(L91:M91)</f>
        <v>14.374460520797465</v>
      </c>
      <c r="O91" t="s">
        <v>6</v>
      </c>
      <c r="P91" s="25">
        <f>EXP(N91)</f>
        <v>1748835.1938926987</v>
      </c>
    </row>
    <row r="92" spans="8:35" x14ac:dyDescent="0.25">
      <c r="J92" t="s">
        <v>126</v>
      </c>
      <c r="K92" t="s">
        <v>127</v>
      </c>
      <c r="N92" t="s">
        <v>128</v>
      </c>
      <c r="P92">
        <f>2024*0.0332-51.791</f>
        <v>15.405799999999999</v>
      </c>
      <c r="Q92" t="s">
        <v>129</v>
      </c>
      <c r="R92">
        <f>EXP(P92)</f>
        <v>4905168.4848288735</v>
      </c>
    </row>
    <row r="93" spans="8:35" x14ac:dyDescent="0.25">
      <c r="K93" t="s">
        <v>130</v>
      </c>
      <c r="O93">
        <f>(N91+P92)/2</f>
        <v>14.890130260398731</v>
      </c>
      <c r="Q93" t="s">
        <v>131</v>
      </c>
      <c r="R93" s="1">
        <f>EXP(O93)</f>
        <v>2928878.8432166399</v>
      </c>
      <c r="S93" t="s">
        <v>132</v>
      </c>
    </row>
    <row r="95" spans="8:35" x14ac:dyDescent="0.25">
      <c r="H95" t="s">
        <v>133</v>
      </c>
      <c r="J95" t="s">
        <v>134</v>
      </c>
      <c r="L95">
        <v>4335434.7163846698</v>
      </c>
      <c r="M95">
        <f>LN(L95)</f>
        <v>15.282332443765249</v>
      </c>
      <c r="N95" t="s">
        <v>135</v>
      </c>
      <c r="R95" s="2"/>
    </row>
    <row r="96" spans="8:35" x14ac:dyDescent="0.25">
      <c r="J96" t="s">
        <v>136</v>
      </c>
      <c r="L96" s="26">
        <v>3020000</v>
      </c>
      <c r="M96">
        <f>LN(L96)</f>
        <v>14.920767389351052</v>
      </c>
      <c r="N96" t="s">
        <v>137</v>
      </c>
      <c r="P96" s="10"/>
    </row>
    <row r="97" spans="10:40" x14ac:dyDescent="0.25">
      <c r="L97" s="26"/>
      <c r="P97" s="10"/>
      <c r="AN97" t="s">
        <v>138</v>
      </c>
    </row>
    <row r="98" spans="10:40" x14ac:dyDescent="0.25">
      <c r="L98" s="26"/>
      <c r="P98" s="10"/>
    </row>
    <row r="99" spans="10:40" x14ac:dyDescent="0.25">
      <c r="T99">
        <v>3.32E-2</v>
      </c>
    </row>
    <row r="101" spans="10:40" x14ac:dyDescent="0.25">
      <c r="J101" t="s">
        <v>139</v>
      </c>
      <c r="L101" t="s">
        <v>140</v>
      </c>
    </row>
    <row r="103" spans="10:40" x14ac:dyDescent="0.25">
      <c r="J103" t="s">
        <v>141</v>
      </c>
      <c r="M103">
        <v>-51.448999999999998</v>
      </c>
      <c r="N103">
        <v>3.3000000000000002E-2</v>
      </c>
      <c r="O103" t="s">
        <v>142</v>
      </c>
      <c r="R103" s="1">
        <f>EXP(S103)</f>
        <v>4761150.9823849155</v>
      </c>
      <c r="S103">
        <f>M103+N103*2025</f>
        <v>15.376000000000005</v>
      </c>
    </row>
    <row r="107" spans="10:40" x14ac:dyDescent="0.25">
      <c r="J107" t="s">
        <v>143</v>
      </c>
    </row>
    <row r="108" spans="10:40" x14ac:dyDescent="0.25">
      <c r="K108" t="s">
        <v>144</v>
      </c>
      <c r="P108">
        <v>2400967.6367169395</v>
      </c>
      <c r="Q108" t="s">
        <v>145</v>
      </c>
    </row>
    <row r="109" spans="10:40" x14ac:dyDescent="0.25">
      <c r="K109" t="s">
        <v>146</v>
      </c>
      <c r="P109" s="1">
        <v>3388475.1190267811</v>
      </c>
    </row>
    <row r="110" spans="10:40" x14ac:dyDescent="0.25">
      <c r="L110" t="s">
        <v>147</v>
      </c>
    </row>
    <row r="111" spans="10:40" x14ac:dyDescent="0.25">
      <c r="P111" s="26"/>
    </row>
    <row r="114" spans="11:40" x14ac:dyDescent="0.25">
      <c r="AN114" t="s">
        <v>148</v>
      </c>
    </row>
    <row r="115" spans="11:40" x14ac:dyDescent="0.25">
      <c r="AN115" t="s">
        <v>149</v>
      </c>
    </row>
    <row r="117" spans="11:40" x14ac:dyDescent="0.25">
      <c r="AN117" t="s">
        <v>150</v>
      </c>
    </row>
    <row r="120" spans="11:40" x14ac:dyDescent="0.25">
      <c r="T120">
        <v>4905168.4848288735</v>
      </c>
      <c r="U120">
        <f>LN(T120)</f>
        <v>15.405799999999999</v>
      </c>
    </row>
    <row r="121" spans="11:40" x14ac:dyDescent="0.25">
      <c r="K121" t="s">
        <v>151</v>
      </c>
      <c r="U121" s="1">
        <f>LN(P109)</f>
        <v>15.03589056076221</v>
      </c>
    </row>
    <row r="122" spans="11:40" x14ac:dyDescent="0.25">
      <c r="K122" t="s">
        <v>152</v>
      </c>
    </row>
    <row r="123" spans="11:40" x14ac:dyDescent="0.25">
      <c r="L123" t="s">
        <v>153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80A2-9381-4ADA-B28E-B8682CB660BF}">
  <dimension ref="A1:BD127"/>
  <sheetViews>
    <sheetView topLeftCell="A101" workbookViewId="0">
      <selection activeCell="M130" sqref="M130"/>
    </sheetView>
  </sheetViews>
  <sheetFormatPr defaultRowHeight="15" x14ac:dyDescent="0.25"/>
  <cols>
    <col min="10" max="10" width="9.7109375" customWidth="1"/>
    <col min="16" max="16" width="10.5703125" bestFit="1" customWidth="1"/>
    <col min="23" max="23" width="11.5703125" bestFit="1" customWidth="1"/>
    <col min="24" max="24" width="14.7109375" bestFit="1" customWidth="1"/>
    <col min="25" max="25" width="14.7109375" customWidth="1"/>
    <col min="26" max="26" width="13.7109375" bestFit="1" customWidth="1"/>
    <col min="27" max="28" width="14.7109375" bestFit="1" customWidth="1"/>
    <col min="29" max="29" width="15.140625" customWidth="1"/>
    <col min="30" max="30" width="12.5703125" bestFit="1" customWidth="1"/>
    <col min="31" max="32" width="14.7109375" bestFit="1" customWidth="1"/>
  </cols>
  <sheetData>
    <row r="1" spans="1:40" x14ac:dyDescent="0.25">
      <c r="A1" t="s">
        <v>81</v>
      </c>
      <c r="B1" t="s">
        <v>36</v>
      </c>
    </row>
    <row r="2" spans="1:40" x14ac:dyDescent="0.25">
      <c r="B2" s="9" t="s">
        <v>82</v>
      </c>
      <c r="C2" s="9"/>
      <c r="F2" s="1"/>
    </row>
    <row r="3" spans="1:40" x14ac:dyDescent="0.25">
      <c r="B3" s="9"/>
      <c r="C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40" x14ac:dyDescent="0.25">
      <c r="B4" s="9"/>
      <c r="C4" s="9" t="s">
        <v>83</v>
      </c>
      <c r="K4" t="s">
        <v>84</v>
      </c>
      <c r="M4" t="s">
        <v>85</v>
      </c>
    </row>
    <row r="5" spans="1:40" x14ac:dyDescent="0.25">
      <c r="B5" s="9" t="s">
        <v>86</v>
      </c>
      <c r="C5" s="9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 t="s">
        <v>95</v>
      </c>
      <c r="M5" t="s">
        <v>90</v>
      </c>
      <c r="N5" t="s">
        <v>91</v>
      </c>
      <c r="O5" t="s">
        <v>92</v>
      </c>
      <c r="P5" t="s">
        <v>93</v>
      </c>
      <c r="Q5" t="s">
        <v>94</v>
      </c>
    </row>
    <row r="6" spans="1:40" x14ac:dyDescent="0.25">
      <c r="B6">
        <v>1963</v>
      </c>
      <c r="C6">
        <v>378138.28100000002</v>
      </c>
      <c r="D6">
        <f t="shared" ref="D6:D66" si="0">LN(C6)</f>
        <v>12.843015230456219</v>
      </c>
    </row>
    <row r="7" spans="1:40" x14ac:dyDescent="0.25">
      <c r="B7">
        <v>1964</v>
      </c>
      <c r="C7">
        <v>759383.0503</v>
      </c>
      <c r="D7">
        <f t="shared" si="0"/>
        <v>13.540261606672965</v>
      </c>
      <c r="E7">
        <f>D7-D6</f>
        <v>0.69724637621674646</v>
      </c>
      <c r="F7">
        <f>D6</f>
        <v>12.843015230456219</v>
      </c>
    </row>
    <row r="8" spans="1:40" x14ac:dyDescent="0.25">
      <c r="B8">
        <v>1965</v>
      </c>
      <c r="C8">
        <v>397860.60820000002</v>
      </c>
      <c r="D8">
        <f t="shared" si="0"/>
        <v>12.89385699226823</v>
      </c>
      <c r="E8">
        <f t="shared" ref="E8:E66" si="1">D8-D7</f>
        <v>-0.64640461440473551</v>
      </c>
      <c r="F8">
        <f t="shared" ref="F8:F67" si="2">D7</f>
        <v>13.540261606672965</v>
      </c>
      <c r="G8">
        <f>D6</f>
        <v>12.843015230456219</v>
      </c>
      <c r="Z8" t="s">
        <v>96</v>
      </c>
    </row>
    <row r="9" spans="1:40" x14ac:dyDescent="0.25">
      <c r="B9">
        <v>1966</v>
      </c>
      <c r="C9">
        <v>394077.15909999999</v>
      </c>
      <c r="D9">
        <f t="shared" si="0"/>
        <v>12.884302004386033</v>
      </c>
      <c r="E9">
        <f t="shared" si="1"/>
        <v>-9.5549878821969969E-3</v>
      </c>
      <c r="F9">
        <f t="shared" si="2"/>
        <v>12.89385699226823</v>
      </c>
      <c r="G9">
        <f t="shared" ref="G9:G67" si="3">D7</f>
        <v>13.540261606672965</v>
      </c>
      <c r="H9">
        <f>D6</f>
        <v>12.843015230456219</v>
      </c>
      <c r="Z9" t="s">
        <v>47</v>
      </c>
      <c r="AA9" t="s">
        <v>48</v>
      </c>
      <c r="AB9" t="s">
        <v>49</v>
      </c>
      <c r="AC9" t="s">
        <v>50</v>
      </c>
      <c r="AD9" t="s">
        <v>51</v>
      </c>
      <c r="AE9" t="s">
        <v>52</v>
      </c>
      <c r="AF9" t="s">
        <v>53</v>
      </c>
    </row>
    <row r="10" spans="1:40" ht="15.75" thickBot="1" x14ac:dyDescent="0.3">
      <c r="B10">
        <v>1967</v>
      </c>
      <c r="C10">
        <v>344305.58559999999</v>
      </c>
      <c r="D10" s="4">
        <f t="shared" si="0"/>
        <v>12.749284872256306</v>
      </c>
      <c r="E10" s="4">
        <f t="shared" si="1"/>
        <v>-0.1350171321297271</v>
      </c>
      <c r="F10" s="4">
        <f t="shared" si="2"/>
        <v>12.884302004386033</v>
      </c>
      <c r="G10" s="4">
        <f t="shared" si="3"/>
        <v>12.89385699226823</v>
      </c>
      <c r="H10" s="4">
        <f t="shared" ref="H10:H67" si="4">D7</f>
        <v>13.540261606672965</v>
      </c>
      <c r="I10" s="4">
        <f>D6</f>
        <v>12.843015230456219</v>
      </c>
      <c r="J10" s="4"/>
      <c r="Z10" t="e">
        <f t="shared" ref="Z10:AF10" si="5">CORREL($Y$50:$Y$73,R54:R77)</f>
        <v>#DIV/0!</v>
      </c>
      <c r="AA10" t="e">
        <f t="shared" si="5"/>
        <v>#DIV/0!</v>
      </c>
      <c r="AB10">
        <f>CORREL($Y$50:$Y$73,T65:T88)</f>
        <v>0.1583791808768315</v>
      </c>
      <c r="AC10" t="e">
        <f>CORREL($Y$50:$Y$73,U65:U88)</f>
        <v>#DIV/0!</v>
      </c>
      <c r="AD10" t="e">
        <f>CORREL($Y$50:$Y$73,V65:V88)</f>
        <v>#DIV/0!</v>
      </c>
      <c r="AE10">
        <f>CORREL($Y$50:$Y$73,W65:W88)</f>
        <v>0.1583791808768315</v>
      </c>
      <c r="AF10">
        <f t="shared" si="5"/>
        <v>-0.30777178520148585</v>
      </c>
    </row>
    <row r="11" spans="1:40" x14ac:dyDescent="0.25">
      <c r="B11">
        <v>1968</v>
      </c>
      <c r="C11">
        <v>314033.55739999999</v>
      </c>
      <c r="D11">
        <f t="shared" si="0"/>
        <v>12.657255129880761</v>
      </c>
      <c r="E11">
        <f t="shared" si="1"/>
        <v>-9.2029742375544288E-2</v>
      </c>
      <c r="F11">
        <f t="shared" si="2"/>
        <v>12.749284872256306</v>
      </c>
      <c r="G11">
        <f t="shared" si="3"/>
        <v>12.884302004386033</v>
      </c>
      <c r="H11">
        <f t="shared" si="4"/>
        <v>12.89385699226823</v>
      </c>
      <c r="I11">
        <f t="shared" ref="I11:I67" si="6">D7</f>
        <v>13.540261606672965</v>
      </c>
      <c r="J11">
        <f>D6</f>
        <v>12.843015230456219</v>
      </c>
      <c r="K11">
        <f>STDEV(F11:J11)</f>
        <v>0.31719201700489447</v>
      </c>
      <c r="L11">
        <f>J11</f>
        <v>12.843015230456219</v>
      </c>
      <c r="M11">
        <f t="shared" ref="M11:Q30" si="7">F11-$L11</f>
        <v>-9.3730358199913155E-2</v>
      </c>
      <c r="N11">
        <f t="shared" si="7"/>
        <v>4.1286773929813947E-2</v>
      </c>
      <c r="O11">
        <f t="shared" si="7"/>
        <v>5.0841761812010944E-2</v>
      </c>
      <c r="P11">
        <f t="shared" si="7"/>
        <v>0.69724637621674646</v>
      </c>
      <c r="Q11">
        <f t="shared" si="7"/>
        <v>0</v>
      </c>
    </row>
    <row r="12" spans="1:40" x14ac:dyDescent="0.25">
      <c r="B12">
        <v>1969</v>
      </c>
      <c r="C12">
        <v>324288.95520000003</v>
      </c>
      <c r="D12">
        <f t="shared" si="0"/>
        <v>12.689390234361143</v>
      </c>
      <c r="E12">
        <f t="shared" si="1"/>
        <v>3.2135104480381926E-2</v>
      </c>
      <c r="F12">
        <f t="shared" si="2"/>
        <v>12.657255129880761</v>
      </c>
      <c r="G12">
        <f t="shared" si="3"/>
        <v>12.749284872256306</v>
      </c>
      <c r="H12">
        <f t="shared" si="4"/>
        <v>12.884302004386033</v>
      </c>
      <c r="I12">
        <f t="shared" si="6"/>
        <v>12.89385699226823</v>
      </c>
      <c r="J12">
        <f t="shared" ref="J12:J67" si="8">D7</f>
        <v>13.540261606672965</v>
      </c>
      <c r="K12">
        <f t="shared" ref="K12:K67" si="9">STDEV(F12:J12)</f>
        <v>0.34703665349915397</v>
      </c>
      <c r="L12">
        <f t="shared" ref="L12:L67" si="10">J12</f>
        <v>13.540261606672965</v>
      </c>
      <c r="M12">
        <f t="shared" si="7"/>
        <v>-0.8830064767922039</v>
      </c>
      <c r="N12">
        <f t="shared" si="7"/>
        <v>-0.79097673441665961</v>
      </c>
      <c r="O12">
        <f t="shared" si="7"/>
        <v>-0.65595960228693251</v>
      </c>
      <c r="P12">
        <f t="shared" si="7"/>
        <v>-0.64640461440473551</v>
      </c>
      <c r="Q12">
        <f t="shared" si="7"/>
        <v>0</v>
      </c>
      <c r="Z12" t="s">
        <v>97</v>
      </c>
    </row>
    <row r="13" spans="1:40" x14ac:dyDescent="0.25">
      <c r="B13">
        <v>1970</v>
      </c>
      <c r="C13">
        <v>500779.51150000002</v>
      </c>
      <c r="D13">
        <f t="shared" si="0"/>
        <v>13.123921186389593</v>
      </c>
      <c r="E13">
        <f t="shared" si="1"/>
        <v>0.43453095202844949</v>
      </c>
      <c r="F13">
        <f t="shared" si="2"/>
        <v>12.689390234361143</v>
      </c>
      <c r="G13">
        <f t="shared" si="3"/>
        <v>12.657255129880761</v>
      </c>
      <c r="H13">
        <f t="shared" si="4"/>
        <v>12.749284872256306</v>
      </c>
      <c r="I13">
        <f t="shared" si="6"/>
        <v>12.884302004386033</v>
      </c>
      <c r="J13">
        <f t="shared" si="8"/>
        <v>12.89385699226823</v>
      </c>
      <c r="K13">
        <f t="shared" si="9"/>
        <v>0.10946220932542781</v>
      </c>
      <c r="L13">
        <f t="shared" si="10"/>
        <v>12.89385699226823</v>
      </c>
      <c r="M13">
        <f t="shared" si="7"/>
        <v>-0.20446675790708646</v>
      </c>
      <c r="N13">
        <f t="shared" si="7"/>
        <v>-0.23660186238746839</v>
      </c>
      <c r="O13">
        <f t="shared" si="7"/>
        <v>-0.1445721200119241</v>
      </c>
      <c r="P13">
        <f t="shared" si="7"/>
        <v>-9.5549878821969969E-3</v>
      </c>
      <c r="Q13">
        <f t="shared" si="7"/>
        <v>0</v>
      </c>
      <c r="Z13" t="s">
        <v>98</v>
      </c>
    </row>
    <row r="14" spans="1:40" x14ac:dyDescent="0.25">
      <c r="B14">
        <v>1971</v>
      </c>
      <c r="C14">
        <v>537293.52439999999</v>
      </c>
      <c r="D14">
        <f t="shared" si="0"/>
        <v>13.194299824531871</v>
      </c>
      <c r="E14">
        <f t="shared" si="1"/>
        <v>7.0378638142278405E-2</v>
      </c>
      <c r="F14">
        <f t="shared" si="2"/>
        <v>13.123921186389593</v>
      </c>
      <c r="G14">
        <f t="shared" si="3"/>
        <v>12.689390234361143</v>
      </c>
      <c r="H14">
        <f t="shared" si="4"/>
        <v>12.657255129880761</v>
      </c>
      <c r="I14">
        <f t="shared" si="6"/>
        <v>12.749284872256306</v>
      </c>
      <c r="J14">
        <f t="shared" si="8"/>
        <v>12.884302004386033</v>
      </c>
      <c r="K14">
        <f t="shared" si="9"/>
        <v>0.19042374985480873</v>
      </c>
      <c r="L14">
        <f t="shared" si="10"/>
        <v>12.884302004386033</v>
      </c>
      <c r="M14">
        <f t="shared" si="7"/>
        <v>0.23961918200356003</v>
      </c>
      <c r="N14">
        <f t="shared" si="7"/>
        <v>-0.19491177002488946</v>
      </c>
      <c r="O14">
        <f t="shared" si="7"/>
        <v>-0.22704687450527139</v>
      </c>
      <c r="P14">
        <f t="shared" si="7"/>
        <v>-0.1350171321297271</v>
      </c>
      <c r="Q14">
        <f t="shared" si="7"/>
        <v>0</v>
      </c>
    </row>
    <row r="15" spans="1:40" x14ac:dyDescent="0.25">
      <c r="B15">
        <v>1972</v>
      </c>
      <c r="C15">
        <v>302589.30719999998</v>
      </c>
      <c r="D15">
        <f t="shared" si="0"/>
        <v>12.620131743294333</v>
      </c>
      <c r="E15">
        <f t="shared" si="1"/>
        <v>-0.57416808123753782</v>
      </c>
      <c r="F15">
        <f t="shared" si="2"/>
        <v>13.194299824531871</v>
      </c>
      <c r="G15">
        <f t="shared" si="3"/>
        <v>13.123921186389593</v>
      </c>
      <c r="H15">
        <f t="shared" si="4"/>
        <v>12.689390234361143</v>
      </c>
      <c r="I15">
        <f t="shared" si="6"/>
        <v>12.657255129880761</v>
      </c>
      <c r="J15">
        <f t="shared" si="8"/>
        <v>12.749284872256306</v>
      </c>
      <c r="K15">
        <f t="shared" si="9"/>
        <v>0.25557566289268996</v>
      </c>
      <c r="L15">
        <f t="shared" si="10"/>
        <v>12.749284872256306</v>
      </c>
      <c r="M15">
        <f t="shared" si="7"/>
        <v>0.44501495227556553</v>
      </c>
      <c r="N15">
        <f t="shared" si="7"/>
        <v>0.37463631413328713</v>
      </c>
      <c r="O15">
        <f t="shared" si="7"/>
        <v>-5.9894637895162361E-2</v>
      </c>
      <c r="P15">
        <f t="shared" si="7"/>
        <v>-9.2029742375544288E-2</v>
      </c>
      <c r="Q15">
        <f t="shared" si="7"/>
        <v>0</v>
      </c>
      <c r="Y15" t="s">
        <v>42</v>
      </c>
      <c r="AL15" t="s">
        <v>99</v>
      </c>
    </row>
    <row r="16" spans="1:40" x14ac:dyDescent="0.25">
      <c r="B16">
        <v>1973</v>
      </c>
      <c r="C16">
        <v>63552.969369999999</v>
      </c>
      <c r="D16">
        <f t="shared" si="0"/>
        <v>11.059629000467016</v>
      </c>
      <c r="E16">
        <f t="shared" si="1"/>
        <v>-1.5605027428273175</v>
      </c>
      <c r="F16">
        <f t="shared" si="2"/>
        <v>12.620131743294333</v>
      </c>
      <c r="G16">
        <f t="shared" si="3"/>
        <v>13.194299824531871</v>
      </c>
      <c r="H16">
        <f t="shared" si="4"/>
        <v>13.123921186389593</v>
      </c>
      <c r="I16">
        <f t="shared" si="6"/>
        <v>12.689390234361143</v>
      </c>
      <c r="J16">
        <f t="shared" si="8"/>
        <v>12.657255129880761</v>
      </c>
      <c r="K16">
        <f t="shared" si="9"/>
        <v>0.27799087623670149</v>
      </c>
      <c r="L16">
        <f t="shared" si="10"/>
        <v>12.657255129880761</v>
      </c>
      <c r="M16">
        <f t="shared" si="7"/>
        <v>-3.7123386586427998E-2</v>
      </c>
      <c r="N16">
        <f t="shared" si="7"/>
        <v>0.53704469465110982</v>
      </c>
      <c r="O16">
        <f t="shared" si="7"/>
        <v>0.46666605650883142</v>
      </c>
      <c r="P16">
        <f t="shared" si="7"/>
        <v>3.2135104480381926E-2</v>
      </c>
      <c r="Q16">
        <f t="shared" si="7"/>
        <v>0</v>
      </c>
      <c r="U16" t="s">
        <v>100</v>
      </c>
      <c r="V16" t="s">
        <v>43</v>
      </c>
      <c r="W16" t="s">
        <v>44</v>
      </c>
      <c r="X16" s="10" t="s">
        <v>45</v>
      </c>
      <c r="Y16" s="10" t="s">
        <v>46</v>
      </c>
      <c r="Z16" t="s">
        <v>47</v>
      </c>
      <c r="AA16" t="s">
        <v>48</v>
      </c>
      <c r="AB16" t="s">
        <v>49</v>
      </c>
      <c r="AC16" t="s">
        <v>50</v>
      </c>
      <c r="AD16" t="s">
        <v>51</v>
      </c>
      <c r="AE16" t="s">
        <v>52</v>
      </c>
      <c r="AF16" t="s">
        <v>53</v>
      </c>
      <c r="AI16" t="s">
        <v>48</v>
      </c>
      <c r="AJ16" t="s">
        <v>52</v>
      </c>
      <c r="AK16" t="s">
        <v>101</v>
      </c>
      <c r="AL16" t="s">
        <v>101</v>
      </c>
      <c r="AN16" t="s">
        <v>7</v>
      </c>
    </row>
    <row r="17" spans="2:51" ht="15.75" thickBot="1" x14ac:dyDescent="0.3">
      <c r="B17">
        <v>1974</v>
      </c>
      <c r="C17">
        <v>247579.7304</v>
      </c>
      <c r="D17">
        <f t="shared" si="0"/>
        <v>12.41948795214426</v>
      </c>
      <c r="E17">
        <f t="shared" si="1"/>
        <v>1.3598589516772446</v>
      </c>
      <c r="F17">
        <f t="shared" si="2"/>
        <v>11.059629000467016</v>
      </c>
      <c r="G17">
        <f t="shared" si="3"/>
        <v>12.620131743294333</v>
      </c>
      <c r="H17">
        <f t="shared" si="4"/>
        <v>13.194299824531871</v>
      </c>
      <c r="I17">
        <f t="shared" si="6"/>
        <v>13.123921186389593</v>
      </c>
      <c r="J17">
        <f t="shared" si="8"/>
        <v>12.689390234361143</v>
      </c>
      <c r="K17">
        <f t="shared" si="9"/>
        <v>0.86447630875997383</v>
      </c>
      <c r="L17">
        <f t="shared" si="10"/>
        <v>12.689390234361143</v>
      </c>
      <c r="M17">
        <f t="shared" si="7"/>
        <v>-1.6297612338941274</v>
      </c>
      <c r="N17">
        <f t="shared" si="7"/>
        <v>-6.9258491066809924E-2</v>
      </c>
      <c r="O17">
        <f t="shared" si="7"/>
        <v>0.5049095901707279</v>
      </c>
      <c r="P17">
        <f t="shared" si="7"/>
        <v>0.43453095202844949</v>
      </c>
      <c r="Q17">
        <f t="shared" si="7"/>
        <v>0</v>
      </c>
      <c r="T17">
        <v>5</v>
      </c>
      <c r="U17" t="s">
        <v>102</v>
      </c>
      <c r="V17" t="s">
        <v>36</v>
      </c>
      <c r="W17" s="10">
        <v>1967</v>
      </c>
      <c r="X17" s="10">
        <v>344305.58557739703</v>
      </c>
      <c r="Y17" s="10">
        <v>314033.55737485801</v>
      </c>
      <c r="Z17" s="10">
        <v>6377.2976221262898</v>
      </c>
      <c r="AA17" s="10">
        <v>231001.909353708</v>
      </c>
      <c r="AB17" s="10">
        <v>104885.02950868401</v>
      </c>
      <c r="AC17" s="11">
        <v>1.07023568731815E-9</v>
      </c>
      <c r="AD17" s="10">
        <v>415.02338220093401</v>
      </c>
      <c r="AE17" s="10">
        <v>1626.32571067297</v>
      </c>
      <c r="AF17" s="11">
        <v>1.07349935010011E-9</v>
      </c>
      <c r="AI17">
        <v>231001.909353708</v>
      </c>
      <c r="AJ17">
        <v>1626.32571067297</v>
      </c>
      <c r="AK17">
        <f>$AO$32+$AO$33*AI17+$AO$34*AJ17</f>
        <v>1771488.0674796803</v>
      </c>
      <c r="AL17">
        <f>$AO$75*AI17+$AO$76*AJ17</f>
        <v>366154.32107129833</v>
      </c>
    </row>
    <row r="18" spans="2:51" x14ac:dyDescent="0.25">
      <c r="B18">
        <v>1975</v>
      </c>
      <c r="C18">
        <v>112656.7016</v>
      </c>
      <c r="D18">
        <f t="shared" si="0"/>
        <v>11.632100434548072</v>
      </c>
      <c r="E18">
        <f t="shared" si="1"/>
        <v>-0.78738751759618886</v>
      </c>
      <c r="F18">
        <f t="shared" si="2"/>
        <v>12.41948795214426</v>
      </c>
      <c r="G18">
        <f t="shared" si="3"/>
        <v>11.059629000467016</v>
      </c>
      <c r="H18">
        <f t="shared" si="4"/>
        <v>12.620131743294333</v>
      </c>
      <c r="I18">
        <f t="shared" si="6"/>
        <v>13.194299824531871</v>
      </c>
      <c r="J18">
        <f t="shared" si="8"/>
        <v>13.123921186389593</v>
      </c>
      <c r="K18">
        <f t="shared" si="9"/>
        <v>0.86103862938968223</v>
      </c>
      <c r="L18">
        <f t="shared" si="10"/>
        <v>13.123921186389593</v>
      </c>
      <c r="M18">
        <f t="shared" si="7"/>
        <v>-0.70443323424533233</v>
      </c>
      <c r="N18">
        <f t="shared" si="7"/>
        <v>-2.0642921859225769</v>
      </c>
      <c r="O18">
        <f t="shared" si="7"/>
        <v>-0.50378944309525941</v>
      </c>
      <c r="P18">
        <f t="shared" si="7"/>
        <v>7.0378638142278405E-2</v>
      </c>
      <c r="Q18">
        <f t="shared" si="7"/>
        <v>0</v>
      </c>
      <c r="T18">
        <v>6</v>
      </c>
      <c r="U18" t="s">
        <v>102</v>
      </c>
      <c r="V18" t="s">
        <v>36</v>
      </c>
      <c r="W18" s="10">
        <v>1968</v>
      </c>
      <c r="X18" s="10">
        <v>314033.55737485801</v>
      </c>
      <c r="Y18" s="10">
        <v>324288.95516926399</v>
      </c>
      <c r="Z18" s="10">
        <v>8480.0418474477192</v>
      </c>
      <c r="AA18" s="10">
        <v>97650.421548388898</v>
      </c>
      <c r="AB18" s="10">
        <v>151684.16119201499</v>
      </c>
      <c r="AC18" s="11">
        <v>8.0880332283337902E-10</v>
      </c>
      <c r="AD18" s="10">
        <v>1880.2815250495701</v>
      </c>
      <c r="AE18" s="10">
        <v>30953.023329648</v>
      </c>
      <c r="AF18" s="10">
        <v>22573.016633527801</v>
      </c>
      <c r="AI18">
        <v>97650.421548388898</v>
      </c>
      <c r="AJ18">
        <v>30953.023329648</v>
      </c>
      <c r="AK18">
        <f t="shared" ref="AK18:AK74" si="11">$AO$32+$AO$33*AI18+$AO$34*AJ18</f>
        <v>1633085.8405814276</v>
      </c>
      <c r="AL18">
        <f t="shared" ref="AL18:AL74" si="12">$AO$75*AI18+$AO$76*AJ18</f>
        <v>185135.38357163232</v>
      </c>
      <c r="AN18" s="6" t="s">
        <v>8</v>
      </c>
      <c r="AO18" s="6"/>
    </row>
    <row r="19" spans="2:51" x14ac:dyDescent="0.25">
      <c r="B19">
        <v>1976</v>
      </c>
      <c r="C19">
        <v>157449.67069999999</v>
      </c>
      <c r="D19">
        <f t="shared" si="0"/>
        <v>11.966861135069378</v>
      </c>
      <c r="E19">
        <f t="shared" si="1"/>
        <v>0.33476070052130602</v>
      </c>
      <c r="F19">
        <f t="shared" si="2"/>
        <v>11.632100434548072</v>
      </c>
      <c r="G19">
        <f t="shared" si="3"/>
        <v>12.41948795214426</v>
      </c>
      <c r="H19">
        <f t="shared" si="4"/>
        <v>11.059629000467016</v>
      </c>
      <c r="I19">
        <f t="shared" si="6"/>
        <v>12.620131743294333</v>
      </c>
      <c r="J19">
        <f t="shared" si="8"/>
        <v>13.194299824531871</v>
      </c>
      <c r="K19">
        <f t="shared" si="9"/>
        <v>0.84189787108673775</v>
      </c>
      <c r="L19">
        <f t="shared" si="10"/>
        <v>13.194299824531871</v>
      </c>
      <c r="M19">
        <f t="shared" si="7"/>
        <v>-1.5621993899837996</v>
      </c>
      <c r="N19">
        <f t="shared" si="7"/>
        <v>-0.77481187238761073</v>
      </c>
      <c r="O19">
        <f t="shared" si="7"/>
        <v>-2.1346708240648553</v>
      </c>
      <c r="P19">
        <f t="shared" si="7"/>
        <v>-0.57416808123753782</v>
      </c>
      <c r="Q19">
        <f t="shared" si="7"/>
        <v>0</v>
      </c>
      <c r="T19">
        <v>7</v>
      </c>
      <c r="U19" t="s">
        <v>102</v>
      </c>
      <c r="V19" t="s">
        <v>36</v>
      </c>
      <c r="W19" s="10">
        <v>1969</v>
      </c>
      <c r="X19" s="10">
        <v>324288.95516926399</v>
      </c>
      <c r="Y19" s="10">
        <v>500779.51142110903</v>
      </c>
      <c r="Z19" s="10">
        <v>9662.4664898059491</v>
      </c>
      <c r="AA19" s="10">
        <v>110322.958582639</v>
      </c>
      <c r="AB19" s="10">
        <v>90731.091836028994</v>
      </c>
      <c r="AC19" s="11">
        <v>2.1571068725590798E-9</v>
      </c>
      <c r="AD19" s="10">
        <v>509.92968359188001</v>
      </c>
      <c r="AE19" s="10">
        <v>112243.297590412</v>
      </c>
      <c r="AF19" s="10">
        <v>819.21098677764303</v>
      </c>
      <c r="AI19">
        <v>110322.958582639</v>
      </c>
      <c r="AJ19">
        <v>112243.297590412</v>
      </c>
      <c r="AK19">
        <f t="shared" si="11"/>
        <v>1646105.8943439575</v>
      </c>
      <c r="AL19">
        <f t="shared" si="12"/>
        <v>286656.83781537053</v>
      </c>
      <c r="AN19" t="s">
        <v>9</v>
      </c>
      <c r="AO19">
        <v>0.56584055107298636</v>
      </c>
    </row>
    <row r="20" spans="2:51" x14ac:dyDescent="0.25">
      <c r="B20">
        <v>1977</v>
      </c>
      <c r="C20">
        <v>234915.33420000001</v>
      </c>
      <c r="D20">
        <f t="shared" si="0"/>
        <v>12.366980448209864</v>
      </c>
      <c r="E20">
        <f t="shared" si="1"/>
        <v>0.4001193131404861</v>
      </c>
      <c r="F20">
        <f t="shared" si="2"/>
        <v>11.966861135069378</v>
      </c>
      <c r="G20">
        <f t="shared" si="3"/>
        <v>11.632100434548072</v>
      </c>
      <c r="H20">
        <f t="shared" si="4"/>
        <v>12.41948795214426</v>
      </c>
      <c r="I20">
        <f t="shared" si="6"/>
        <v>11.059629000467016</v>
      </c>
      <c r="J20">
        <f t="shared" si="8"/>
        <v>12.620131743294333</v>
      </c>
      <c r="K20">
        <f t="shared" si="9"/>
        <v>0.62511279055455127</v>
      </c>
      <c r="L20">
        <f t="shared" si="10"/>
        <v>12.620131743294333</v>
      </c>
      <c r="M20">
        <f t="shared" si="7"/>
        <v>-0.65327060822495575</v>
      </c>
      <c r="N20">
        <f t="shared" si="7"/>
        <v>-0.98803130874626177</v>
      </c>
      <c r="O20">
        <f t="shared" si="7"/>
        <v>-0.20064379115007291</v>
      </c>
      <c r="P20">
        <f t="shared" si="7"/>
        <v>-1.5605027428273175</v>
      </c>
      <c r="Q20">
        <f t="shared" si="7"/>
        <v>0</v>
      </c>
      <c r="T20">
        <v>8</v>
      </c>
      <c r="U20" t="s">
        <v>102</v>
      </c>
      <c r="V20" t="s">
        <v>36</v>
      </c>
      <c r="W20" s="10">
        <v>1970</v>
      </c>
      <c r="X20" s="10">
        <v>500779.51142110903</v>
      </c>
      <c r="Y20" s="10">
        <v>537293.52445327595</v>
      </c>
      <c r="Z20" s="10">
        <v>5829.7840867585001</v>
      </c>
      <c r="AA20" s="10">
        <v>304544.09366823302</v>
      </c>
      <c r="AB20" s="10">
        <v>88347.848884584804</v>
      </c>
      <c r="AC20" s="10">
        <v>0</v>
      </c>
      <c r="AD20" s="10">
        <v>0</v>
      </c>
      <c r="AE20" s="10">
        <v>29040.271876447801</v>
      </c>
      <c r="AF20" s="10">
        <v>73017.512905070806</v>
      </c>
      <c r="AI20">
        <v>304544.09366823302</v>
      </c>
      <c r="AJ20">
        <v>29040.271876447801</v>
      </c>
      <c r="AK20">
        <f t="shared" si="11"/>
        <v>1847747.020167243</v>
      </c>
      <c r="AL20">
        <f t="shared" si="12"/>
        <v>509697.41020111443</v>
      </c>
      <c r="AN20" t="s">
        <v>10</v>
      </c>
      <c r="AO20">
        <v>0.32017552923858095</v>
      </c>
      <c r="AQ20" t="s">
        <v>103</v>
      </c>
    </row>
    <row r="21" spans="2:51" x14ac:dyDescent="0.25">
      <c r="B21">
        <v>1978</v>
      </c>
      <c r="C21">
        <v>1110702.155</v>
      </c>
      <c r="D21">
        <f t="shared" si="0"/>
        <v>13.92050294537121</v>
      </c>
      <c r="E21">
        <f t="shared" si="1"/>
        <v>1.5535224971613459</v>
      </c>
      <c r="F21">
        <f t="shared" si="2"/>
        <v>12.366980448209864</v>
      </c>
      <c r="G21">
        <f t="shared" si="3"/>
        <v>11.966861135069378</v>
      </c>
      <c r="H21">
        <f t="shared" si="4"/>
        <v>11.632100434548072</v>
      </c>
      <c r="I21">
        <f t="shared" si="6"/>
        <v>12.41948795214426</v>
      </c>
      <c r="J21">
        <f t="shared" si="8"/>
        <v>11.059629000467016</v>
      </c>
      <c r="K21">
        <f t="shared" si="9"/>
        <v>0.56342674179870833</v>
      </c>
      <c r="L21">
        <f t="shared" si="10"/>
        <v>11.059629000467016</v>
      </c>
      <c r="M21">
        <f t="shared" si="7"/>
        <v>1.3073514477428478</v>
      </c>
      <c r="N21">
        <f t="shared" si="7"/>
        <v>0.90723213460236174</v>
      </c>
      <c r="O21">
        <f t="shared" si="7"/>
        <v>0.57247143408105572</v>
      </c>
      <c r="P21">
        <f t="shared" si="7"/>
        <v>1.3598589516772446</v>
      </c>
      <c r="Q21">
        <f t="shared" si="7"/>
        <v>0</v>
      </c>
      <c r="T21">
        <v>9</v>
      </c>
      <c r="U21" t="s">
        <v>102</v>
      </c>
      <c r="V21" t="s">
        <v>36</v>
      </c>
      <c r="W21" s="10">
        <v>1971</v>
      </c>
      <c r="X21" s="10">
        <v>537293.52445327595</v>
      </c>
      <c r="Y21" s="10">
        <v>302589.30717202002</v>
      </c>
      <c r="Z21" s="10">
        <v>8143.4625124798904</v>
      </c>
      <c r="AA21" s="10">
        <v>260360.126735236</v>
      </c>
      <c r="AB21" s="10">
        <v>229247.61702939999</v>
      </c>
      <c r="AC21" s="10">
        <v>5497.0603030838101</v>
      </c>
      <c r="AD21" s="10">
        <v>2325.1893646583999</v>
      </c>
      <c r="AE21" s="10">
        <v>13317.4626320725</v>
      </c>
      <c r="AF21" s="10">
        <v>17530.7969367517</v>
      </c>
      <c r="AI21">
        <v>260360.126735236</v>
      </c>
      <c r="AJ21">
        <v>13317.4626320725</v>
      </c>
      <c r="AK21">
        <f t="shared" si="11"/>
        <v>1801929.6478116687</v>
      </c>
      <c r="AL21">
        <f t="shared" si="12"/>
        <v>424206.6415812209</v>
      </c>
      <c r="AN21" t="s">
        <v>11</v>
      </c>
      <c r="AO21">
        <v>0.2949968451363062</v>
      </c>
    </row>
    <row r="22" spans="2:51" x14ac:dyDescent="0.25">
      <c r="B22">
        <v>1979</v>
      </c>
      <c r="C22">
        <v>1620186.939</v>
      </c>
      <c r="D22" s="12">
        <f t="shared" si="0"/>
        <v>14.298052094995585</v>
      </c>
      <c r="E22" s="12">
        <f t="shared" si="1"/>
        <v>0.37754914962437525</v>
      </c>
      <c r="F22" s="12">
        <f t="shared" si="2"/>
        <v>13.92050294537121</v>
      </c>
      <c r="G22" s="12">
        <f t="shared" si="3"/>
        <v>12.366980448209864</v>
      </c>
      <c r="H22" s="12">
        <f t="shared" si="4"/>
        <v>11.966861135069378</v>
      </c>
      <c r="I22" s="12">
        <f t="shared" si="6"/>
        <v>11.632100434548072</v>
      </c>
      <c r="J22" s="12">
        <f t="shared" si="8"/>
        <v>12.41948795214426</v>
      </c>
      <c r="K22">
        <f t="shared" si="9"/>
        <v>0.87635028772151724</v>
      </c>
      <c r="L22">
        <f t="shared" si="10"/>
        <v>12.41948795214426</v>
      </c>
      <c r="M22">
        <f t="shared" si="7"/>
        <v>1.5010149932269492</v>
      </c>
      <c r="N22">
        <f t="shared" si="7"/>
        <v>-5.2507503934396738E-2</v>
      </c>
      <c r="O22">
        <f t="shared" si="7"/>
        <v>-0.45262681707488284</v>
      </c>
      <c r="P22">
        <f t="shared" si="7"/>
        <v>-0.78738751759618886</v>
      </c>
      <c r="Q22">
        <f t="shared" si="7"/>
        <v>0</v>
      </c>
      <c r="T22">
        <v>10</v>
      </c>
      <c r="U22" t="s">
        <v>102</v>
      </c>
      <c r="V22" t="s">
        <v>36</v>
      </c>
      <c r="W22" s="10">
        <v>1972</v>
      </c>
      <c r="X22" s="10">
        <v>302589.30717202002</v>
      </c>
      <c r="Y22" s="10">
        <v>63552.969370713901</v>
      </c>
      <c r="Z22" s="11">
        <v>7.0852196840766003E-9</v>
      </c>
      <c r="AA22" s="10">
        <v>182414.447683053</v>
      </c>
      <c r="AB22" s="10">
        <v>52163.066047070497</v>
      </c>
      <c r="AC22" s="11">
        <v>9.717918193017951E-10</v>
      </c>
      <c r="AD22" s="10">
        <v>0</v>
      </c>
      <c r="AE22" s="10">
        <v>59199.567021545998</v>
      </c>
      <c r="AF22" s="10">
        <v>8812.2264203387404</v>
      </c>
      <c r="AI22">
        <v>182414.447683053</v>
      </c>
      <c r="AJ22">
        <v>59199.567021545998</v>
      </c>
      <c r="AK22">
        <f t="shared" si="11"/>
        <v>1720986.4668545625</v>
      </c>
      <c r="AL22">
        <f t="shared" si="12"/>
        <v>347221.64314221975</v>
      </c>
      <c r="AN22" t="s">
        <v>12</v>
      </c>
      <c r="AO22">
        <v>1576760.9462610837</v>
      </c>
    </row>
    <row r="23" spans="2:51" ht="15.75" thickBot="1" x14ac:dyDescent="0.3">
      <c r="B23">
        <v>1980</v>
      </c>
      <c r="C23">
        <v>855660.86230000004</v>
      </c>
      <c r="D23">
        <f t="shared" si="0"/>
        <v>13.659629387718452</v>
      </c>
      <c r="E23">
        <f t="shared" si="1"/>
        <v>-0.63842270727713313</v>
      </c>
      <c r="F23">
        <f t="shared" si="2"/>
        <v>14.298052094995585</v>
      </c>
      <c r="G23">
        <f t="shared" si="3"/>
        <v>13.92050294537121</v>
      </c>
      <c r="H23">
        <f t="shared" si="4"/>
        <v>12.366980448209864</v>
      </c>
      <c r="I23">
        <f t="shared" si="6"/>
        <v>11.966861135069378</v>
      </c>
      <c r="J23">
        <f t="shared" si="8"/>
        <v>11.632100434548072</v>
      </c>
      <c r="K23">
        <f t="shared" si="9"/>
        <v>1.1977577794031418</v>
      </c>
      <c r="L23">
        <f t="shared" si="10"/>
        <v>11.632100434548072</v>
      </c>
      <c r="M23">
        <f t="shared" si="7"/>
        <v>2.6659516604475133</v>
      </c>
      <c r="N23">
        <f t="shared" si="7"/>
        <v>2.2884025108231381</v>
      </c>
      <c r="O23">
        <f t="shared" si="7"/>
        <v>0.73488001366179212</v>
      </c>
      <c r="P23">
        <f t="shared" si="7"/>
        <v>0.33476070052130602</v>
      </c>
      <c r="Q23">
        <f t="shared" si="7"/>
        <v>0</v>
      </c>
      <c r="T23">
        <v>11</v>
      </c>
      <c r="U23" t="s">
        <v>102</v>
      </c>
      <c r="V23" t="s">
        <v>36</v>
      </c>
      <c r="W23" s="10">
        <v>1973</v>
      </c>
      <c r="X23" s="10">
        <v>63552.969370713901</v>
      </c>
      <c r="Y23" s="10">
        <v>247579.730446879</v>
      </c>
      <c r="Z23" s="11">
        <v>4.4638464016442702E-10</v>
      </c>
      <c r="AA23" s="10">
        <v>1353.5625847451499</v>
      </c>
      <c r="AB23" s="10">
        <v>52504.168379925002</v>
      </c>
      <c r="AC23" s="11">
        <v>3.3478947095101902E-10</v>
      </c>
      <c r="AD23" s="10">
        <v>0</v>
      </c>
      <c r="AE23" s="10">
        <v>685.37333584882401</v>
      </c>
      <c r="AF23" s="10">
        <v>9009.8650701926999</v>
      </c>
      <c r="AI23">
        <v>1353.5625847451499</v>
      </c>
      <c r="AJ23">
        <v>685.37333584882401</v>
      </c>
      <c r="AK23">
        <f t="shared" si="11"/>
        <v>1533222.7510112317</v>
      </c>
      <c r="AL23">
        <f t="shared" si="12"/>
        <v>2823.2797288561428</v>
      </c>
      <c r="AN23" s="4" t="s">
        <v>13</v>
      </c>
      <c r="AO23" s="4">
        <v>57</v>
      </c>
    </row>
    <row r="24" spans="2:51" x14ac:dyDescent="0.25">
      <c r="B24">
        <v>1981</v>
      </c>
      <c r="C24">
        <v>667234.69750000001</v>
      </c>
      <c r="D24">
        <f t="shared" si="0"/>
        <v>13.410897133320763</v>
      </c>
      <c r="E24">
        <f t="shared" si="1"/>
        <v>-0.24873225439768909</v>
      </c>
      <c r="F24">
        <f t="shared" si="2"/>
        <v>13.659629387718452</v>
      </c>
      <c r="G24">
        <f t="shared" si="3"/>
        <v>14.298052094995585</v>
      </c>
      <c r="H24">
        <f t="shared" si="4"/>
        <v>13.92050294537121</v>
      </c>
      <c r="I24">
        <f t="shared" si="6"/>
        <v>12.366980448209864</v>
      </c>
      <c r="J24">
        <f t="shared" si="8"/>
        <v>11.966861135069378</v>
      </c>
      <c r="K24">
        <f t="shared" si="9"/>
        <v>1.0175539420142818</v>
      </c>
      <c r="L24">
        <f t="shared" si="10"/>
        <v>11.966861135069378</v>
      </c>
      <c r="M24">
        <f t="shared" si="7"/>
        <v>1.6927682526490742</v>
      </c>
      <c r="N24">
        <f t="shared" si="7"/>
        <v>2.3311909599262073</v>
      </c>
      <c r="O24">
        <f t="shared" si="7"/>
        <v>1.953641810301832</v>
      </c>
      <c r="P24">
        <f t="shared" si="7"/>
        <v>0.4001193131404861</v>
      </c>
      <c r="Q24">
        <f t="shared" si="7"/>
        <v>0</v>
      </c>
      <c r="T24">
        <v>12</v>
      </c>
      <c r="U24" t="s">
        <v>102</v>
      </c>
      <c r="V24" t="s">
        <v>36</v>
      </c>
      <c r="W24" s="10">
        <v>1974</v>
      </c>
      <c r="X24" s="10">
        <v>247579.730446879</v>
      </c>
      <c r="Y24" s="10">
        <v>112656.701619766</v>
      </c>
      <c r="Z24" s="10">
        <v>1232.55460274746</v>
      </c>
      <c r="AA24" s="10">
        <v>78027.480044075695</v>
      </c>
      <c r="AB24" s="10">
        <v>54756.533800925201</v>
      </c>
      <c r="AC24" s="10">
        <v>2129.5693344302199</v>
      </c>
      <c r="AD24" s="11">
        <v>9.2618781232176502E-10</v>
      </c>
      <c r="AE24" s="10">
        <v>108529.16742171699</v>
      </c>
      <c r="AF24" s="10">
        <v>2904.4252429818898</v>
      </c>
      <c r="AI24">
        <v>78027.480044075695</v>
      </c>
      <c r="AJ24">
        <v>108529.16742171699</v>
      </c>
      <c r="AK24">
        <f t="shared" si="11"/>
        <v>1612604.2531708842</v>
      </c>
      <c r="AL24">
        <f t="shared" si="12"/>
        <v>231969.43844091179</v>
      </c>
    </row>
    <row r="25" spans="2:51" ht="15.75" thickBot="1" x14ac:dyDescent="0.3">
      <c r="B25">
        <v>1982</v>
      </c>
      <c r="C25">
        <v>1345575.82</v>
      </c>
      <c r="D25">
        <f t="shared" si="0"/>
        <v>14.11233259836041</v>
      </c>
      <c r="E25">
        <f t="shared" si="1"/>
        <v>0.70143546503964771</v>
      </c>
      <c r="F25">
        <f t="shared" si="2"/>
        <v>13.410897133320763</v>
      </c>
      <c r="G25">
        <f t="shared" si="3"/>
        <v>13.659629387718452</v>
      </c>
      <c r="H25">
        <f t="shared" si="4"/>
        <v>14.298052094995585</v>
      </c>
      <c r="I25">
        <f t="shared" si="6"/>
        <v>13.92050294537121</v>
      </c>
      <c r="J25">
        <f t="shared" si="8"/>
        <v>12.366980448209864</v>
      </c>
      <c r="K25">
        <f t="shared" si="9"/>
        <v>0.72903925995727115</v>
      </c>
      <c r="L25">
        <f t="shared" si="10"/>
        <v>12.366980448209864</v>
      </c>
      <c r="M25">
        <f t="shared" si="7"/>
        <v>1.043916685110899</v>
      </c>
      <c r="N25">
        <f t="shared" si="7"/>
        <v>1.2926489395085881</v>
      </c>
      <c r="O25">
        <f t="shared" si="7"/>
        <v>1.9310716467857212</v>
      </c>
      <c r="P25">
        <f t="shared" si="7"/>
        <v>1.5535224971613459</v>
      </c>
      <c r="Q25">
        <f t="shared" si="7"/>
        <v>0</v>
      </c>
      <c r="T25">
        <v>13</v>
      </c>
      <c r="U25" t="s">
        <v>102</v>
      </c>
      <c r="V25" t="s">
        <v>36</v>
      </c>
      <c r="W25" s="10">
        <v>1975</v>
      </c>
      <c r="X25" s="10">
        <v>112656.701619766</v>
      </c>
      <c r="Y25" s="10">
        <v>157449.67068392399</v>
      </c>
      <c r="Z25" s="10">
        <v>1462.13105593817</v>
      </c>
      <c r="AA25" s="10">
        <v>28837.9158028944</v>
      </c>
      <c r="AB25" s="10">
        <v>58491.201634390702</v>
      </c>
      <c r="AC25" s="10">
        <v>0</v>
      </c>
      <c r="AD25" s="10">
        <v>0</v>
      </c>
      <c r="AE25" s="10">
        <v>8320.0927505093605</v>
      </c>
      <c r="AF25" s="10">
        <v>15545.360376026199</v>
      </c>
      <c r="AI25">
        <v>28837.9158028944</v>
      </c>
      <c r="AJ25">
        <v>8320.0927505093605</v>
      </c>
      <c r="AK25">
        <f t="shared" si="11"/>
        <v>1561726.5338337258</v>
      </c>
      <c r="AL25">
        <f t="shared" si="12"/>
        <v>53850.540163720594</v>
      </c>
      <c r="AN25" t="s">
        <v>14</v>
      </c>
    </row>
    <row r="26" spans="2:51" x14ac:dyDescent="0.25">
      <c r="B26">
        <v>1983</v>
      </c>
      <c r="C26">
        <v>2664575.1779999998</v>
      </c>
      <c r="D26">
        <f t="shared" si="0"/>
        <v>14.795555194995371</v>
      </c>
      <c r="E26">
        <f t="shared" si="1"/>
        <v>0.68322259663496077</v>
      </c>
      <c r="F26">
        <f t="shared" si="2"/>
        <v>14.11233259836041</v>
      </c>
      <c r="G26">
        <f t="shared" si="3"/>
        <v>13.410897133320763</v>
      </c>
      <c r="H26">
        <f t="shared" si="4"/>
        <v>13.659629387718452</v>
      </c>
      <c r="I26">
        <f t="shared" si="6"/>
        <v>14.298052094995585</v>
      </c>
      <c r="J26">
        <f t="shared" si="8"/>
        <v>13.92050294537121</v>
      </c>
      <c r="K26">
        <f t="shared" si="9"/>
        <v>0.35320206160542661</v>
      </c>
      <c r="L26">
        <f t="shared" si="10"/>
        <v>13.92050294537121</v>
      </c>
      <c r="M26">
        <f t="shared" si="7"/>
        <v>0.19182965298920074</v>
      </c>
      <c r="N26">
        <f t="shared" si="7"/>
        <v>-0.50960581205044697</v>
      </c>
      <c r="O26">
        <f t="shared" si="7"/>
        <v>-0.26087355765275788</v>
      </c>
      <c r="P26">
        <f t="shared" si="7"/>
        <v>0.37754914962437525</v>
      </c>
      <c r="Q26">
        <f t="shared" si="7"/>
        <v>0</v>
      </c>
      <c r="T26">
        <v>14</v>
      </c>
      <c r="U26" t="s">
        <v>102</v>
      </c>
      <c r="V26" t="s">
        <v>36</v>
      </c>
      <c r="W26" s="10">
        <v>1976</v>
      </c>
      <c r="X26" s="10">
        <v>157449.67068392399</v>
      </c>
      <c r="Y26" s="10">
        <v>234915.33416411001</v>
      </c>
      <c r="Z26" s="10">
        <v>0</v>
      </c>
      <c r="AA26" s="10">
        <v>70319.717258709905</v>
      </c>
      <c r="AB26" s="10">
        <v>56203.803488022597</v>
      </c>
      <c r="AC26" s="10">
        <v>0</v>
      </c>
      <c r="AD26" s="11">
        <v>1.0263018204556E-9</v>
      </c>
      <c r="AE26" s="10">
        <v>30123.169812246899</v>
      </c>
      <c r="AF26" s="10">
        <v>802.98012493857505</v>
      </c>
      <c r="AI26">
        <v>70319.717258709905</v>
      </c>
      <c r="AJ26">
        <v>30123.169812246899</v>
      </c>
      <c r="AK26">
        <f t="shared" si="11"/>
        <v>1604730.7521536169</v>
      </c>
      <c r="AL26">
        <f t="shared" si="12"/>
        <v>141175.01930862144</v>
      </c>
      <c r="AN26" s="5"/>
      <c r="AO26" s="5" t="s">
        <v>19</v>
      </c>
      <c r="AP26" s="5" t="s">
        <v>20</v>
      </c>
      <c r="AQ26" s="5" t="s">
        <v>21</v>
      </c>
      <c r="AR26" s="5" t="s">
        <v>22</v>
      </c>
      <c r="AS26" s="5" t="s">
        <v>23</v>
      </c>
    </row>
    <row r="27" spans="2:51" x14ac:dyDescent="0.25">
      <c r="B27">
        <v>1984</v>
      </c>
      <c r="C27">
        <v>1193249.4439999999</v>
      </c>
      <c r="D27">
        <f t="shared" si="0"/>
        <v>13.992190768913709</v>
      </c>
      <c r="E27">
        <f t="shared" si="1"/>
        <v>-0.80336442608166259</v>
      </c>
      <c r="F27">
        <f t="shared" si="2"/>
        <v>14.795555194995371</v>
      </c>
      <c r="G27">
        <f t="shared" si="3"/>
        <v>14.11233259836041</v>
      </c>
      <c r="H27">
        <f t="shared" si="4"/>
        <v>13.410897133320763</v>
      </c>
      <c r="I27">
        <f t="shared" si="6"/>
        <v>13.659629387718452</v>
      </c>
      <c r="J27">
        <f t="shared" si="8"/>
        <v>14.298052094995585</v>
      </c>
      <c r="K27">
        <f t="shared" si="9"/>
        <v>0.54359206635125956</v>
      </c>
      <c r="L27">
        <f t="shared" si="10"/>
        <v>14.298052094995585</v>
      </c>
      <c r="M27">
        <f t="shared" si="7"/>
        <v>0.49750309999978626</v>
      </c>
      <c r="N27">
        <f t="shared" si="7"/>
        <v>-0.18571949663517451</v>
      </c>
      <c r="O27">
        <f t="shared" si="7"/>
        <v>-0.88715496167482222</v>
      </c>
      <c r="P27">
        <f t="shared" si="7"/>
        <v>-0.63842270727713313</v>
      </c>
      <c r="Q27">
        <f t="shared" si="7"/>
        <v>0</v>
      </c>
      <c r="T27">
        <v>15</v>
      </c>
      <c r="U27" t="s">
        <v>102</v>
      </c>
      <c r="V27" t="s">
        <v>36</v>
      </c>
      <c r="W27" s="10">
        <v>1977</v>
      </c>
      <c r="X27" s="10">
        <v>234915.33416411001</v>
      </c>
      <c r="Y27" s="10">
        <v>1110702.1544836799</v>
      </c>
      <c r="Z27" s="10">
        <v>0</v>
      </c>
      <c r="AA27" s="11">
        <v>2.1065944309084099E-8</v>
      </c>
      <c r="AB27" s="10">
        <v>27572.160952725601</v>
      </c>
      <c r="AC27" s="10">
        <v>0</v>
      </c>
      <c r="AD27" s="10">
        <v>0</v>
      </c>
      <c r="AE27" s="11">
        <v>2.97670952157567E-8</v>
      </c>
      <c r="AF27" s="10">
        <v>207343.17321130799</v>
      </c>
      <c r="AI27">
        <v>2.1065944309084099E-8</v>
      </c>
      <c r="AJ27">
        <v>2.97670952157567E-8</v>
      </c>
      <c r="AK27">
        <f t="shared" si="11"/>
        <v>1531819.4704780476</v>
      </c>
      <c r="AL27">
        <f t="shared" si="12"/>
        <v>6.3094975440893247E-8</v>
      </c>
      <c r="AN27" t="s">
        <v>15</v>
      </c>
      <c r="AO27">
        <v>2</v>
      </c>
      <c r="AP27">
        <v>63229072600857.094</v>
      </c>
      <c r="AQ27">
        <v>31614536300428.547</v>
      </c>
      <c r="AR27">
        <v>12.716134327673407</v>
      </c>
      <c r="AS27">
        <v>2.983413277141439E-5</v>
      </c>
    </row>
    <row r="28" spans="2:51" x14ac:dyDescent="0.25">
      <c r="B28">
        <v>1985</v>
      </c>
      <c r="C28">
        <v>843580.10880000005</v>
      </c>
      <c r="D28">
        <f t="shared" si="0"/>
        <v>13.6454101483614</v>
      </c>
      <c r="E28">
        <f t="shared" si="1"/>
        <v>-0.34678062055230896</v>
      </c>
      <c r="F28">
        <f t="shared" si="2"/>
        <v>13.992190768913709</v>
      </c>
      <c r="G28">
        <f t="shared" si="3"/>
        <v>14.795555194995371</v>
      </c>
      <c r="H28">
        <f t="shared" si="4"/>
        <v>14.11233259836041</v>
      </c>
      <c r="I28">
        <f t="shared" si="6"/>
        <v>13.410897133320763</v>
      </c>
      <c r="J28">
        <f t="shared" si="8"/>
        <v>13.659629387718452</v>
      </c>
      <c r="K28">
        <f t="shared" si="9"/>
        <v>0.526381324240763</v>
      </c>
      <c r="L28">
        <f t="shared" si="10"/>
        <v>13.659629387718452</v>
      </c>
      <c r="M28">
        <f t="shared" si="7"/>
        <v>0.3325613811952568</v>
      </c>
      <c r="N28">
        <f t="shared" si="7"/>
        <v>1.1359258072769194</v>
      </c>
      <c r="O28">
        <f t="shared" si="7"/>
        <v>0.45270321064195862</v>
      </c>
      <c r="P28">
        <f t="shared" si="7"/>
        <v>-0.24873225439768909</v>
      </c>
      <c r="Q28">
        <f t="shared" si="7"/>
        <v>0</v>
      </c>
      <c r="T28">
        <v>16</v>
      </c>
      <c r="U28" t="s">
        <v>102</v>
      </c>
      <c r="V28" t="s">
        <v>36</v>
      </c>
      <c r="W28" s="10">
        <v>1978</v>
      </c>
      <c r="X28" s="10">
        <v>1110702.1544836799</v>
      </c>
      <c r="Y28" s="10">
        <v>1620186.93918502</v>
      </c>
      <c r="Z28" s="10">
        <v>0</v>
      </c>
      <c r="AA28" s="10">
        <v>722581.359778921</v>
      </c>
      <c r="AB28" s="10">
        <v>6686.6405200101999</v>
      </c>
      <c r="AC28" s="11">
        <v>1.49688610441306E-8</v>
      </c>
      <c r="AD28" s="11">
        <v>6.3878580783088694E-8</v>
      </c>
      <c r="AE28" s="10">
        <v>350599.51976364403</v>
      </c>
      <c r="AF28" s="11">
        <v>2.1364595636920099E-7</v>
      </c>
      <c r="AI28">
        <v>722581.359778921</v>
      </c>
      <c r="AJ28">
        <v>350599.51976364403</v>
      </c>
      <c r="AK28">
        <f t="shared" si="11"/>
        <v>2280966.1646935879</v>
      </c>
      <c r="AL28">
        <f t="shared" si="12"/>
        <v>1491848.4369501173</v>
      </c>
      <c r="AN28" t="s">
        <v>16</v>
      </c>
      <c r="AO28">
        <v>54</v>
      </c>
      <c r="AP28">
        <v>134253454409324</v>
      </c>
      <c r="AQ28">
        <v>2486175081654.1479</v>
      </c>
    </row>
    <row r="29" spans="2:51" ht="15.75" thickBot="1" x14ac:dyDescent="0.3">
      <c r="B29">
        <v>1986</v>
      </c>
      <c r="C29">
        <v>1020938.708</v>
      </c>
      <c r="D29">
        <f t="shared" si="0"/>
        <v>13.836233064003027</v>
      </c>
      <c r="E29">
        <f t="shared" si="1"/>
        <v>0.19082291564162723</v>
      </c>
      <c r="F29">
        <f t="shared" si="2"/>
        <v>13.6454101483614</v>
      </c>
      <c r="G29">
        <f t="shared" si="3"/>
        <v>13.992190768913709</v>
      </c>
      <c r="H29">
        <f t="shared" si="4"/>
        <v>14.795555194995371</v>
      </c>
      <c r="I29">
        <f t="shared" si="6"/>
        <v>14.11233259836041</v>
      </c>
      <c r="J29">
        <f t="shared" si="8"/>
        <v>13.410897133320763</v>
      </c>
      <c r="K29">
        <f t="shared" si="9"/>
        <v>0.52867366506236657</v>
      </c>
      <c r="L29">
        <f t="shared" si="10"/>
        <v>13.410897133320763</v>
      </c>
      <c r="M29">
        <f t="shared" si="7"/>
        <v>0.23451301504063693</v>
      </c>
      <c r="N29">
        <f t="shared" si="7"/>
        <v>0.58129363559294589</v>
      </c>
      <c r="O29">
        <f t="shared" si="7"/>
        <v>1.3846580616746085</v>
      </c>
      <c r="P29">
        <f t="shared" si="7"/>
        <v>0.70143546503964771</v>
      </c>
      <c r="Q29">
        <f t="shared" si="7"/>
        <v>0</v>
      </c>
      <c r="T29">
        <v>17</v>
      </c>
      <c r="U29" t="s">
        <v>102</v>
      </c>
      <c r="V29" t="s">
        <v>36</v>
      </c>
      <c r="W29" s="10">
        <v>1979</v>
      </c>
      <c r="X29" s="10">
        <v>1620186.93918502</v>
      </c>
      <c r="Y29" s="10">
        <v>855660.862369649</v>
      </c>
      <c r="Z29" s="11">
        <v>3.7947067267458502E-8</v>
      </c>
      <c r="AA29" s="11">
        <v>8.1642260699105195E-8</v>
      </c>
      <c r="AB29" s="11">
        <v>2.8488228459524999E-8</v>
      </c>
      <c r="AC29" s="10">
        <v>1377.89295868572</v>
      </c>
      <c r="AD29" s="11">
        <v>3.2255007171676703E-8</v>
      </c>
      <c r="AE29" s="10">
        <v>1551297.18495049</v>
      </c>
      <c r="AF29" s="11">
        <v>3.7984304616130497E-8</v>
      </c>
      <c r="AI29">
        <v>8.1642260699105195E-8</v>
      </c>
      <c r="AJ29">
        <v>1551297.18495049</v>
      </c>
      <c r="AK29">
        <f t="shared" si="11"/>
        <v>1529375.4600384748</v>
      </c>
      <c r="AL29">
        <f t="shared" si="12"/>
        <v>1555758.7015041581</v>
      </c>
      <c r="AN29" s="4" t="s">
        <v>17</v>
      </c>
      <c r="AO29" s="4">
        <v>56</v>
      </c>
      <c r="AP29" s="4">
        <v>197482527010181.09</v>
      </c>
      <c r="AQ29" s="4"/>
      <c r="AR29" s="4"/>
      <c r="AS29" s="4"/>
    </row>
    <row r="30" spans="2:51" ht="15.75" thickBot="1" x14ac:dyDescent="0.3">
      <c r="B30">
        <v>1987</v>
      </c>
      <c r="C30">
        <v>780737.31909999996</v>
      </c>
      <c r="D30">
        <f t="shared" si="0"/>
        <v>13.567994033066578</v>
      </c>
      <c r="E30">
        <f t="shared" si="1"/>
        <v>-0.2682390309364493</v>
      </c>
      <c r="F30">
        <f t="shared" si="2"/>
        <v>13.836233064003027</v>
      </c>
      <c r="G30">
        <f t="shared" si="3"/>
        <v>13.6454101483614</v>
      </c>
      <c r="H30">
        <f t="shared" si="4"/>
        <v>13.992190768913709</v>
      </c>
      <c r="I30">
        <f t="shared" si="6"/>
        <v>14.795555194995371</v>
      </c>
      <c r="J30">
        <f t="shared" si="8"/>
        <v>14.11233259836041</v>
      </c>
      <c r="K30">
        <f t="shared" si="9"/>
        <v>0.43846292163467809</v>
      </c>
      <c r="L30">
        <f t="shared" si="10"/>
        <v>14.11233259836041</v>
      </c>
      <c r="M30">
        <f t="shared" si="7"/>
        <v>-0.27609953435738355</v>
      </c>
      <c r="N30">
        <f t="shared" si="7"/>
        <v>-0.46692244999901078</v>
      </c>
      <c r="O30">
        <f t="shared" si="7"/>
        <v>-0.12014182944670182</v>
      </c>
      <c r="P30">
        <f t="shared" si="7"/>
        <v>0.68322259663496077</v>
      </c>
      <c r="Q30">
        <f t="shared" si="7"/>
        <v>0</v>
      </c>
      <c r="T30">
        <v>18</v>
      </c>
      <c r="U30" t="s">
        <v>102</v>
      </c>
      <c r="V30" t="s">
        <v>36</v>
      </c>
      <c r="W30" s="10">
        <v>1980</v>
      </c>
      <c r="X30" s="10">
        <v>855660.862369649</v>
      </c>
      <c r="Y30" s="10">
        <v>667234.69757733005</v>
      </c>
      <c r="Z30" s="10">
        <v>163393.681931834</v>
      </c>
      <c r="AA30" s="10">
        <v>1.3020350252655201E-2</v>
      </c>
      <c r="AB30" s="10">
        <v>467274.994785132</v>
      </c>
      <c r="AC30" s="10">
        <v>1866.9778464338599</v>
      </c>
      <c r="AD30" s="10">
        <v>1.46139377608859</v>
      </c>
      <c r="AE30" s="10">
        <v>2.4200018740000599E-2</v>
      </c>
      <c r="AF30" s="10">
        <v>0.212863893700389</v>
      </c>
      <c r="AI30">
        <v>1.3020350252655201E-2</v>
      </c>
      <c r="AJ30">
        <v>2.4200018740000599E-2</v>
      </c>
      <c r="AK30">
        <f t="shared" si="11"/>
        <v>1531819.4839488892</v>
      </c>
      <c r="AL30">
        <f t="shared" si="12"/>
        <v>4.481586039822677E-2</v>
      </c>
    </row>
    <row r="31" spans="2:51" x14ac:dyDescent="0.25">
      <c r="B31">
        <v>1988</v>
      </c>
      <c r="C31">
        <v>851134.59849999996</v>
      </c>
      <c r="D31">
        <f t="shared" si="0"/>
        <v>13.654325560148614</v>
      </c>
      <c r="E31">
        <f t="shared" si="1"/>
        <v>8.6331527082036175E-2</v>
      </c>
      <c r="F31">
        <f t="shared" si="2"/>
        <v>13.567994033066578</v>
      </c>
      <c r="G31">
        <f t="shared" si="3"/>
        <v>13.836233064003027</v>
      </c>
      <c r="H31">
        <f t="shared" si="4"/>
        <v>13.6454101483614</v>
      </c>
      <c r="I31">
        <f t="shared" si="6"/>
        <v>13.992190768913709</v>
      </c>
      <c r="J31">
        <f t="shared" si="8"/>
        <v>14.795555194995371</v>
      </c>
      <c r="K31">
        <f t="shared" si="9"/>
        <v>0.49164594372637166</v>
      </c>
      <c r="L31">
        <f t="shared" si="10"/>
        <v>14.795555194995371</v>
      </c>
      <c r="T31">
        <v>19</v>
      </c>
      <c r="U31" t="s">
        <v>102</v>
      </c>
      <c r="V31" t="s">
        <v>36</v>
      </c>
      <c r="W31" s="10">
        <v>1981</v>
      </c>
      <c r="X31" s="10">
        <v>667234.69757733005</v>
      </c>
      <c r="Y31" s="10">
        <v>1345575.8198595301</v>
      </c>
      <c r="Z31" s="10">
        <v>0</v>
      </c>
      <c r="AA31" s="11">
        <v>2.8777801477125102E-7</v>
      </c>
      <c r="AB31" s="10">
        <v>157897.41741392299</v>
      </c>
      <c r="AC31" s="10">
        <v>0</v>
      </c>
      <c r="AD31" s="10">
        <v>0</v>
      </c>
      <c r="AE31" s="11">
        <v>1.8934959236271399E-6</v>
      </c>
      <c r="AF31" s="10">
        <v>492798.39563922503</v>
      </c>
      <c r="AI31">
        <v>2.8777801477125102E-7</v>
      </c>
      <c r="AJ31">
        <v>1.8934959236271399E-6</v>
      </c>
      <c r="AK31">
        <f t="shared" si="11"/>
        <v>1531819.4704783212</v>
      </c>
      <c r="AL31">
        <f t="shared" si="12"/>
        <v>2.353058179595958E-6</v>
      </c>
      <c r="AN31" s="5"/>
      <c r="AO31" s="5" t="s">
        <v>24</v>
      </c>
      <c r="AP31" s="5" t="s">
        <v>12</v>
      </c>
      <c r="AQ31" s="5" t="s">
        <v>25</v>
      </c>
      <c r="AR31" s="5" t="s">
        <v>26</v>
      </c>
      <c r="AS31" s="5" t="s">
        <v>27</v>
      </c>
      <c r="AT31" s="5" t="s">
        <v>28</v>
      </c>
      <c r="AU31" s="5" t="s">
        <v>29</v>
      </c>
      <c r="AV31" s="5" t="s">
        <v>30</v>
      </c>
    </row>
    <row r="32" spans="2:51" x14ac:dyDescent="0.25">
      <c r="B32">
        <v>1989</v>
      </c>
      <c r="C32">
        <v>1379369.767</v>
      </c>
      <c r="D32">
        <f t="shared" si="0"/>
        <v>14.137137262238774</v>
      </c>
      <c r="E32">
        <f t="shared" si="1"/>
        <v>0.48281170209016011</v>
      </c>
      <c r="F32">
        <f t="shared" si="2"/>
        <v>13.654325560148614</v>
      </c>
      <c r="G32">
        <f t="shared" si="3"/>
        <v>13.567994033066578</v>
      </c>
      <c r="H32">
        <f t="shared" si="4"/>
        <v>13.836233064003027</v>
      </c>
      <c r="I32">
        <f t="shared" si="6"/>
        <v>13.6454101483614</v>
      </c>
      <c r="J32">
        <f t="shared" si="8"/>
        <v>13.992190768913709</v>
      </c>
      <c r="K32">
        <f t="shared" si="9"/>
        <v>0.17228713668787449</v>
      </c>
      <c r="L32">
        <f t="shared" si="10"/>
        <v>13.992190768913709</v>
      </c>
      <c r="T32">
        <v>20</v>
      </c>
      <c r="U32" t="s">
        <v>102</v>
      </c>
      <c r="V32" t="s">
        <v>36</v>
      </c>
      <c r="W32" s="10">
        <v>1982</v>
      </c>
      <c r="X32" s="10">
        <v>1345575.8198595301</v>
      </c>
      <c r="Y32" s="10">
        <v>2664575.17756896</v>
      </c>
      <c r="Z32" s="10">
        <v>0</v>
      </c>
      <c r="AA32" s="10">
        <v>561752.38068303105</v>
      </c>
      <c r="AB32" s="10">
        <v>689174.63941949105</v>
      </c>
      <c r="AC32" s="11">
        <v>2.2064745985621501E-8</v>
      </c>
      <c r="AD32" s="10">
        <v>0</v>
      </c>
      <c r="AE32" s="11">
        <v>2.6308110363613501E-8</v>
      </c>
      <c r="AF32" s="10">
        <v>94648.799756924695</v>
      </c>
      <c r="AI32">
        <v>561752.38068303105</v>
      </c>
      <c r="AJ32">
        <v>2.6308110363613501E-8</v>
      </c>
      <c r="AK32">
        <f t="shared" si="11"/>
        <v>2114653.8056908138</v>
      </c>
      <c r="AL32">
        <f t="shared" si="12"/>
        <v>886450.86228560086</v>
      </c>
      <c r="AN32" t="s">
        <v>18</v>
      </c>
      <c r="AO32">
        <v>1531819.4704780257</v>
      </c>
      <c r="AP32">
        <v>262794.72570795898</v>
      </c>
      <c r="AQ32">
        <v>5.8289581967498112</v>
      </c>
      <c r="AR32">
        <v>3.2021617354748232E-7</v>
      </c>
      <c r="AS32">
        <v>1004947.7678610771</v>
      </c>
      <c r="AT32">
        <v>2058691.1730949744</v>
      </c>
      <c r="AU32">
        <v>1004947.7678610771</v>
      </c>
      <c r="AV32">
        <v>2058691.1730949744</v>
      </c>
      <c r="AY32" t="s">
        <v>104</v>
      </c>
    </row>
    <row r="33" spans="2:56" x14ac:dyDescent="0.25">
      <c r="B33">
        <v>1990</v>
      </c>
      <c r="C33">
        <v>1591425.186</v>
      </c>
      <c r="D33">
        <f t="shared" si="0"/>
        <v>14.280140516116788</v>
      </c>
      <c r="E33">
        <f t="shared" si="1"/>
        <v>0.14300325387801394</v>
      </c>
      <c r="F33">
        <f t="shared" si="2"/>
        <v>14.137137262238774</v>
      </c>
      <c r="G33">
        <f t="shared" si="3"/>
        <v>13.654325560148614</v>
      </c>
      <c r="H33">
        <f t="shared" si="4"/>
        <v>13.567994033066578</v>
      </c>
      <c r="I33">
        <f t="shared" si="6"/>
        <v>13.836233064003027</v>
      </c>
      <c r="J33">
        <f t="shared" si="8"/>
        <v>13.6454101483614</v>
      </c>
      <c r="K33">
        <f t="shared" si="9"/>
        <v>0.22851168688702292</v>
      </c>
      <c r="L33">
        <f t="shared" si="10"/>
        <v>13.6454101483614</v>
      </c>
      <c r="T33">
        <v>21</v>
      </c>
      <c r="U33" t="s">
        <v>102</v>
      </c>
      <c r="V33" t="s">
        <v>36</v>
      </c>
      <c r="W33" s="10">
        <v>1983</v>
      </c>
      <c r="X33" s="10">
        <v>2664575.17756896</v>
      </c>
      <c r="Y33" s="10">
        <v>1193249.44342189</v>
      </c>
      <c r="Z33" s="10">
        <v>0</v>
      </c>
      <c r="AA33" s="10">
        <v>947783.06213282596</v>
      </c>
      <c r="AB33" s="10">
        <v>1026219.17470876</v>
      </c>
      <c r="AC33" s="11">
        <v>3.5584400418184002E-8</v>
      </c>
      <c r="AD33" s="10">
        <v>16623.337547858599</v>
      </c>
      <c r="AE33" s="10">
        <v>512955.08714974899</v>
      </c>
      <c r="AF33" s="10">
        <v>145046.23468979599</v>
      </c>
      <c r="AI33">
        <v>947783.06213282596</v>
      </c>
      <c r="AJ33">
        <v>512955.08714974899</v>
      </c>
      <c r="AK33">
        <f t="shared" si="11"/>
        <v>2514363.6563666514</v>
      </c>
      <c r="AL33">
        <f t="shared" si="12"/>
        <v>2010041.471005481</v>
      </c>
      <c r="AN33" t="s">
        <v>31</v>
      </c>
      <c r="AO33">
        <v>1.0375289099872151</v>
      </c>
      <c r="AP33">
        <v>0.21473082405455354</v>
      </c>
      <c r="AQ33">
        <v>4.8317651392406766</v>
      </c>
      <c r="AR33">
        <v>1.1593956009878411E-5</v>
      </c>
      <c r="AS33">
        <v>0.60701952830468675</v>
      </c>
      <c r="AT33">
        <v>1.4680382916697434</v>
      </c>
      <c r="AU33">
        <v>0.60701952830468675</v>
      </c>
      <c r="AV33">
        <v>1.4680382916697434</v>
      </c>
    </row>
    <row r="34" spans="2:56" ht="15.75" thickBot="1" x14ac:dyDescent="0.3">
      <c r="B34">
        <v>1991</v>
      </c>
      <c r="C34">
        <v>1684654.871</v>
      </c>
      <c r="D34">
        <f t="shared" si="0"/>
        <v>14.337071276456888</v>
      </c>
      <c r="E34">
        <f t="shared" si="1"/>
        <v>5.6930760340099695E-2</v>
      </c>
      <c r="F34">
        <f t="shared" si="2"/>
        <v>14.280140516116788</v>
      </c>
      <c r="G34">
        <f t="shared" si="3"/>
        <v>14.137137262238774</v>
      </c>
      <c r="H34">
        <f t="shared" si="4"/>
        <v>13.654325560148614</v>
      </c>
      <c r="I34">
        <f t="shared" si="6"/>
        <v>13.567994033066578</v>
      </c>
      <c r="J34">
        <f t="shared" si="8"/>
        <v>13.836233064003027</v>
      </c>
      <c r="K34">
        <f t="shared" si="9"/>
        <v>0.3062981285320151</v>
      </c>
      <c r="L34">
        <f t="shared" si="10"/>
        <v>13.836233064003027</v>
      </c>
      <c r="T34">
        <v>22</v>
      </c>
      <c r="U34" t="s">
        <v>102</v>
      </c>
      <c r="V34" t="s">
        <v>36</v>
      </c>
      <c r="W34" s="10">
        <v>1984</v>
      </c>
      <c r="X34" s="10">
        <v>1193249.44342189</v>
      </c>
      <c r="Y34" s="10">
        <v>843580.10872609494</v>
      </c>
      <c r="Z34" s="10">
        <v>0</v>
      </c>
      <c r="AA34" s="11">
        <v>1.7125592388208699E-8</v>
      </c>
      <c r="AB34" s="10">
        <v>81154.7648968063</v>
      </c>
      <c r="AC34" s="10">
        <v>15371.060847430301</v>
      </c>
      <c r="AD34" s="11">
        <v>5.1303709269791002E-8</v>
      </c>
      <c r="AE34" s="10">
        <v>1047576.63469065</v>
      </c>
      <c r="AF34" s="11">
        <v>2.1415124025424101E-8</v>
      </c>
      <c r="AI34">
        <v>1.7125592388208699E-8</v>
      </c>
      <c r="AJ34">
        <v>1047576.63469065</v>
      </c>
      <c r="AK34">
        <f t="shared" si="11"/>
        <v>1530169.052842828</v>
      </c>
      <c r="AL34">
        <f t="shared" si="12"/>
        <v>1050589.4555364279</v>
      </c>
      <c r="AN34" s="4" t="s">
        <v>32</v>
      </c>
      <c r="AO34" s="4">
        <v>-1.57546243450039E-3</v>
      </c>
      <c r="AP34" s="4">
        <v>0.60517050905927705</v>
      </c>
      <c r="AQ34" s="4">
        <v>-2.6033364331474254E-3</v>
      </c>
      <c r="AR34" s="4">
        <v>0.99793243414964072</v>
      </c>
      <c r="AS34" s="4">
        <v>-1.2148692818696682</v>
      </c>
      <c r="AT34" s="4">
        <v>1.2117183570006675</v>
      </c>
      <c r="AU34" s="4">
        <v>-1.2148692818696682</v>
      </c>
      <c r="AV34" s="4">
        <v>1.2117183570006675</v>
      </c>
      <c r="AY34">
        <v>3.3000000000000002E-2</v>
      </c>
      <c r="AZ34">
        <v>-51.448999999999998</v>
      </c>
      <c r="BA34">
        <v>2025</v>
      </c>
      <c r="BC34">
        <f>AZ34+AY34*BA34</f>
        <v>15.376000000000005</v>
      </c>
      <c r="BD34" s="1">
        <f>EXP(BC34)</f>
        <v>4761150.9823849155</v>
      </c>
    </row>
    <row r="35" spans="2:56" x14ac:dyDescent="0.25">
      <c r="B35">
        <v>1992</v>
      </c>
      <c r="C35">
        <v>1461638.5859999999</v>
      </c>
      <c r="D35">
        <f t="shared" si="0"/>
        <v>14.195068683533261</v>
      </c>
      <c r="E35">
        <f t="shared" si="1"/>
        <v>-0.14200259292362638</v>
      </c>
      <c r="F35">
        <f t="shared" si="2"/>
        <v>14.337071276456888</v>
      </c>
      <c r="G35">
        <f t="shared" si="3"/>
        <v>14.280140516116788</v>
      </c>
      <c r="H35">
        <f t="shared" si="4"/>
        <v>14.137137262238774</v>
      </c>
      <c r="I35">
        <f t="shared" si="6"/>
        <v>13.654325560148614</v>
      </c>
      <c r="J35">
        <f t="shared" si="8"/>
        <v>13.567994033066578</v>
      </c>
      <c r="K35">
        <f t="shared" si="9"/>
        <v>0.35948347886672111</v>
      </c>
      <c r="L35">
        <f t="shared" si="10"/>
        <v>13.567994033066578</v>
      </c>
      <c r="T35">
        <v>23</v>
      </c>
      <c r="U35" t="s">
        <v>102</v>
      </c>
      <c r="V35" t="s">
        <v>36</v>
      </c>
      <c r="W35" s="10">
        <v>1985</v>
      </c>
      <c r="X35" s="10">
        <v>843580.10872609494</v>
      </c>
      <c r="Y35" s="10">
        <v>1020938.7083222501</v>
      </c>
      <c r="Z35" s="11">
        <v>9.2629856201421493E-8</v>
      </c>
      <c r="AA35" s="10">
        <v>174414.656177659</v>
      </c>
      <c r="AB35" s="10">
        <v>368591.12703693699</v>
      </c>
      <c r="AC35" s="10">
        <v>14173.2301858467</v>
      </c>
      <c r="AD35" s="11">
        <v>4.3433110347799602E-7</v>
      </c>
      <c r="AE35" s="10">
        <v>269864.31356014998</v>
      </c>
      <c r="AF35" s="11">
        <v>1.0679273059451501E-6</v>
      </c>
      <c r="AI35">
        <v>174414.656177659</v>
      </c>
      <c r="AJ35">
        <v>269864.31356014998</v>
      </c>
      <c r="AK35">
        <f t="shared" si="11"/>
        <v>1712354.5574994008</v>
      </c>
      <c r="AL35">
        <f t="shared" si="12"/>
        <v>545868.50874709699</v>
      </c>
    </row>
    <row r="36" spans="2:56" x14ac:dyDescent="0.25">
      <c r="B36">
        <v>1993</v>
      </c>
      <c r="C36">
        <v>2451734.915</v>
      </c>
      <c r="D36">
        <f t="shared" si="0"/>
        <v>14.712306460487602</v>
      </c>
      <c r="E36">
        <f t="shared" si="1"/>
        <v>0.51723777695434059</v>
      </c>
      <c r="F36">
        <f t="shared" si="2"/>
        <v>14.195068683533261</v>
      </c>
      <c r="G36">
        <f t="shared" si="3"/>
        <v>14.337071276456888</v>
      </c>
      <c r="H36">
        <f t="shared" si="4"/>
        <v>14.280140516116788</v>
      </c>
      <c r="I36">
        <f t="shared" si="6"/>
        <v>14.137137262238774</v>
      </c>
      <c r="J36">
        <f t="shared" si="8"/>
        <v>13.654325560148614</v>
      </c>
      <c r="K36">
        <f t="shared" si="9"/>
        <v>0.27181970055691784</v>
      </c>
      <c r="L36">
        <f t="shared" si="10"/>
        <v>13.654325560148614</v>
      </c>
      <c r="T36">
        <v>24</v>
      </c>
      <c r="U36" t="s">
        <v>102</v>
      </c>
      <c r="V36" t="s">
        <v>36</v>
      </c>
      <c r="W36" s="10">
        <v>1986</v>
      </c>
      <c r="X36" s="10">
        <v>1020938.7083222501</v>
      </c>
      <c r="Y36" s="10">
        <v>780737.31908047304</v>
      </c>
      <c r="Z36" s="10">
        <v>6508.4267052018804</v>
      </c>
      <c r="AA36" s="11">
        <v>3.3004279488335202E-8</v>
      </c>
      <c r="AB36" s="10">
        <v>1008291.54835751</v>
      </c>
      <c r="AC36" s="11">
        <v>2.0224626220515999E-8</v>
      </c>
      <c r="AD36" s="10">
        <v>0</v>
      </c>
      <c r="AE36" s="11">
        <v>1.59698126539881E-8</v>
      </c>
      <c r="AF36" s="11">
        <v>5.4305126817285398E-8</v>
      </c>
      <c r="AI36">
        <v>3.3004279488335202E-8</v>
      </c>
      <c r="AJ36">
        <v>1.59698126539881E-8</v>
      </c>
      <c r="AK36">
        <f t="shared" si="11"/>
        <v>1531819.47047806</v>
      </c>
      <c r="AL36">
        <f t="shared" si="12"/>
        <v>6.8096824062451383E-8</v>
      </c>
    </row>
    <row r="37" spans="2:56" x14ac:dyDescent="0.25">
      <c r="B37">
        <v>1994</v>
      </c>
      <c r="C37">
        <v>2062023.399</v>
      </c>
      <c r="D37">
        <f t="shared" si="0"/>
        <v>14.539198291215317</v>
      </c>
      <c r="E37">
        <f t="shared" si="1"/>
        <v>-0.17310816927228423</v>
      </c>
      <c r="F37">
        <f t="shared" si="2"/>
        <v>14.712306460487602</v>
      </c>
      <c r="G37">
        <f t="shared" si="3"/>
        <v>14.195068683533261</v>
      </c>
      <c r="H37">
        <f t="shared" si="4"/>
        <v>14.337071276456888</v>
      </c>
      <c r="I37">
        <f t="shared" si="6"/>
        <v>14.280140516116788</v>
      </c>
      <c r="J37">
        <f t="shared" si="8"/>
        <v>14.137137262238774</v>
      </c>
      <c r="K37">
        <f t="shared" si="9"/>
        <v>0.22587009830150953</v>
      </c>
      <c r="L37">
        <f t="shared" si="10"/>
        <v>14.137137262238774</v>
      </c>
      <c r="T37">
        <v>25</v>
      </c>
      <c r="U37" t="s">
        <v>102</v>
      </c>
      <c r="V37" t="s">
        <v>36</v>
      </c>
      <c r="W37" s="10">
        <v>1987</v>
      </c>
      <c r="X37" s="10">
        <v>780737.31908047304</v>
      </c>
      <c r="Y37" s="10">
        <v>851134.59856892901</v>
      </c>
      <c r="Z37" s="11">
        <v>4.2166935507772501E-8</v>
      </c>
      <c r="AA37" s="11">
        <v>3.11040645777601E-8</v>
      </c>
      <c r="AB37" s="10">
        <v>767481.15495600202</v>
      </c>
      <c r="AC37" s="11">
        <v>9.2632597133270593E-9</v>
      </c>
      <c r="AD37" s="10">
        <v>0</v>
      </c>
      <c r="AE37" s="11">
        <v>2.2989960777635898E-8</v>
      </c>
      <c r="AF37" s="11">
        <v>1.13997439818948E-7</v>
      </c>
      <c r="AI37">
        <v>3.11040645777601E-8</v>
      </c>
      <c r="AJ37">
        <v>2.2989960777635898E-8</v>
      </c>
      <c r="AK37">
        <f t="shared" si="11"/>
        <v>1531819.4704780581</v>
      </c>
      <c r="AL37">
        <f t="shared" si="12"/>
        <v>7.2138603977474113E-8</v>
      </c>
    </row>
    <row r="38" spans="2:56" x14ac:dyDescent="0.25">
      <c r="B38">
        <v>1995</v>
      </c>
      <c r="C38">
        <v>2198777.9410000001</v>
      </c>
      <c r="D38">
        <f t="shared" si="0"/>
        <v>14.603412282627978</v>
      </c>
      <c r="E38">
        <f t="shared" si="1"/>
        <v>6.4213991412660931E-2</v>
      </c>
      <c r="F38">
        <f t="shared" si="2"/>
        <v>14.539198291215317</v>
      </c>
      <c r="G38">
        <f t="shared" si="3"/>
        <v>14.712306460487602</v>
      </c>
      <c r="H38">
        <f t="shared" si="4"/>
        <v>14.195068683533261</v>
      </c>
      <c r="I38">
        <f t="shared" si="6"/>
        <v>14.337071276456888</v>
      </c>
      <c r="J38">
        <f t="shared" si="8"/>
        <v>14.280140516116788</v>
      </c>
      <c r="K38">
        <f t="shared" si="9"/>
        <v>0.21001246574579413</v>
      </c>
      <c r="L38">
        <f t="shared" si="10"/>
        <v>14.280140516116788</v>
      </c>
      <c r="T38">
        <v>26</v>
      </c>
      <c r="U38" t="s">
        <v>102</v>
      </c>
      <c r="V38" t="s">
        <v>36</v>
      </c>
      <c r="W38" s="10">
        <v>1988</v>
      </c>
      <c r="X38" s="10">
        <v>851134.59856892901</v>
      </c>
      <c r="Y38" s="10">
        <v>1379369.7665329501</v>
      </c>
      <c r="Z38" s="10">
        <v>6814.9115635197004</v>
      </c>
      <c r="AA38" s="10">
        <v>403722.28802238498</v>
      </c>
      <c r="AB38" s="10">
        <v>434065.17230691999</v>
      </c>
      <c r="AC38" s="11">
        <v>4.6068045833226402E-9</v>
      </c>
      <c r="AD38" s="11">
        <v>1.18251687032876E-7</v>
      </c>
      <c r="AE38" s="11">
        <v>8.1492940204979003E-8</v>
      </c>
      <c r="AF38" s="11">
        <v>2.43322425082375E-8</v>
      </c>
      <c r="AI38">
        <v>403722.28802238498</v>
      </c>
      <c r="AJ38">
        <v>8.1492940204979003E-8</v>
      </c>
      <c r="AK38">
        <f t="shared" si="11"/>
        <v>1950693.015907435</v>
      </c>
      <c r="AL38">
        <f t="shared" si="12"/>
        <v>637077.79912966315</v>
      </c>
    </row>
    <row r="39" spans="2:56" x14ac:dyDescent="0.25">
      <c r="B39">
        <v>1996</v>
      </c>
      <c r="C39">
        <v>2383541.7349999999</v>
      </c>
      <c r="D39">
        <f t="shared" si="0"/>
        <v>14.684098063438057</v>
      </c>
      <c r="E39">
        <f t="shared" si="1"/>
        <v>8.0685780810078711E-2</v>
      </c>
      <c r="F39">
        <f t="shared" si="2"/>
        <v>14.603412282627978</v>
      </c>
      <c r="G39">
        <f t="shared" si="3"/>
        <v>14.539198291215317</v>
      </c>
      <c r="H39">
        <f t="shared" si="4"/>
        <v>14.712306460487602</v>
      </c>
      <c r="I39">
        <f t="shared" si="6"/>
        <v>14.195068683533261</v>
      </c>
      <c r="J39">
        <f t="shared" si="8"/>
        <v>14.337071276456888</v>
      </c>
      <c r="K39">
        <f t="shared" si="9"/>
        <v>0.20873565316475676</v>
      </c>
      <c r="L39">
        <f t="shared" si="10"/>
        <v>14.337071276456888</v>
      </c>
      <c r="T39">
        <v>27</v>
      </c>
      <c r="U39" t="s">
        <v>102</v>
      </c>
      <c r="V39" t="s">
        <v>36</v>
      </c>
      <c r="W39" s="10">
        <v>1989</v>
      </c>
      <c r="X39" s="10">
        <v>1379369.7665329501</v>
      </c>
      <c r="Y39" s="10">
        <v>1591425.18648978</v>
      </c>
      <c r="Z39" s="11">
        <v>1.9735611754795301E-7</v>
      </c>
      <c r="AA39" s="10">
        <v>86570.426806624804</v>
      </c>
      <c r="AB39" s="10">
        <v>1250869.72502813</v>
      </c>
      <c r="AC39" s="11">
        <v>9.7919131669176804E-9</v>
      </c>
      <c r="AD39" s="11">
        <v>2.9022958473262501E-8</v>
      </c>
      <c r="AE39" s="11">
        <v>4.3130344467206797E-8</v>
      </c>
      <c r="AF39" s="10">
        <v>1247.1611182916999</v>
      </c>
      <c r="AI39">
        <v>86570.426806624804</v>
      </c>
      <c r="AJ39">
        <v>4.3130344467206797E-8</v>
      </c>
      <c r="AK39">
        <f t="shared" si="11"/>
        <v>1621638.7910398312</v>
      </c>
      <c r="AL39">
        <f t="shared" si="12"/>
        <v>136608.9973626438</v>
      </c>
    </row>
    <row r="40" spans="2:56" x14ac:dyDescent="0.25">
      <c r="B40">
        <v>1997</v>
      </c>
      <c r="C40">
        <v>814336.19790000003</v>
      </c>
      <c r="D40">
        <f t="shared" si="0"/>
        <v>13.610128579248757</v>
      </c>
      <c r="E40">
        <f t="shared" si="1"/>
        <v>-1.0739694841893002</v>
      </c>
      <c r="F40">
        <f t="shared" si="2"/>
        <v>14.684098063438057</v>
      </c>
      <c r="G40">
        <f t="shared" si="3"/>
        <v>14.603412282627978</v>
      </c>
      <c r="H40">
        <f t="shared" si="4"/>
        <v>14.539198291215317</v>
      </c>
      <c r="I40">
        <f t="shared" si="6"/>
        <v>14.712306460487602</v>
      </c>
      <c r="J40">
        <f t="shared" si="8"/>
        <v>14.195068683533261</v>
      </c>
      <c r="K40">
        <f t="shared" si="9"/>
        <v>0.20809901536728612</v>
      </c>
      <c r="L40">
        <f t="shared" si="10"/>
        <v>14.195068683533261</v>
      </c>
      <c r="T40">
        <v>28</v>
      </c>
      <c r="U40" t="s">
        <v>102</v>
      </c>
      <c r="V40" t="s">
        <v>36</v>
      </c>
      <c r="W40" s="10">
        <v>1990</v>
      </c>
      <c r="X40" s="10">
        <v>1591425.18648978</v>
      </c>
      <c r="Y40" s="10">
        <v>1684654.8706050799</v>
      </c>
      <c r="Z40" s="11">
        <v>1.33140910640605E-8</v>
      </c>
      <c r="AA40" s="11">
        <v>9.3348146005003394E-8</v>
      </c>
      <c r="AB40" s="10">
        <v>792074.18183056498</v>
      </c>
      <c r="AC40" s="10">
        <v>25116.476535758698</v>
      </c>
      <c r="AD40" s="11">
        <v>3.9942273188081898E-8</v>
      </c>
      <c r="AE40" s="11">
        <v>1.1314926788431E-8</v>
      </c>
      <c r="AF40" s="10">
        <v>772146.24266868504</v>
      </c>
      <c r="AI40">
        <v>9.3348146005003394E-8</v>
      </c>
      <c r="AJ40">
        <v>1.1314926788431E-8</v>
      </c>
      <c r="AK40">
        <f t="shared" si="11"/>
        <v>1531819.4704781226</v>
      </c>
      <c r="AL40">
        <f t="shared" si="12"/>
        <v>1.5865177430524419E-7</v>
      </c>
    </row>
    <row r="41" spans="2:56" x14ac:dyDescent="0.25">
      <c r="B41">
        <v>1998</v>
      </c>
      <c r="C41">
        <v>1185591.3030000001</v>
      </c>
      <c r="D41">
        <f t="shared" si="0"/>
        <v>13.985752197970738</v>
      </c>
      <c r="E41">
        <f t="shared" si="1"/>
        <v>0.37562361872198125</v>
      </c>
      <c r="F41">
        <f t="shared" si="2"/>
        <v>13.610128579248757</v>
      </c>
      <c r="G41">
        <f t="shared" si="3"/>
        <v>14.684098063438057</v>
      </c>
      <c r="H41">
        <f t="shared" si="4"/>
        <v>14.603412282627978</v>
      </c>
      <c r="I41">
        <f t="shared" si="6"/>
        <v>14.539198291215317</v>
      </c>
      <c r="J41">
        <f t="shared" si="8"/>
        <v>14.712306460487602</v>
      </c>
      <c r="K41">
        <f t="shared" si="9"/>
        <v>0.46326230419532616</v>
      </c>
      <c r="L41">
        <f t="shared" si="10"/>
        <v>14.712306460487602</v>
      </c>
      <c r="T41">
        <v>29</v>
      </c>
      <c r="U41" t="s">
        <v>102</v>
      </c>
      <c r="V41" t="s">
        <v>36</v>
      </c>
      <c r="W41" s="10">
        <v>1991</v>
      </c>
      <c r="X41" s="10">
        <v>1684654.8706050799</v>
      </c>
      <c r="Y41" s="10">
        <v>1461638.5858147</v>
      </c>
      <c r="Z41" s="10">
        <v>0</v>
      </c>
      <c r="AA41" s="11">
        <v>2.6968708957824699E-8</v>
      </c>
      <c r="AB41" s="10">
        <v>954824.07969028596</v>
      </c>
      <c r="AC41" s="11">
        <v>1.64782411877803E-8</v>
      </c>
      <c r="AD41" s="11">
        <v>3.4868555619017303E-8</v>
      </c>
      <c r="AE41" s="11">
        <v>1.3484354483884701E-7</v>
      </c>
      <c r="AF41" s="10">
        <v>720017.36392479902</v>
      </c>
      <c r="AI41">
        <v>2.6968708957824699E-8</v>
      </c>
      <c r="AJ41">
        <v>1.3484354483884701E-7</v>
      </c>
      <c r="AK41">
        <f t="shared" si="11"/>
        <v>1531819.4704780534</v>
      </c>
      <c r="AL41">
        <f t="shared" si="12"/>
        <v>1.7778824549235743E-7</v>
      </c>
    </row>
    <row r="42" spans="2:56" x14ac:dyDescent="0.25">
      <c r="B42">
        <v>1999</v>
      </c>
      <c r="C42">
        <v>3028936.65</v>
      </c>
      <c r="D42">
        <f t="shared" si="0"/>
        <v>14.923722175297431</v>
      </c>
      <c r="E42">
        <f t="shared" si="1"/>
        <v>0.93796997732669318</v>
      </c>
      <c r="F42">
        <f t="shared" si="2"/>
        <v>13.985752197970738</v>
      </c>
      <c r="G42">
        <f t="shared" si="3"/>
        <v>13.610128579248757</v>
      </c>
      <c r="H42">
        <f t="shared" si="4"/>
        <v>14.684098063438057</v>
      </c>
      <c r="I42">
        <f t="shared" si="6"/>
        <v>14.603412282627978</v>
      </c>
      <c r="J42">
        <f t="shared" si="8"/>
        <v>14.539198291215317</v>
      </c>
      <c r="K42">
        <f t="shared" si="9"/>
        <v>0.46644451347582871</v>
      </c>
      <c r="L42">
        <f t="shared" si="10"/>
        <v>14.539198291215317</v>
      </c>
      <c r="T42">
        <v>30</v>
      </c>
      <c r="U42" t="s">
        <v>102</v>
      </c>
      <c r="V42" t="s">
        <v>36</v>
      </c>
      <c r="W42" s="10">
        <v>1992</v>
      </c>
      <c r="X42" s="10">
        <v>1461638.5858147</v>
      </c>
      <c r="Y42" s="10">
        <v>2451734.9146045898</v>
      </c>
      <c r="Z42" s="10">
        <v>0</v>
      </c>
      <c r="AA42" s="11">
        <v>9.5060808767440803E-9</v>
      </c>
      <c r="AB42" s="10">
        <v>394531.99466867198</v>
      </c>
      <c r="AC42" s="11">
        <v>1.7170074589755101E-7</v>
      </c>
      <c r="AD42" s="11">
        <v>9.6676899361060596E-9</v>
      </c>
      <c r="AE42" s="11">
        <v>1.18826011011931E-8</v>
      </c>
      <c r="AF42" s="10">
        <v>1066241.36924701</v>
      </c>
      <c r="AI42">
        <v>9.5060808767440803E-9</v>
      </c>
      <c r="AJ42">
        <v>1.18826011011931E-8</v>
      </c>
      <c r="AK42">
        <f t="shared" si="11"/>
        <v>1531819.4704780355</v>
      </c>
      <c r="AL42">
        <f t="shared" si="12"/>
        <v>2.691746583555957E-8</v>
      </c>
    </row>
    <row r="43" spans="2:56" x14ac:dyDescent="0.25">
      <c r="B43">
        <v>2000</v>
      </c>
      <c r="C43">
        <v>2189169.9539999999</v>
      </c>
      <c r="D43">
        <f t="shared" si="0"/>
        <v>14.599033013509443</v>
      </c>
      <c r="E43">
        <f t="shared" si="1"/>
        <v>-0.32468916178798857</v>
      </c>
      <c r="F43">
        <f t="shared" si="2"/>
        <v>14.923722175297431</v>
      </c>
      <c r="G43">
        <f t="shared" si="3"/>
        <v>13.985752197970738</v>
      </c>
      <c r="H43">
        <f t="shared" si="4"/>
        <v>13.610128579248757</v>
      </c>
      <c r="I43">
        <f t="shared" si="6"/>
        <v>14.684098063438057</v>
      </c>
      <c r="J43">
        <f t="shared" si="8"/>
        <v>14.603412282627978</v>
      </c>
      <c r="K43">
        <f t="shared" si="9"/>
        <v>0.5441576587167557</v>
      </c>
      <c r="L43">
        <f t="shared" si="10"/>
        <v>14.603412282627978</v>
      </c>
      <c r="T43">
        <v>31</v>
      </c>
      <c r="U43" t="s">
        <v>102</v>
      </c>
      <c r="V43" t="s">
        <v>36</v>
      </c>
      <c r="W43" s="10">
        <v>1993</v>
      </c>
      <c r="X43" s="10">
        <v>2451734.9146045898</v>
      </c>
      <c r="Y43" s="10">
        <v>2062023.39943197</v>
      </c>
      <c r="Z43" s="10">
        <v>100366.256665957</v>
      </c>
      <c r="AA43" s="10">
        <v>712704.84194484504</v>
      </c>
      <c r="AB43" s="10">
        <v>638576.41479876405</v>
      </c>
      <c r="AC43" s="11">
        <v>1.07072596161112E-8</v>
      </c>
      <c r="AD43" s="11">
        <v>7.71666475425494E-8</v>
      </c>
      <c r="AE43" s="10">
        <v>615410.93775841803</v>
      </c>
      <c r="AF43" s="10">
        <v>374484.40626835101</v>
      </c>
      <c r="AI43">
        <v>712704.84194484504</v>
      </c>
      <c r="AJ43">
        <v>615410.93775841803</v>
      </c>
      <c r="AK43">
        <f t="shared" si="11"/>
        <v>2270301.7914694524</v>
      </c>
      <c r="AL43">
        <f t="shared" si="12"/>
        <v>1741836.2064703859</v>
      </c>
    </row>
    <row r="44" spans="2:56" x14ac:dyDescent="0.25">
      <c r="B44">
        <v>2001</v>
      </c>
      <c r="C44">
        <v>1186912.5549999999</v>
      </c>
      <c r="D44">
        <f t="shared" si="0"/>
        <v>13.986866001964891</v>
      </c>
      <c r="E44">
        <f t="shared" si="1"/>
        <v>-0.61216701154455144</v>
      </c>
      <c r="F44">
        <f t="shared" si="2"/>
        <v>14.599033013509443</v>
      </c>
      <c r="G44">
        <f t="shared" si="3"/>
        <v>14.923722175297431</v>
      </c>
      <c r="H44">
        <f t="shared" si="4"/>
        <v>13.985752197970738</v>
      </c>
      <c r="I44">
        <f t="shared" si="6"/>
        <v>13.610128579248757</v>
      </c>
      <c r="J44">
        <f t="shared" si="8"/>
        <v>14.684098063438057</v>
      </c>
      <c r="K44">
        <f t="shared" si="9"/>
        <v>0.54367409750547502</v>
      </c>
      <c r="L44">
        <f t="shared" si="10"/>
        <v>14.684098063438057</v>
      </c>
      <c r="T44">
        <v>32</v>
      </c>
      <c r="U44" t="s">
        <v>102</v>
      </c>
      <c r="V44" t="s">
        <v>36</v>
      </c>
      <c r="W44" s="10">
        <v>1994</v>
      </c>
      <c r="X44" s="10">
        <v>2062023.39943197</v>
      </c>
      <c r="Y44" s="10">
        <v>2198777.94068358</v>
      </c>
      <c r="Z44" s="10">
        <v>23838.2984895964</v>
      </c>
      <c r="AA44" s="11">
        <v>3.4672803610928299E-8</v>
      </c>
      <c r="AB44" s="10">
        <v>1322636.5321448499</v>
      </c>
      <c r="AC44" s="10">
        <v>19833.513533182399</v>
      </c>
      <c r="AD44" s="11">
        <v>5.0641799801334299E-8</v>
      </c>
      <c r="AE44" s="10">
        <v>691211.909936563</v>
      </c>
      <c r="AF44" s="11">
        <v>1.37400706340816E-8</v>
      </c>
      <c r="AI44">
        <v>3.4672803610928299E-8</v>
      </c>
      <c r="AJ44">
        <v>691211.909936563</v>
      </c>
      <c r="AK44">
        <f t="shared" si="11"/>
        <v>1530730.4920796775</v>
      </c>
      <c r="AL44">
        <f t="shared" si="12"/>
        <v>693199.82908460731</v>
      </c>
    </row>
    <row r="45" spans="2:56" x14ac:dyDescent="0.25">
      <c r="B45">
        <v>2002</v>
      </c>
      <c r="C45">
        <v>941300.53280000004</v>
      </c>
      <c r="D45">
        <f t="shared" si="0"/>
        <v>13.755017743560861</v>
      </c>
      <c r="E45">
        <f t="shared" si="1"/>
        <v>-0.23184825840403001</v>
      </c>
      <c r="F45">
        <f t="shared" si="2"/>
        <v>13.986866001964891</v>
      </c>
      <c r="G45">
        <f t="shared" si="3"/>
        <v>14.599033013509443</v>
      </c>
      <c r="H45">
        <f t="shared" si="4"/>
        <v>14.923722175297431</v>
      </c>
      <c r="I45">
        <f t="shared" si="6"/>
        <v>13.985752197970738</v>
      </c>
      <c r="J45">
        <f t="shared" si="8"/>
        <v>13.610128579248757</v>
      </c>
      <c r="K45">
        <f t="shared" si="9"/>
        <v>0.52916243126509765</v>
      </c>
      <c r="L45">
        <f t="shared" si="10"/>
        <v>13.610128579248757</v>
      </c>
      <c r="T45">
        <v>33</v>
      </c>
      <c r="U45" t="s">
        <v>102</v>
      </c>
      <c r="V45" t="s">
        <v>36</v>
      </c>
      <c r="W45" s="10">
        <v>1995</v>
      </c>
      <c r="X45" s="10">
        <v>2198777.94068358</v>
      </c>
      <c r="Y45" s="10">
        <v>2383541.7351381201</v>
      </c>
      <c r="Z45" s="10">
        <v>0</v>
      </c>
      <c r="AA45" s="10">
        <v>1012274.36267232</v>
      </c>
      <c r="AB45" s="10">
        <v>1174114.7612811101</v>
      </c>
      <c r="AC45" s="10">
        <v>12148.054254594599</v>
      </c>
      <c r="AD45" s="11">
        <v>3.2912715984560501E-7</v>
      </c>
      <c r="AE45" s="11">
        <v>1.75824998710406E-7</v>
      </c>
      <c r="AF45" s="11">
        <v>4.4917684520349598E-6</v>
      </c>
      <c r="AI45">
        <v>1012274.36267232</v>
      </c>
      <c r="AJ45">
        <v>1.75824998710406E-7</v>
      </c>
      <c r="AK45">
        <f t="shared" si="11"/>
        <v>2582083.3865894401</v>
      </c>
      <c r="AL45">
        <f t="shared" si="12"/>
        <v>1597379.0454959851</v>
      </c>
    </row>
    <row r="46" spans="2:56" x14ac:dyDescent="0.25">
      <c r="B46">
        <v>2003</v>
      </c>
      <c r="C46">
        <v>4157797.3450000002</v>
      </c>
      <c r="D46">
        <f t="shared" si="0"/>
        <v>15.240496007636093</v>
      </c>
      <c r="E46">
        <f t="shared" si="1"/>
        <v>1.4854782640752315</v>
      </c>
      <c r="F46">
        <f t="shared" si="2"/>
        <v>13.755017743560861</v>
      </c>
      <c r="G46">
        <f t="shared" si="3"/>
        <v>13.986866001964891</v>
      </c>
      <c r="H46">
        <f t="shared" si="4"/>
        <v>14.599033013509443</v>
      </c>
      <c r="I46">
        <f t="shared" si="6"/>
        <v>14.923722175297431</v>
      </c>
      <c r="J46">
        <f t="shared" si="8"/>
        <v>13.985752197970738</v>
      </c>
      <c r="K46">
        <f t="shared" si="9"/>
        <v>0.48984676670335076</v>
      </c>
      <c r="L46">
        <f t="shared" si="10"/>
        <v>13.985752197970738</v>
      </c>
      <c r="T46">
        <v>34</v>
      </c>
      <c r="U46" t="s">
        <v>102</v>
      </c>
      <c r="V46" t="s">
        <v>36</v>
      </c>
      <c r="W46" s="10">
        <v>1996</v>
      </c>
      <c r="X46" s="10">
        <v>2383541.7351381201</v>
      </c>
      <c r="Y46" s="10">
        <v>814336.19779917598</v>
      </c>
      <c r="Z46" s="11">
        <v>3.0119722311937001E-8</v>
      </c>
      <c r="AA46" s="11">
        <v>3.1092999113827797E-8</v>
      </c>
      <c r="AB46" s="10">
        <v>2341905.2647526301</v>
      </c>
      <c r="AC46" s="10">
        <v>4214.6110007162797</v>
      </c>
      <c r="AD46" s="11">
        <v>1.1713225348575101E-8</v>
      </c>
      <c r="AE46" s="11">
        <v>8.1823681864634093E-9</v>
      </c>
      <c r="AF46" s="11">
        <v>1.4719239892155201E-8</v>
      </c>
      <c r="AI46">
        <v>3.1092999113827797E-8</v>
      </c>
      <c r="AJ46">
        <v>8.1823681864634093E-9</v>
      </c>
      <c r="AK46">
        <f t="shared" si="11"/>
        <v>1531819.4704780581</v>
      </c>
      <c r="AL46">
        <f t="shared" si="12"/>
        <v>5.7270963472574672E-8</v>
      </c>
    </row>
    <row r="47" spans="2:56" x14ac:dyDescent="0.25">
      <c r="B47">
        <v>2004</v>
      </c>
      <c r="C47">
        <v>7525949.1359999999</v>
      </c>
      <c r="D47">
        <f t="shared" si="0"/>
        <v>15.833867491675264</v>
      </c>
      <c r="E47">
        <f t="shared" si="1"/>
        <v>0.59337148403917084</v>
      </c>
      <c r="F47">
        <f t="shared" si="2"/>
        <v>15.240496007636093</v>
      </c>
      <c r="G47">
        <f t="shared" si="3"/>
        <v>13.755017743560861</v>
      </c>
      <c r="H47">
        <f t="shared" si="4"/>
        <v>13.986866001964891</v>
      </c>
      <c r="I47">
        <f t="shared" si="6"/>
        <v>14.599033013509443</v>
      </c>
      <c r="J47">
        <f t="shared" si="8"/>
        <v>14.923722175297431</v>
      </c>
      <c r="K47">
        <f t="shared" si="9"/>
        <v>0.62369506686989717</v>
      </c>
      <c r="L47">
        <f t="shared" si="10"/>
        <v>14.923722175297431</v>
      </c>
      <c r="T47">
        <v>35</v>
      </c>
      <c r="U47" t="s">
        <v>102</v>
      </c>
      <c r="V47" t="s">
        <v>36</v>
      </c>
      <c r="W47" s="10">
        <v>1997</v>
      </c>
      <c r="X47" s="10">
        <v>814336.19779917598</v>
      </c>
      <c r="Y47" s="10">
        <v>1185591.3031894399</v>
      </c>
      <c r="Z47" s="10">
        <v>593413.38258772704</v>
      </c>
      <c r="AA47" s="10">
        <v>1463.5390141728899</v>
      </c>
      <c r="AB47" s="10">
        <v>150356.31565366499</v>
      </c>
      <c r="AC47" s="10">
        <v>3.8004956762627299E-3</v>
      </c>
      <c r="AD47" s="10">
        <v>0</v>
      </c>
      <c r="AE47" s="10">
        <v>2.8574057230692901E-3</v>
      </c>
      <c r="AF47" s="10">
        <v>53630.107226633299</v>
      </c>
      <c r="AI47">
        <v>1463.5390141728899</v>
      </c>
      <c r="AJ47">
        <v>2.8574057230692901E-3</v>
      </c>
      <c r="AK47">
        <f t="shared" si="11"/>
        <v>1533337.9345116224</v>
      </c>
      <c r="AL47">
        <f t="shared" si="12"/>
        <v>2309.4820342293287</v>
      </c>
    </row>
    <row r="48" spans="2:56" x14ac:dyDescent="0.25">
      <c r="B48">
        <v>2005</v>
      </c>
      <c r="C48">
        <v>5224715.5789999999</v>
      </c>
      <c r="D48">
        <f t="shared" si="0"/>
        <v>15.468910919692382</v>
      </c>
      <c r="E48">
        <f t="shared" si="1"/>
        <v>-0.36495657198288178</v>
      </c>
      <c r="F48">
        <f t="shared" si="2"/>
        <v>15.833867491675264</v>
      </c>
      <c r="G48">
        <f t="shared" si="3"/>
        <v>15.240496007636093</v>
      </c>
      <c r="H48">
        <f t="shared" si="4"/>
        <v>13.755017743560861</v>
      </c>
      <c r="I48">
        <f t="shared" si="6"/>
        <v>13.986866001964891</v>
      </c>
      <c r="J48">
        <f t="shared" si="8"/>
        <v>14.599033013509443</v>
      </c>
      <c r="K48">
        <f t="shared" si="9"/>
        <v>0.86430634507139215</v>
      </c>
      <c r="L48">
        <f t="shared" si="10"/>
        <v>14.599033013509443</v>
      </c>
      <c r="T48">
        <v>36</v>
      </c>
      <c r="U48" t="s">
        <v>102</v>
      </c>
      <c r="V48" t="s">
        <v>36</v>
      </c>
      <c r="W48" s="10">
        <v>1998</v>
      </c>
      <c r="X48" s="10">
        <v>1185591.3031894399</v>
      </c>
      <c r="Y48" s="10">
        <v>3028936.64962732</v>
      </c>
      <c r="Z48" s="10">
        <v>0</v>
      </c>
      <c r="AA48" s="11">
        <v>9.6027992923939597E-8</v>
      </c>
      <c r="AB48" s="10">
        <v>957262.24129181798</v>
      </c>
      <c r="AC48" s="11">
        <v>8.5813144097725899E-9</v>
      </c>
      <c r="AD48" s="11">
        <v>4.4689057059324598E-8</v>
      </c>
      <c r="AE48" s="10">
        <v>226712.78312294901</v>
      </c>
      <c r="AF48" s="11">
        <v>1.17343086167266E-8</v>
      </c>
      <c r="AI48">
        <v>9.6027992923939597E-8</v>
      </c>
      <c r="AJ48">
        <v>226712.78312294901</v>
      </c>
      <c r="AK48">
        <f t="shared" si="11"/>
        <v>1531462.2930048942</v>
      </c>
      <c r="AL48">
        <f t="shared" si="12"/>
        <v>227364.80701936921</v>
      </c>
    </row>
    <row r="49" spans="1:47" x14ac:dyDescent="0.25">
      <c r="B49">
        <v>2006</v>
      </c>
      <c r="C49">
        <v>3342878.9169999999</v>
      </c>
      <c r="D49">
        <f t="shared" si="0"/>
        <v>15.022342944883881</v>
      </c>
      <c r="E49">
        <f t="shared" si="1"/>
        <v>-0.44656797480850052</v>
      </c>
      <c r="F49">
        <f t="shared" si="2"/>
        <v>15.468910919692382</v>
      </c>
      <c r="G49">
        <f t="shared" si="3"/>
        <v>15.833867491675264</v>
      </c>
      <c r="H49">
        <f t="shared" si="4"/>
        <v>15.240496007636093</v>
      </c>
      <c r="I49">
        <f t="shared" si="6"/>
        <v>13.755017743560861</v>
      </c>
      <c r="J49">
        <f t="shared" si="8"/>
        <v>13.986866001964891</v>
      </c>
      <c r="K49">
        <f t="shared" si="9"/>
        <v>0.92834157518172888</v>
      </c>
      <c r="L49">
        <f t="shared" si="10"/>
        <v>13.986866001964891</v>
      </c>
      <c r="T49">
        <v>37</v>
      </c>
      <c r="U49" t="s">
        <v>102</v>
      </c>
      <c r="V49" t="s">
        <v>36</v>
      </c>
      <c r="W49" s="10">
        <v>1999</v>
      </c>
      <c r="X49" s="10">
        <v>3028936.64962732</v>
      </c>
      <c r="Y49" s="10">
        <v>2189169.9536476801</v>
      </c>
      <c r="Z49" s="10">
        <v>0</v>
      </c>
      <c r="AA49" s="10">
        <v>2028132.49256904</v>
      </c>
      <c r="AB49" s="10">
        <v>688616.32885284303</v>
      </c>
      <c r="AC49" s="10">
        <v>38.875846981648401</v>
      </c>
      <c r="AD49" s="11">
        <v>3.53231658567199E-9</v>
      </c>
      <c r="AE49" s="10">
        <v>1106.66577731393</v>
      </c>
      <c r="AF49" s="10">
        <v>311042.28658112697</v>
      </c>
      <c r="AI49">
        <v>2028132.49256904</v>
      </c>
      <c r="AJ49">
        <v>1106.66577731393</v>
      </c>
      <c r="AK49">
        <f t="shared" si="11"/>
        <v>3636063.8212924758</v>
      </c>
      <c r="AL49">
        <f t="shared" si="12"/>
        <v>3201523.1599711129</v>
      </c>
    </row>
    <row r="50" spans="1:47" x14ac:dyDescent="0.25">
      <c r="B50">
        <v>2007</v>
      </c>
      <c r="C50">
        <v>4771232.682</v>
      </c>
      <c r="D50">
        <f t="shared" si="0"/>
        <v>15.378115253378191</v>
      </c>
      <c r="E50">
        <f t="shared" si="1"/>
        <v>0.35577230849430919</v>
      </c>
      <c r="F50">
        <f t="shared" si="2"/>
        <v>15.022342944883881</v>
      </c>
      <c r="G50">
        <f t="shared" si="3"/>
        <v>15.468910919692382</v>
      </c>
      <c r="H50">
        <f t="shared" si="4"/>
        <v>15.833867491675264</v>
      </c>
      <c r="I50">
        <f t="shared" si="6"/>
        <v>15.240496007636093</v>
      </c>
      <c r="J50">
        <f t="shared" si="8"/>
        <v>13.755017743560861</v>
      </c>
      <c r="K50">
        <f t="shared" si="9"/>
        <v>0.79103878311640397</v>
      </c>
      <c r="L50">
        <f t="shared" si="10"/>
        <v>13.755017743560861</v>
      </c>
      <c r="T50">
        <v>38</v>
      </c>
      <c r="U50" t="s">
        <v>102</v>
      </c>
      <c r="V50" t="s">
        <v>36</v>
      </c>
      <c r="W50" s="10">
        <v>2000</v>
      </c>
      <c r="X50" s="10">
        <v>2189169.9536476801</v>
      </c>
      <c r="Y50" s="10">
        <v>1186912.5549520601</v>
      </c>
      <c r="Z50" s="10">
        <v>5994.0532323287298</v>
      </c>
      <c r="AA50" s="10">
        <v>40387.3104103675</v>
      </c>
      <c r="AB50" s="10">
        <v>1861831.5607410399</v>
      </c>
      <c r="AC50" s="10">
        <v>11052.978760682599</v>
      </c>
      <c r="AD50" s="10">
        <v>0</v>
      </c>
      <c r="AE50" s="10">
        <v>1922.91169605244</v>
      </c>
      <c r="AF50" s="10">
        <v>259857.14084481701</v>
      </c>
      <c r="AI50">
        <v>40387.3104103675</v>
      </c>
      <c r="AJ50">
        <v>1922.91169605244</v>
      </c>
      <c r="AK50">
        <f t="shared" si="11"/>
        <v>1573719.4431502677</v>
      </c>
      <c r="AL50">
        <f t="shared" si="12"/>
        <v>65660.020813630967</v>
      </c>
    </row>
    <row r="51" spans="1:47" x14ac:dyDescent="0.25">
      <c r="B51">
        <v>2008</v>
      </c>
      <c r="C51">
        <v>4706011.4550000001</v>
      </c>
      <c r="D51">
        <f t="shared" si="0"/>
        <v>15.364351282393129</v>
      </c>
      <c r="E51">
        <f t="shared" si="1"/>
        <v>-1.3763970985062102E-2</v>
      </c>
      <c r="F51">
        <f t="shared" si="2"/>
        <v>15.378115253378191</v>
      </c>
      <c r="G51">
        <f t="shared" si="3"/>
        <v>15.022342944883881</v>
      </c>
      <c r="H51">
        <f t="shared" si="4"/>
        <v>15.468910919692382</v>
      </c>
      <c r="I51">
        <f t="shared" si="6"/>
        <v>15.833867491675264</v>
      </c>
      <c r="J51">
        <f t="shared" si="8"/>
        <v>15.240496007636093</v>
      </c>
      <c r="K51">
        <f t="shared" si="9"/>
        <v>0.30037552684397784</v>
      </c>
      <c r="L51">
        <f t="shared" si="10"/>
        <v>15.240496007636093</v>
      </c>
      <c r="T51">
        <v>39</v>
      </c>
      <c r="U51" t="s">
        <v>102</v>
      </c>
      <c r="V51" t="s">
        <v>36</v>
      </c>
      <c r="W51" s="10">
        <v>2001</v>
      </c>
      <c r="X51" s="10">
        <v>1186912.5549520601</v>
      </c>
      <c r="Y51" s="10">
        <v>941300.53276682703</v>
      </c>
      <c r="Z51" s="10">
        <v>11639.277607628799</v>
      </c>
      <c r="AA51" s="10">
        <v>1871.3870317861099</v>
      </c>
      <c r="AB51" s="10">
        <v>1167710.2161441599</v>
      </c>
      <c r="AC51" s="10">
        <v>974.45005206285305</v>
      </c>
      <c r="AD51" s="10">
        <v>11.0732961268463</v>
      </c>
      <c r="AE51" s="10">
        <v>1162.6960848533299</v>
      </c>
      <c r="AF51" s="10">
        <v>3421.6484789015599</v>
      </c>
      <c r="AI51">
        <v>1871.3870317861099</v>
      </c>
      <c r="AJ51">
        <v>1162.6960848533299</v>
      </c>
      <c r="AK51">
        <f t="shared" si="11"/>
        <v>1533759.2568412747</v>
      </c>
      <c r="AL51">
        <f t="shared" si="12"/>
        <v>4119.1073983868082</v>
      </c>
      <c r="AN51" t="s">
        <v>105</v>
      </c>
    </row>
    <row r="52" spans="1:47" ht="15.75" thickBot="1" x14ac:dyDescent="0.3">
      <c r="B52">
        <v>2009</v>
      </c>
      <c r="C52">
        <v>2369159.9279999998</v>
      </c>
      <c r="D52">
        <f t="shared" si="0"/>
        <v>14.678045989515756</v>
      </c>
      <c r="E52">
        <f t="shared" si="1"/>
        <v>-0.68630529287737296</v>
      </c>
      <c r="F52">
        <f t="shared" si="2"/>
        <v>15.364351282393129</v>
      </c>
      <c r="G52">
        <f t="shared" si="3"/>
        <v>15.378115253378191</v>
      </c>
      <c r="H52">
        <f t="shared" si="4"/>
        <v>15.022342944883881</v>
      </c>
      <c r="I52">
        <f t="shared" si="6"/>
        <v>15.468910919692382</v>
      </c>
      <c r="J52">
        <f t="shared" si="8"/>
        <v>15.833867491675264</v>
      </c>
      <c r="K52">
        <f t="shared" si="9"/>
        <v>0.29002185910570211</v>
      </c>
      <c r="L52">
        <f t="shared" si="10"/>
        <v>15.833867491675264</v>
      </c>
      <c r="T52">
        <v>40</v>
      </c>
      <c r="U52" t="s">
        <v>102</v>
      </c>
      <c r="V52" t="s">
        <v>36</v>
      </c>
      <c r="W52" s="10">
        <v>2002</v>
      </c>
      <c r="X52" s="10">
        <v>941300.53276682703</v>
      </c>
      <c r="Y52" s="10">
        <v>4157797.3451392301</v>
      </c>
      <c r="Z52" s="11">
        <v>7.4594738344762596E-8</v>
      </c>
      <c r="AA52" s="10">
        <v>9903.0144088112993</v>
      </c>
      <c r="AB52" s="10">
        <v>625825.29588940099</v>
      </c>
      <c r="AC52" s="10">
        <v>204767.56432058799</v>
      </c>
      <c r="AD52" s="10">
        <v>8095.7628824584399</v>
      </c>
      <c r="AE52" s="10">
        <v>85372.128452352394</v>
      </c>
      <c r="AF52" s="10">
        <v>7234.1169085940901</v>
      </c>
      <c r="AI52">
        <v>9903.0144088112993</v>
      </c>
      <c r="AJ52">
        <v>85372.128452352394</v>
      </c>
      <c r="AK52">
        <f t="shared" si="11"/>
        <v>1541959.6336418574</v>
      </c>
      <c r="AL52">
        <f t="shared" si="12"/>
        <v>101244.71347152487</v>
      </c>
    </row>
    <row r="53" spans="1:47" ht="15.75" thickBot="1" x14ac:dyDescent="0.3">
      <c r="A53" s="10"/>
      <c r="B53">
        <v>2010</v>
      </c>
      <c r="C53">
        <v>2815554.2560000001</v>
      </c>
      <c r="D53">
        <f t="shared" si="0"/>
        <v>14.850669693958194</v>
      </c>
      <c r="E53">
        <f t="shared" si="1"/>
        <v>0.17262370444243835</v>
      </c>
      <c r="F53">
        <f t="shared" si="2"/>
        <v>14.678045989515756</v>
      </c>
      <c r="G53">
        <f t="shared" si="3"/>
        <v>15.364351282393129</v>
      </c>
      <c r="H53">
        <f t="shared" si="4"/>
        <v>15.378115253378191</v>
      </c>
      <c r="I53">
        <f t="shared" si="6"/>
        <v>15.022342944883881</v>
      </c>
      <c r="J53">
        <f t="shared" si="8"/>
        <v>15.468910919692382</v>
      </c>
      <c r="K53">
        <f t="shared" si="9"/>
        <v>0.32919995995656437</v>
      </c>
      <c r="L53">
        <f t="shared" si="10"/>
        <v>15.468910919692382</v>
      </c>
      <c r="T53">
        <v>41</v>
      </c>
      <c r="U53" t="s">
        <v>102</v>
      </c>
      <c r="V53" t="s">
        <v>36</v>
      </c>
      <c r="W53" s="10">
        <v>2003</v>
      </c>
      <c r="X53" s="10">
        <v>4157797.3451392301</v>
      </c>
      <c r="Y53" s="10">
        <v>7525949.1367229596</v>
      </c>
      <c r="Z53" s="10">
        <v>2051.16774657631</v>
      </c>
      <c r="AA53" s="10">
        <v>802308.79682670801</v>
      </c>
      <c r="AB53" s="10">
        <v>2422101.5669849399</v>
      </c>
      <c r="AC53" s="10">
        <v>41421.523842009301</v>
      </c>
      <c r="AD53" s="10">
        <v>47.012387864672398</v>
      </c>
      <c r="AE53" s="10">
        <v>269435.09362689801</v>
      </c>
      <c r="AF53" s="10">
        <v>620197.12178491906</v>
      </c>
      <c r="AI53">
        <v>802308.79682670801</v>
      </c>
      <c r="AJ53">
        <v>269435.09362689801</v>
      </c>
      <c r="AK53">
        <f t="shared" si="11"/>
        <v>2363813.5570542491</v>
      </c>
      <c r="AL53">
        <f t="shared" si="12"/>
        <v>1536261.2739030547</v>
      </c>
      <c r="AN53" s="13" t="s">
        <v>106</v>
      </c>
      <c r="AO53" s="14"/>
      <c r="AP53" s="15">
        <v>5129382.3173502218</v>
      </c>
      <c r="AQ53" s="12">
        <f>LN(AP53)</f>
        <v>15.450495803922955</v>
      </c>
      <c r="AR53" t="s">
        <v>107</v>
      </c>
      <c r="AU53">
        <v>4970000</v>
      </c>
    </row>
    <row r="54" spans="1:47" x14ac:dyDescent="0.25">
      <c r="A54" s="10"/>
      <c r="B54">
        <v>2011</v>
      </c>
      <c r="C54">
        <v>2249301.6710000001</v>
      </c>
      <c r="D54">
        <f t="shared" si="0"/>
        <v>14.626130357561905</v>
      </c>
      <c r="E54">
        <f t="shared" si="1"/>
        <v>-0.22453933639628865</v>
      </c>
      <c r="F54">
        <f t="shared" si="2"/>
        <v>14.850669693958194</v>
      </c>
      <c r="G54">
        <f t="shared" si="3"/>
        <v>14.678045989515756</v>
      </c>
      <c r="H54">
        <f t="shared" si="4"/>
        <v>15.364351282393129</v>
      </c>
      <c r="I54">
        <f t="shared" si="6"/>
        <v>15.378115253378191</v>
      </c>
      <c r="J54">
        <f t="shared" si="8"/>
        <v>15.022342944883881</v>
      </c>
      <c r="K54">
        <f t="shared" si="9"/>
        <v>0.31021957134377992</v>
      </c>
      <c r="L54">
        <f t="shared" si="10"/>
        <v>15.022342944883881</v>
      </c>
      <c r="T54">
        <v>42</v>
      </c>
      <c r="U54" t="s">
        <v>102</v>
      </c>
      <c r="V54" t="s">
        <v>36</v>
      </c>
      <c r="W54" s="10">
        <v>2004</v>
      </c>
      <c r="X54" s="10">
        <v>7525949.1367229596</v>
      </c>
      <c r="Y54" s="10">
        <v>5224715.57924587</v>
      </c>
      <c r="Z54" s="10">
        <v>39954.212873833501</v>
      </c>
      <c r="AA54" s="10">
        <v>5559714.5741176996</v>
      </c>
      <c r="AB54" s="10">
        <v>1213013.1341530399</v>
      </c>
      <c r="AC54" s="10">
        <v>84.949876028747994</v>
      </c>
      <c r="AD54" s="11">
        <v>3.8618757322482898E-9</v>
      </c>
      <c r="AE54" s="10">
        <v>646231.01050435298</v>
      </c>
      <c r="AF54" s="10">
        <v>56520.484349160302</v>
      </c>
      <c r="AI54">
        <v>5559714.5741176996</v>
      </c>
      <c r="AJ54">
        <v>646231.01050435298</v>
      </c>
      <c r="AK54">
        <f t="shared" si="11"/>
        <v>7299165.959721338</v>
      </c>
      <c r="AL54">
        <f t="shared" si="12"/>
        <v>9421374.6417691763</v>
      </c>
      <c r="AN54" t="s">
        <v>108</v>
      </c>
    </row>
    <row r="55" spans="1:47" x14ac:dyDescent="0.25">
      <c r="A55" s="10"/>
      <c r="B55">
        <v>2012</v>
      </c>
      <c r="C55">
        <v>2227427.4</v>
      </c>
      <c r="D55">
        <f t="shared" si="0"/>
        <v>14.616357845203359</v>
      </c>
      <c r="E55">
        <f t="shared" si="1"/>
        <v>-9.7725123585465923E-3</v>
      </c>
      <c r="F55">
        <f t="shared" si="2"/>
        <v>14.626130357561905</v>
      </c>
      <c r="G55">
        <f t="shared" si="3"/>
        <v>14.850669693958194</v>
      </c>
      <c r="H55">
        <f t="shared" si="4"/>
        <v>14.678045989515756</v>
      </c>
      <c r="I55">
        <f t="shared" si="6"/>
        <v>15.364351282393129</v>
      </c>
      <c r="J55">
        <f t="shared" si="8"/>
        <v>15.378115253378191</v>
      </c>
      <c r="K55">
        <f t="shared" si="9"/>
        <v>0.36720106724674406</v>
      </c>
      <c r="L55">
        <f t="shared" si="10"/>
        <v>15.378115253378191</v>
      </c>
      <c r="T55">
        <v>43</v>
      </c>
      <c r="U55" t="s">
        <v>102</v>
      </c>
      <c r="V55" t="s">
        <v>36</v>
      </c>
      <c r="W55" s="10">
        <v>2005</v>
      </c>
      <c r="X55" s="10">
        <v>5224715.57924587</v>
      </c>
      <c r="Y55" s="10">
        <v>3342878.9177765902</v>
      </c>
      <c r="Z55" s="10">
        <v>14.675832749492701</v>
      </c>
      <c r="AA55" s="10">
        <v>127914.74648942699</v>
      </c>
      <c r="AB55" s="10">
        <v>4007257.5700709601</v>
      </c>
      <c r="AC55" s="10">
        <v>277.28435223196402</v>
      </c>
      <c r="AD55" s="10">
        <v>17.8963723393896</v>
      </c>
      <c r="AE55" s="10">
        <v>34671.473962391203</v>
      </c>
      <c r="AF55" s="10">
        <v>1053967.2242004599</v>
      </c>
      <c r="AI55">
        <v>127914.74648942699</v>
      </c>
      <c r="AJ55">
        <v>34671.473962391203</v>
      </c>
      <c r="AK55">
        <f t="shared" si="11"/>
        <v>1664480.0943697153</v>
      </c>
      <c r="AL55">
        <f t="shared" si="12"/>
        <v>236621.93519055378</v>
      </c>
      <c r="AN55" t="s">
        <v>109</v>
      </c>
    </row>
    <row r="56" spans="1:47" x14ac:dyDescent="0.25">
      <c r="A56" s="10"/>
      <c r="B56">
        <v>2013</v>
      </c>
      <c r="C56">
        <v>1930231.2080000001</v>
      </c>
      <c r="D56">
        <f t="shared" si="0"/>
        <v>14.473150350597185</v>
      </c>
      <c r="E56">
        <f t="shared" si="1"/>
        <v>-0.14320749460617321</v>
      </c>
      <c r="F56">
        <f t="shared" si="2"/>
        <v>14.616357845203359</v>
      </c>
      <c r="G56">
        <f t="shared" si="3"/>
        <v>14.626130357561905</v>
      </c>
      <c r="H56">
        <f t="shared" si="4"/>
        <v>14.850669693958194</v>
      </c>
      <c r="I56">
        <f t="shared" si="6"/>
        <v>14.678045989515756</v>
      </c>
      <c r="J56">
        <f t="shared" si="8"/>
        <v>15.364351282393129</v>
      </c>
      <c r="K56">
        <f t="shared" si="9"/>
        <v>0.31472711248361368</v>
      </c>
      <c r="L56">
        <f t="shared" si="10"/>
        <v>15.364351282393129</v>
      </c>
      <c r="T56">
        <v>44</v>
      </c>
      <c r="U56" t="s">
        <v>102</v>
      </c>
      <c r="V56" t="s">
        <v>36</v>
      </c>
      <c r="W56" s="10">
        <v>2006</v>
      </c>
      <c r="X56" s="10">
        <v>3342878.9177765902</v>
      </c>
      <c r="Y56" s="10">
        <v>4771232.6823479496</v>
      </c>
      <c r="Z56" s="11">
        <v>2.6908225396372699E-9</v>
      </c>
      <c r="AA56" s="10">
        <v>1774631.8424627001</v>
      </c>
      <c r="AB56" s="10">
        <v>1366722.7940110201</v>
      </c>
      <c r="AC56" s="10">
        <v>31485.865886474301</v>
      </c>
      <c r="AD56" s="11">
        <v>2.6908225396372699E-9</v>
      </c>
      <c r="AE56" s="10">
        <v>37516.649654499401</v>
      </c>
      <c r="AF56" s="10">
        <v>115780.485602792</v>
      </c>
      <c r="AI56">
        <v>1774631.8424627001</v>
      </c>
      <c r="AJ56">
        <v>37516.649654499401</v>
      </c>
      <c r="AK56">
        <f t="shared" si="11"/>
        <v>3372992.2055447553</v>
      </c>
      <c r="AL56">
        <f t="shared" si="12"/>
        <v>2838011.3031508853</v>
      </c>
      <c r="AN56" t="s">
        <v>110</v>
      </c>
    </row>
    <row r="57" spans="1:47" x14ac:dyDescent="0.25">
      <c r="A57" s="10"/>
      <c r="B57">
        <v>2014</v>
      </c>
      <c r="C57">
        <v>1621056.35</v>
      </c>
      <c r="D57">
        <f t="shared" si="0"/>
        <v>14.2985885626059</v>
      </c>
      <c r="E57">
        <f t="shared" si="1"/>
        <v>-0.1745617879912853</v>
      </c>
      <c r="F57">
        <f t="shared" si="2"/>
        <v>14.473150350597185</v>
      </c>
      <c r="G57">
        <f t="shared" si="3"/>
        <v>14.616357845203359</v>
      </c>
      <c r="H57">
        <f t="shared" si="4"/>
        <v>14.626130357561905</v>
      </c>
      <c r="I57">
        <f t="shared" si="6"/>
        <v>14.850669693958194</v>
      </c>
      <c r="J57">
        <f t="shared" si="8"/>
        <v>14.678045989515756</v>
      </c>
      <c r="K57">
        <f t="shared" si="9"/>
        <v>0.13603848864956866</v>
      </c>
      <c r="L57">
        <f t="shared" si="10"/>
        <v>14.678045989515756</v>
      </c>
      <c r="T57">
        <v>45</v>
      </c>
      <c r="U57" t="s">
        <v>102</v>
      </c>
      <c r="V57" t="s">
        <v>36</v>
      </c>
      <c r="W57" s="10">
        <v>2007</v>
      </c>
      <c r="X57" s="10">
        <v>4771232.6823479496</v>
      </c>
      <c r="Y57" s="10">
        <v>4706011.4554488799</v>
      </c>
      <c r="Z57" s="10">
        <v>1822.4754486280899</v>
      </c>
      <c r="AA57" s="10">
        <v>2760468.6493307701</v>
      </c>
      <c r="AB57" s="10">
        <v>1836230.7495599</v>
      </c>
      <c r="AC57" s="10">
        <v>12340.6681596462</v>
      </c>
      <c r="AD57" s="11">
        <v>3.2836645516849202E-9</v>
      </c>
      <c r="AE57" s="10">
        <v>67960.439648040599</v>
      </c>
      <c r="AF57" s="10">
        <v>92409.700200949897</v>
      </c>
      <c r="AI57">
        <v>2760468.6493307701</v>
      </c>
      <c r="AJ57">
        <v>67960.439648040599</v>
      </c>
      <c r="AK57">
        <f t="shared" si="11"/>
        <v>4395778.4301523622</v>
      </c>
      <c r="AL57">
        <f t="shared" si="12"/>
        <v>4424202.9678305779</v>
      </c>
    </row>
    <row r="58" spans="1:47" x14ac:dyDescent="0.25">
      <c r="A58" s="10"/>
      <c r="B58">
        <v>2015</v>
      </c>
      <c r="C58">
        <v>8244122.3530000001</v>
      </c>
      <c r="D58">
        <f t="shared" si="0"/>
        <v>15.92501106234281</v>
      </c>
      <c r="E58">
        <f t="shared" si="1"/>
        <v>1.6264224997369094</v>
      </c>
      <c r="F58">
        <f t="shared" si="2"/>
        <v>14.2985885626059</v>
      </c>
      <c r="G58">
        <f t="shared" si="3"/>
        <v>14.473150350597185</v>
      </c>
      <c r="H58">
        <f t="shared" si="4"/>
        <v>14.616357845203359</v>
      </c>
      <c r="I58">
        <f t="shared" si="6"/>
        <v>14.626130357561905</v>
      </c>
      <c r="J58">
        <f t="shared" si="8"/>
        <v>14.850669693958194</v>
      </c>
      <c r="K58">
        <f t="shared" si="9"/>
        <v>0.20437391217269762</v>
      </c>
      <c r="L58">
        <f t="shared" si="10"/>
        <v>14.850669693958194</v>
      </c>
      <c r="T58">
        <v>46</v>
      </c>
      <c r="U58" t="s">
        <v>102</v>
      </c>
      <c r="V58" t="s">
        <v>36</v>
      </c>
      <c r="W58" s="10">
        <v>2008</v>
      </c>
      <c r="X58" s="10">
        <v>4706011.4554488799</v>
      </c>
      <c r="Y58" s="10">
        <v>2369159.9284568802</v>
      </c>
      <c r="Z58" s="11">
        <v>3.3137610944095299E-9</v>
      </c>
      <c r="AA58" s="10">
        <v>860687.90830501996</v>
      </c>
      <c r="AB58" s="10">
        <v>3797307.2641897802</v>
      </c>
      <c r="AC58" s="10">
        <v>4217.8321262733398</v>
      </c>
      <c r="AD58" s="11">
        <v>3.3137610944095299E-9</v>
      </c>
      <c r="AE58" s="10">
        <v>5381.4814888645296</v>
      </c>
      <c r="AF58" s="10">
        <v>38416.969338911498</v>
      </c>
      <c r="AI58">
        <v>860687.90830501996</v>
      </c>
      <c r="AJ58">
        <v>5381.4814888645296</v>
      </c>
      <c r="AK58">
        <f t="shared" si="11"/>
        <v>2424799.5794989816</v>
      </c>
      <c r="AL58">
        <f t="shared" si="12"/>
        <v>1363571.0664464943</v>
      </c>
      <c r="AN58" t="s">
        <v>7</v>
      </c>
    </row>
    <row r="59" spans="1:47" ht="15.75" thickBot="1" x14ac:dyDescent="0.3">
      <c r="A59" s="10"/>
      <c r="B59">
        <v>2016</v>
      </c>
      <c r="C59">
        <v>4938142.3360000001</v>
      </c>
      <c r="D59">
        <f t="shared" si="0"/>
        <v>15.412499773097196</v>
      </c>
      <c r="E59">
        <f t="shared" si="1"/>
        <v>-0.51251128924561407</v>
      </c>
      <c r="F59">
        <f t="shared" si="2"/>
        <v>15.92501106234281</v>
      </c>
      <c r="G59">
        <f t="shared" si="3"/>
        <v>14.2985885626059</v>
      </c>
      <c r="H59">
        <f t="shared" si="4"/>
        <v>14.473150350597185</v>
      </c>
      <c r="I59">
        <f t="shared" si="6"/>
        <v>14.616357845203359</v>
      </c>
      <c r="J59">
        <f t="shared" si="8"/>
        <v>14.626130357561905</v>
      </c>
      <c r="K59">
        <f t="shared" si="9"/>
        <v>0.64944412905248683</v>
      </c>
      <c r="L59">
        <f t="shared" si="10"/>
        <v>14.626130357561905</v>
      </c>
      <c r="T59">
        <v>47</v>
      </c>
      <c r="U59" t="s">
        <v>102</v>
      </c>
      <c r="V59" t="s">
        <v>36</v>
      </c>
      <c r="W59" s="10">
        <v>2009</v>
      </c>
      <c r="X59" s="10">
        <v>2369159.9284568802</v>
      </c>
      <c r="Y59" s="10">
        <v>2815554.2563738301</v>
      </c>
      <c r="Z59" s="10">
        <v>1340.20655608377</v>
      </c>
      <c r="AA59" s="10">
        <v>741790.31261922698</v>
      </c>
      <c r="AB59" s="10">
        <v>1378015.3680670301</v>
      </c>
      <c r="AC59" s="10">
        <v>116853.80505881899</v>
      </c>
      <c r="AD59" s="11">
        <v>3.2871775560735499E-9</v>
      </c>
      <c r="AE59" s="10">
        <v>109723.987646765</v>
      </c>
      <c r="AF59" s="10">
        <v>21436.248508950201</v>
      </c>
      <c r="AI59">
        <v>741790.31261922698</v>
      </c>
      <c r="AJ59">
        <v>109723.987646765</v>
      </c>
      <c r="AK59">
        <f t="shared" si="11"/>
        <v>2301275.4989482267</v>
      </c>
      <c r="AL59">
        <f t="shared" si="12"/>
        <v>1280592.0682627482</v>
      </c>
    </row>
    <row r="60" spans="1:47" x14ac:dyDescent="0.25">
      <c r="A60" s="10"/>
      <c r="B60">
        <v>2017</v>
      </c>
      <c r="C60">
        <v>4430315.2450000001</v>
      </c>
      <c r="D60">
        <f t="shared" si="0"/>
        <v>15.303981300889015</v>
      </c>
      <c r="E60">
        <f t="shared" si="1"/>
        <v>-0.10851847220818023</v>
      </c>
      <c r="F60">
        <f t="shared" si="2"/>
        <v>15.412499773097196</v>
      </c>
      <c r="G60">
        <f t="shared" si="3"/>
        <v>15.92501106234281</v>
      </c>
      <c r="H60">
        <f t="shared" si="4"/>
        <v>14.2985885626059</v>
      </c>
      <c r="I60">
        <f t="shared" si="6"/>
        <v>14.473150350597185</v>
      </c>
      <c r="J60">
        <f t="shared" si="8"/>
        <v>14.616357845203359</v>
      </c>
      <c r="K60">
        <f t="shared" si="9"/>
        <v>0.69416733398205221</v>
      </c>
      <c r="L60">
        <f t="shared" si="10"/>
        <v>14.616357845203359</v>
      </c>
      <c r="T60">
        <v>48</v>
      </c>
      <c r="U60" t="s">
        <v>102</v>
      </c>
      <c r="V60" t="s">
        <v>36</v>
      </c>
      <c r="W60" s="10">
        <v>2010</v>
      </c>
      <c r="X60" s="10">
        <v>2815554.2563738301</v>
      </c>
      <c r="Y60" s="10">
        <v>2249301.6714230999</v>
      </c>
      <c r="Z60" s="10">
        <v>1625.2558897767599</v>
      </c>
      <c r="AA60" s="10">
        <v>666876.14270274702</v>
      </c>
      <c r="AB60" s="10">
        <v>1855297.3901086999</v>
      </c>
      <c r="AC60" s="10">
        <v>15868.2069265275</v>
      </c>
      <c r="AD60" s="11">
        <v>3.12613983449751E-9</v>
      </c>
      <c r="AE60" s="10">
        <v>127545.81053187999</v>
      </c>
      <c r="AF60" s="10">
        <v>148341.450214179</v>
      </c>
      <c r="AI60">
        <v>666876.14270274702</v>
      </c>
      <c r="AJ60">
        <v>127545.81053187999</v>
      </c>
      <c r="AK60">
        <f t="shared" si="11"/>
        <v>2223521.8042797148</v>
      </c>
      <c r="AL60">
        <f t="shared" si="12"/>
        <v>1180249.8388724476</v>
      </c>
      <c r="AN60" s="6" t="s">
        <v>8</v>
      </c>
      <c r="AO60" s="6"/>
    </row>
    <row r="61" spans="1:47" x14ac:dyDescent="0.25">
      <c r="A61" s="10"/>
      <c r="B61">
        <v>2018</v>
      </c>
      <c r="C61">
        <v>2873549.53</v>
      </c>
      <c r="D61">
        <f t="shared" si="0"/>
        <v>14.871058593600591</v>
      </c>
      <c r="E61">
        <f t="shared" si="1"/>
        <v>-0.43292270728842475</v>
      </c>
      <c r="F61">
        <f t="shared" si="2"/>
        <v>15.303981300889015</v>
      </c>
      <c r="G61">
        <f t="shared" si="3"/>
        <v>15.412499773097196</v>
      </c>
      <c r="H61">
        <f t="shared" si="4"/>
        <v>15.92501106234281</v>
      </c>
      <c r="I61">
        <f t="shared" si="6"/>
        <v>14.2985885626059</v>
      </c>
      <c r="J61">
        <f t="shared" si="8"/>
        <v>14.473150350597185</v>
      </c>
      <c r="K61">
        <f t="shared" si="9"/>
        <v>0.68073539960024732</v>
      </c>
      <c r="L61">
        <f t="shared" si="10"/>
        <v>14.473150350597185</v>
      </c>
      <c r="T61">
        <v>49</v>
      </c>
      <c r="U61" t="s">
        <v>102</v>
      </c>
      <c r="V61" t="s">
        <v>36</v>
      </c>
      <c r="W61" s="10">
        <v>2011</v>
      </c>
      <c r="X61" s="10">
        <v>2249301.6714230999</v>
      </c>
      <c r="Y61" s="10">
        <v>2227427.3991779098</v>
      </c>
      <c r="Z61" s="10">
        <v>827.06982788781397</v>
      </c>
      <c r="AA61" s="10">
        <v>500487.02540779201</v>
      </c>
      <c r="AB61" s="10">
        <v>1577882.4304971399</v>
      </c>
      <c r="AC61" s="10">
        <v>7216.0269029819901</v>
      </c>
      <c r="AD61" s="11">
        <v>2.5678017202957501E-9</v>
      </c>
      <c r="AE61" s="10">
        <v>54790.960207699201</v>
      </c>
      <c r="AF61" s="10">
        <v>108098.158579582</v>
      </c>
      <c r="AI61">
        <v>500487.02540779201</v>
      </c>
      <c r="AJ61">
        <v>54790.960207699201</v>
      </c>
      <c r="AK61">
        <f t="shared" si="11"/>
        <v>2051002.9073125585</v>
      </c>
      <c r="AL61">
        <f t="shared" si="12"/>
        <v>844722.05882110854</v>
      </c>
      <c r="AN61" t="s">
        <v>9</v>
      </c>
      <c r="AO61">
        <v>0.74033350408541898</v>
      </c>
    </row>
    <row r="62" spans="1:47" x14ac:dyDescent="0.25">
      <c r="A62" s="10"/>
      <c r="B62">
        <v>2019</v>
      </c>
      <c r="C62">
        <v>1855135.622</v>
      </c>
      <c r="D62">
        <f t="shared" si="0"/>
        <v>14.433468362941447</v>
      </c>
      <c r="E62">
        <f t="shared" si="1"/>
        <v>-0.43759023065914349</v>
      </c>
      <c r="F62">
        <f t="shared" si="2"/>
        <v>14.871058593600591</v>
      </c>
      <c r="G62">
        <f t="shared" si="3"/>
        <v>15.303981300889015</v>
      </c>
      <c r="H62">
        <f t="shared" si="4"/>
        <v>15.412499773097196</v>
      </c>
      <c r="I62">
        <f t="shared" si="6"/>
        <v>15.92501106234281</v>
      </c>
      <c r="J62">
        <f t="shared" si="8"/>
        <v>14.2985885626059</v>
      </c>
      <c r="K62">
        <f t="shared" si="9"/>
        <v>0.6113960786520678</v>
      </c>
      <c r="L62">
        <f t="shared" si="10"/>
        <v>14.2985885626059</v>
      </c>
      <c r="T62">
        <v>50</v>
      </c>
      <c r="U62" t="s">
        <v>102</v>
      </c>
      <c r="V62" t="s">
        <v>36</v>
      </c>
      <c r="W62" s="10">
        <v>2012</v>
      </c>
      <c r="X62" s="10">
        <v>2227427.3991779098</v>
      </c>
      <c r="Y62" s="10">
        <v>1930231.20777954</v>
      </c>
      <c r="Z62" s="10">
        <v>0</v>
      </c>
      <c r="AA62" s="10">
        <v>507010.23989482899</v>
      </c>
      <c r="AB62" s="10">
        <v>1099434.1426084701</v>
      </c>
      <c r="AC62" s="10">
        <v>623.63133065409295</v>
      </c>
      <c r="AD62" s="11">
        <v>2.8638726851505198E-9</v>
      </c>
      <c r="AE62" s="10">
        <v>481557.63723259</v>
      </c>
      <c r="AF62" s="10">
        <v>138224.73906025299</v>
      </c>
      <c r="AI62">
        <v>507010.23989482899</v>
      </c>
      <c r="AJ62">
        <v>481557.63723259</v>
      </c>
      <c r="AK62">
        <f t="shared" si="11"/>
        <v>2057098.5760609575</v>
      </c>
      <c r="AL62">
        <f t="shared" si="12"/>
        <v>1283009.8104701622</v>
      </c>
      <c r="AN62" t="s">
        <v>10</v>
      </c>
      <c r="AO62">
        <v>0.54809369727139512</v>
      </c>
    </row>
    <row r="63" spans="1:47" x14ac:dyDescent="0.25">
      <c r="A63" s="10"/>
      <c r="B63">
        <v>2020</v>
      </c>
      <c r="C63">
        <v>4561207.9639999997</v>
      </c>
      <c r="D63">
        <f t="shared" si="0"/>
        <v>15.333098050795561</v>
      </c>
      <c r="E63">
        <f t="shared" si="1"/>
        <v>0.89962968785411412</v>
      </c>
      <c r="F63">
        <f t="shared" si="2"/>
        <v>14.433468362941447</v>
      </c>
      <c r="G63">
        <f t="shared" si="3"/>
        <v>14.871058593600591</v>
      </c>
      <c r="H63">
        <f t="shared" si="4"/>
        <v>15.303981300889015</v>
      </c>
      <c r="I63">
        <f t="shared" si="6"/>
        <v>15.412499773097196</v>
      </c>
      <c r="J63">
        <f t="shared" si="8"/>
        <v>15.92501106234281</v>
      </c>
      <c r="K63">
        <f t="shared" si="9"/>
        <v>0.56497781301772698</v>
      </c>
      <c r="L63">
        <f t="shared" si="10"/>
        <v>15.92501106234281</v>
      </c>
      <c r="T63">
        <v>51</v>
      </c>
      <c r="U63" t="s">
        <v>102</v>
      </c>
      <c r="V63" t="s">
        <v>36</v>
      </c>
      <c r="W63" s="10">
        <v>2013</v>
      </c>
      <c r="X63" s="10">
        <v>1930231.20777954</v>
      </c>
      <c r="Y63" s="10">
        <v>1621056.34954884</v>
      </c>
      <c r="Z63" s="11">
        <v>1.7679138243707999E-8</v>
      </c>
      <c r="AA63" s="10">
        <v>461079.56902672799</v>
      </c>
      <c r="AB63" s="10">
        <v>1252746.0009139399</v>
      </c>
      <c r="AC63" s="10">
        <v>258.78064353197402</v>
      </c>
      <c r="AD63" s="10">
        <v>172.52040172291899</v>
      </c>
      <c r="AE63" s="10">
        <v>89671.574437233197</v>
      </c>
      <c r="AF63" s="10">
        <v>126216.502114517</v>
      </c>
      <c r="AI63">
        <v>461079.56902672799</v>
      </c>
      <c r="AJ63">
        <v>89671.574437233197</v>
      </c>
      <c r="AK63">
        <f t="shared" si="11"/>
        <v>2010061.5789507334</v>
      </c>
      <c r="AL63">
        <f t="shared" si="12"/>
        <v>817517.62997384381</v>
      </c>
      <c r="AN63" t="s">
        <v>11</v>
      </c>
      <c r="AO63">
        <v>0.52169540085814781</v>
      </c>
    </row>
    <row r="64" spans="1:47" x14ac:dyDescent="0.25">
      <c r="A64" s="10"/>
      <c r="B64">
        <v>2021</v>
      </c>
      <c r="C64">
        <v>6124320.6040000003</v>
      </c>
      <c r="D64">
        <f t="shared" si="0"/>
        <v>15.627778386446868</v>
      </c>
      <c r="E64">
        <f t="shared" si="1"/>
        <v>0.29468033565130725</v>
      </c>
      <c r="F64">
        <f t="shared" si="2"/>
        <v>15.333098050795561</v>
      </c>
      <c r="G64">
        <f t="shared" si="3"/>
        <v>14.433468362941447</v>
      </c>
      <c r="H64">
        <f t="shared" si="4"/>
        <v>14.871058593600591</v>
      </c>
      <c r="I64">
        <f t="shared" si="6"/>
        <v>15.303981300889015</v>
      </c>
      <c r="J64">
        <f t="shared" si="8"/>
        <v>15.412499773097196</v>
      </c>
      <c r="K64">
        <f t="shared" si="9"/>
        <v>0.414131852266165</v>
      </c>
      <c r="L64">
        <f t="shared" si="10"/>
        <v>15.412499773097196</v>
      </c>
      <c r="T64">
        <v>52</v>
      </c>
      <c r="U64" t="s">
        <v>102</v>
      </c>
      <c r="V64" t="s">
        <v>36</v>
      </c>
      <c r="W64" s="10">
        <v>2014</v>
      </c>
      <c r="X64" s="10">
        <v>1621056.34954884</v>
      </c>
      <c r="Y64" s="10">
        <v>8244122.3534390004</v>
      </c>
      <c r="Z64" s="10">
        <v>119.853551294052</v>
      </c>
      <c r="AA64" s="10">
        <v>735455.24320706597</v>
      </c>
      <c r="AB64" s="10">
        <v>693019.59541326598</v>
      </c>
      <c r="AC64" s="10">
        <v>3907.4673038501801</v>
      </c>
      <c r="AD64" s="10">
        <v>239.70731395070101</v>
      </c>
      <c r="AE64" s="10">
        <v>117646.463620104</v>
      </c>
      <c r="AF64" s="10">
        <v>70466.884198924803</v>
      </c>
      <c r="AI64">
        <v>735455.24320706597</v>
      </c>
      <c r="AJ64">
        <v>117646.463620104</v>
      </c>
      <c r="AK64">
        <f t="shared" si="11"/>
        <v>2294690.1997230495</v>
      </c>
      <c r="AL64">
        <f t="shared" si="12"/>
        <v>1278540.5264564687</v>
      </c>
      <c r="AN64" t="s">
        <v>12</v>
      </c>
      <c r="AO64">
        <v>1994198.9173735762</v>
      </c>
    </row>
    <row r="65" spans="1:48" ht="15.75" thickBot="1" x14ac:dyDescent="0.3">
      <c r="A65" s="10"/>
      <c r="B65">
        <v>2022</v>
      </c>
      <c r="C65">
        <v>4645074.1610000003</v>
      </c>
      <c r="D65">
        <f t="shared" si="0"/>
        <v>15.351317895872269</v>
      </c>
      <c r="E65">
        <f t="shared" si="1"/>
        <v>-0.27646049057459976</v>
      </c>
      <c r="F65">
        <f t="shared" si="2"/>
        <v>15.627778386446868</v>
      </c>
      <c r="G65">
        <f t="shared" si="3"/>
        <v>15.333098050795561</v>
      </c>
      <c r="H65">
        <f t="shared" si="4"/>
        <v>14.433468362941447</v>
      </c>
      <c r="I65">
        <f t="shared" si="6"/>
        <v>14.871058593600591</v>
      </c>
      <c r="J65">
        <f t="shared" si="8"/>
        <v>15.303981300889015</v>
      </c>
      <c r="K65">
        <f t="shared" si="9"/>
        <v>0.46642492461022939</v>
      </c>
      <c r="L65">
        <f t="shared" si="10"/>
        <v>15.303981300889015</v>
      </c>
      <c r="T65">
        <v>53</v>
      </c>
      <c r="U65" t="s">
        <v>102</v>
      </c>
      <c r="V65" t="s">
        <v>36</v>
      </c>
      <c r="W65" s="10">
        <v>2015</v>
      </c>
      <c r="X65" s="10">
        <v>8244122.3534390004</v>
      </c>
      <c r="Y65" s="10">
        <v>4938142.3356476501</v>
      </c>
      <c r="Z65" s="10">
        <v>39747.720164139901</v>
      </c>
      <c r="AA65" s="10">
        <v>3087316.4083772399</v>
      </c>
      <c r="AB65" s="10">
        <v>3182986.38969649</v>
      </c>
      <c r="AC65" s="10">
        <v>848.31177898306203</v>
      </c>
      <c r="AD65" s="10">
        <v>7.0954109527191694E-2</v>
      </c>
      <c r="AE65" s="10">
        <v>1800823.19644013</v>
      </c>
      <c r="AF65" s="10">
        <v>132394.059191204</v>
      </c>
      <c r="AI65">
        <v>3087316.4083772399</v>
      </c>
      <c r="AJ65">
        <v>1800823.19644013</v>
      </c>
      <c r="AK65">
        <f t="shared" si="11"/>
        <v>4732162.3691501394</v>
      </c>
      <c r="AL65">
        <f t="shared" si="12"/>
        <v>6677818.4474011036</v>
      </c>
      <c r="AN65" s="4" t="s">
        <v>13</v>
      </c>
      <c r="AO65" s="4">
        <v>57</v>
      </c>
    </row>
    <row r="66" spans="1:48" x14ac:dyDescent="0.25">
      <c r="A66" s="10"/>
      <c r="B66">
        <v>2023</v>
      </c>
      <c r="C66">
        <v>2539456.1979999999</v>
      </c>
      <c r="D66">
        <f t="shared" si="0"/>
        <v>14.747460520797464</v>
      </c>
      <c r="E66">
        <f t="shared" si="1"/>
        <v>-0.60385737507480464</v>
      </c>
      <c r="F66">
        <f t="shared" si="2"/>
        <v>15.351317895872269</v>
      </c>
      <c r="G66">
        <f t="shared" si="3"/>
        <v>15.627778386446868</v>
      </c>
      <c r="H66">
        <f t="shared" si="4"/>
        <v>15.333098050795561</v>
      </c>
      <c r="I66">
        <f t="shared" si="6"/>
        <v>14.433468362941447</v>
      </c>
      <c r="J66">
        <f t="shared" si="8"/>
        <v>14.871058593600591</v>
      </c>
      <c r="K66">
        <f t="shared" si="9"/>
        <v>0.47169885259111088</v>
      </c>
      <c r="L66">
        <f t="shared" si="10"/>
        <v>14.871058593600591</v>
      </c>
      <c r="T66">
        <v>54</v>
      </c>
      <c r="U66" t="s">
        <v>102</v>
      </c>
      <c r="V66" t="s">
        <v>36</v>
      </c>
      <c r="W66" s="10">
        <v>2016</v>
      </c>
      <c r="X66" s="10">
        <v>4938142.3356476501</v>
      </c>
      <c r="Y66" s="10">
        <v>4430315.2449948899</v>
      </c>
      <c r="Z66" s="10">
        <v>2701.8935558933499</v>
      </c>
      <c r="AA66" s="10">
        <v>1123765.34372818</v>
      </c>
      <c r="AB66" s="10">
        <v>2498861.4972953498</v>
      </c>
      <c r="AC66" s="10">
        <v>12833.2777791232</v>
      </c>
      <c r="AD66" s="11">
        <v>4.45836630198898E-9</v>
      </c>
      <c r="AE66" s="10">
        <v>533352.51101273601</v>
      </c>
      <c r="AF66" s="10">
        <v>766627.81227635301</v>
      </c>
      <c r="AI66">
        <v>1123765.34372818</v>
      </c>
      <c r="AJ66">
        <v>533352.51101273601</v>
      </c>
      <c r="AK66">
        <f t="shared" si="11"/>
        <v>2696918.2257922855</v>
      </c>
      <c r="AL66">
        <f t="shared" si="12"/>
        <v>2308199.354108206</v>
      </c>
    </row>
    <row r="67" spans="1:48" ht="15.75" thickBot="1" x14ac:dyDescent="0.3">
      <c r="A67" s="10"/>
      <c r="B67">
        <v>2024</v>
      </c>
      <c r="C67">
        <v>4335434.7163846698</v>
      </c>
      <c r="D67">
        <f>LN(C67)</f>
        <v>15.282332443765249</v>
      </c>
      <c r="E67">
        <f>D67-D66</f>
        <v>0.53487192296778474</v>
      </c>
      <c r="F67">
        <f t="shared" si="2"/>
        <v>14.747460520797464</v>
      </c>
      <c r="G67">
        <f t="shared" si="3"/>
        <v>15.351317895872269</v>
      </c>
      <c r="H67">
        <f t="shared" si="4"/>
        <v>15.627778386446868</v>
      </c>
      <c r="I67">
        <f t="shared" si="6"/>
        <v>15.333098050795561</v>
      </c>
      <c r="J67">
        <f t="shared" si="8"/>
        <v>14.433468362941447</v>
      </c>
      <c r="K67">
        <f t="shared" si="9"/>
        <v>0.4910663042904379</v>
      </c>
      <c r="L67">
        <f t="shared" si="10"/>
        <v>14.433468362941447</v>
      </c>
      <c r="T67">
        <v>55</v>
      </c>
      <c r="U67" t="s">
        <v>102</v>
      </c>
      <c r="V67" t="s">
        <v>36</v>
      </c>
      <c r="W67" s="10">
        <v>2017</v>
      </c>
      <c r="X67" s="10">
        <v>4430315.2449948899</v>
      </c>
      <c r="Y67" s="10">
        <v>2873549.5305123501</v>
      </c>
      <c r="Z67" s="10">
        <v>68087.606334700002</v>
      </c>
      <c r="AA67" s="10">
        <v>2677120.7196575999</v>
      </c>
      <c r="AB67" s="10">
        <v>1614660.8434347301</v>
      </c>
      <c r="AC67" s="10">
        <v>2.7506912366719498</v>
      </c>
      <c r="AD67" s="10">
        <v>0</v>
      </c>
      <c r="AE67" s="10">
        <v>22310.6646846369</v>
      </c>
      <c r="AF67" s="10">
        <v>48130.9857687361</v>
      </c>
      <c r="AI67">
        <v>2677120.7196575999</v>
      </c>
      <c r="AJ67">
        <v>22310.6646846369</v>
      </c>
      <c r="AK67">
        <f t="shared" si="11"/>
        <v>4309374.463034465</v>
      </c>
      <c r="AL67">
        <f t="shared" si="12"/>
        <v>4246898.0398011571</v>
      </c>
      <c r="AN67" t="s">
        <v>14</v>
      </c>
    </row>
    <row r="68" spans="1:48" ht="15.75" thickBot="1" x14ac:dyDescent="0.3">
      <c r="B68">
        <v>2025</v>
      </c>
      <c r="C68" s="16">
        <v>5756468.7830224112</v>
      </c>
      <c r="D68" s="1">
        <f>LN(C68)</f>
        <v>15.565834786171816</v>
      </c>
      <c r="T68">
        <v>56</v>
      </c>
      <c r="U68" t="s">
        <v>102</v>
      </c>
      <c r="V68" t="s">
        <v>36</v>
      </c>
      <c r="W68" s="10">
        <v>2018</v>
      </c>
      <c r="X68" s="10">
        <v>2873549.5305123501</v>
      </c>
      <c r="Y68" s="10">
        <v>1855135.6227310901</v>
      </c>
      <c r="Z68" s="10">
        <v>2697.7931794824999</v>
      </c>
      <c r="AA68" s="10">
        <v>1604307.4179976699</v>
      </c>
      <c r="AB68" s="10">
        <v>1235289.7543194499</v>
      </c>
      <c r="AC68" s="10">
        <v>10639.6519160961</v>
      </c>
      <c r="AD68" s="10">
        <v>34.983827358828897</v>
      </c>
      <c r="AE68" s="10">
        <v>3197.5298286942102</v>
      </c>
      <c r="AF68" s="10">
        <v>17181.105975629998</v>
      </c>
      <c r="AI68">
        <v>1604307.4179976699</v>
      </c>
      <c r="AJ68">
        <v>3197.5298286942102</v>
      </c>
      <c r="AK68">
        <f t="shared" si="11"/>
        <v>3196329.7595694233</v>
      </c>
      <c r="AL68">
        <f t="shared" si="12"/>
        <v>2534819.8404245451</v>
      </c>
      <c r="AN68" s="5"/>
      <c r="AO68" s="5" t="s">
        <v>19</v>
      </c>
      <c r="AP68" s="5" t="s">
        <v>20</v>
      </c>
      <c r="AQ68" s="5" t="s">
        <v>21</v>
      </c>
      <c r="AR68" s="5" t="s">
        <v>22</v>
      </c>
      <c r="AS68" s="5" t="s">
        <v>23</v>
      </c>
    </row>
    <row r="69" spans="1:48" x14ac:dyDescent="0.25">
      <c r="T69">
        <v>57</v>
      </c>
      <c r="U69" t="s">
        <v>102</v>
      </c>
      <c r="V69" t="s">
        <v>36</v>
      </c>
      <c r="W69" s="10">
        <v>2019</v>
      </c>
      <c r="X69" s="10">
        <v>1855135.6227310901</v>
      </c>
      <c r="Y69" s="10">
        <v>4561207.9638651703</v>
      </c>
      <c r="Z69" s="10">
        <v>4174.7281639448001</v>
      </c>
      <c r="AA69" s="10">
        <v>1230186.21043933</v>
      </c>
      <c r="AB69" s="10">
        <v>586590.71872316999</v>
      </c>
      <c r="AC69" s="10">
        <v>457.58360688202703</v>
      </c>
      <c r="AD69" s="10">
        <v>0.28460219630509898</v>
      </c>
      <c r="AE69" s="10">
        <v>24204.110633895601</v>
      </c>
      <c r="AF69" s="10">
        <v>9521.9670420554594</v>
      </c>
      <c r="AI69">
        <v>1230186.21043933</v>
      </c>
      <c r="AJ69">
        <v>24204.110633895601</v>
      </c>
      <c r="AK69">
        <f t="shared" si="11"/>
        <v>2808135.0958093824</v>
      </c>
      <c r="AL69">
        <f t="shared" si="12"/>
        <v>1965519.8371879994</v>
      </c>
      <c r="AN69" t="s">
        <v>15</v>
      </c>
      <c r="AO69">
        <v>2</v>
      </c>
      <c r="AP69">
        <v>265280942168662.81</v>
      </c>
      <c r="AQ69">
        <v>132640471084331.41</v>
      </c>
      <c r="AR69">
        <v>33.353322544862337</v>
      </c>
      <c r="AS69">
        <v>3.6973424144545277E-10</v>
      </c>
    </row>
    <row r="70" spans="1:48" x14ac:dyDescent="0.25">
      <c r="T70">
        <v>58</v>
      </c>
      <c r="U70" t="s">
        <v>102</v>
      </c>
      <c r="V70" t="s">
        <v>36</v>
      </c>
      <c r="W70" s="10">
        <v>2020</v>
      </c>
      <c r="X70" s="10">
        <v>4561207.9638651703</v>
      </c>
      <c r="Y70" s="10">
        <v>6124320.6042396696</v>
      </c>
      <c r="Z70" s="10">
        <v>6736.5785698312702</v>
      </c>
      <c r="AA70" s="10">
        <v>1839803.7759227799</v>
      </c>
      <c r="AB70" s="10">
        <v>2693830.1041272702</v>
      </c>
      <c r="AC70" s="11">
        <v>4.7279033802378503E-9</v>
      </c>
      <c r="AD70" s="11">
        <v>4.7284412253695403E-9</v>
      </c>
      <c r="AE70" s="10">
        <v>19769.619025591899</v>
      </c>
      <c r="AF70" s="10">
        <v>1067.8862196785899</v>
      </c>
      <c r="AI70">
        <v>1839803.7759227799</v>
      </c>
      <c r="AJ70">
        <v>19769.619025591899</v>
      </c>
      <c r="AK70">
        <f t="shared" si="11"/>
        <v>3440637.930409431</v>
      </c>
      <c r="AL70">
        <f t="shared" si="12"/>
        <v>2923055.1935560252</v>
      </c>
      <c r="AN70" t="s">
        <v>16</v>
      </c>
      <c r="AO70">
        <v>55</v>
      </c>
      <c r="AP70">
        <v>218725612712966.88</v>
      </c>
      <c r="AQ70">
        <v>3976829322053.9434</v>
      </c>
    </row>
    <row r="71" spans="1:48" ht="15.75" thickBot="1" x14ac:dyDescent="0.3">
      <c r="T71">
        <v>59</v>
      </c>
      <c r="U71" t="s">
        <v>102</v>
      </c>
      <c r="V71" t="s">
        <v>36</v>
      </c>
      <c r="W71" s="10">
        <v>2021</v>
      </c>
      <c r="X71" s="10">
        <v>6124320.6042396696</v>
      </c>
      <c r="Y71" s="10">
        <v>4645074.1605213201</v>
      </c>
      <c r="Z71" s="10">
        <v>2.01168508556661E-4</v>
      </c>
      <c r="AA71" s="10">
        <v>2324175.5808669301</v>
      </c>
      <c r="AB71" s="10">
        <v>2700670.9553842102</v>
      </c>
      <c r="AC71" s="10">
        <v>22635.2479337718</v>
      </c>
      <c r="AD71" s="10">
        <v>1400.8617931167601</v>
      </c>
      <c r="AE71" s="10">
        <v>359397.01576594601</v>
      </c>
      <c r="AF71" s="10">
        <v>716039.90352721699</v>
      </c>
      <c r="AI71">
        <v>2324175.5808669301</v>
      </c>
      <c r="AJ71">
        <v>359397.01576594601</v>
      </c>
      <c r="AK71">
        <f t="shared" si="11"/>
        <v>3942652.6110163834</v>
      </c>
      <c r="AL71">
        <f t="shared" si="12"/>
        <v>4028002.897202237</v>
      </c>
      <c r="AN71" s="4" t="s">
        <v>17</v>
      </c>
      <c r="AO71" s="4">
        <v>57</v>
      </c>
      <c r="AP71" s="4">
        <v>484006554881629.69</v>
      </c>
      <c r="AQ71" s="4"/>
      <c r="AR71" s="4"/>
      <c r="AS71" s="4"/>
    </row>
    <row r="72" spans="1:48" ht="15.75" thickBot="1" x14ac:dyDescent="0.3">
      <c r="T72">
        <v>60</v>
      </c>
      <c r="U72" t="s">
        <v>102</v>
      </c>
      <c r="V72" t="s">
        <v>36</v>
      </c>
      <c r="W72" s="10">
        <v>2022</v>
      </c>
      <c r="X72" s="10">
        <v>4645074.1605213201</v>
      </c>
      <c r="Y72" s="10">
        <v>2539456.19806688</v>
      </c>
      <c r="Z72" s="10">
        <v>8045.0439207613699</v>
      </c>
      <c r="AA72" s="10">
        <v>1106969.1845607299</v>
      </c>
      <c r="AB72" s="10">
        <v>2929533.3492246401</v>
      </c>
      <c r="AC72" s="10">
        <v>8130.4320492664401</v>
      </c>
      <c r="AD72" s="11">
        <v>1.04248478570975E-6</v>
      </c>
      <c r="AE72" s="10">
        <v>420868.00330782298</v>
      </c>
      <c r="AF72" s="10">
        <v>165740.13911615399</v>
      </c>
      <c r="AI72">
        <v>1106969.1845607299</v>
      </c>
      <c r="AJ72">
        <v>420868.00330782298</v>
      </c>
      <c r="AK72">
        <f t="shared" si="11"/>
        <v>2679668.9401956615</v>
      </c>
      <c r="AL72">
        <f t="shared" si="12"/>
        <v>2168886.8352148305</v>
      </c>
    </row>
    <row r="73" spans="1:48" ht="15.75" thickBot="1" x14ac:dyDescent="0.3">
      <c r="T73">
        <v>61</v>
      </c>
      <c r="U73" t="s">
        <v>102</v>
      </c>
      <c r="V73" t="s">
        <v>36</v>
      </c>
      <c r="W73" s="10">
        <v>2023</v>
      </c>
      <c r="X73" s="10">
        <v>2539456.19806688</v>
      </c>
      <c r="Y73" s="17">
        <v>4335434.7163846698</v>
      </c>
      <c r="Z73" s="10">
        <v>1427.3332173873</v>
      </c>
      <c r="AA73" s="10">
        <v>474456.84494400799</v>
      </c>
      <c r="AB73" s="10">
        <v>1167190.0771777099</v>
      </c>
      <c r="AC73" s="10">
        <v>6488.24452799558</v>
      </c>
      <c r="AD73" s="11">
        <v>9.2922072572112195E-5</v>
      </c>
      <c r="AE73" s="10">
        <v>46741.778986737198</v>
      </c>
      <c r="AF73" s="10">
        <v>843127.31570865505</v>
      </c>
      <c r="AI73">
        <v>474456.84494400799</v>
      </c>
      <c r="AJ73">
        <v>46741.778986737198</v>
      </c>
      <c r="AK73">
        <f t="shared" si="11"/>
        <v>2024008.5237318403</v>
      </c>
      <c r="AL73">
        <f t="shared" si="12"/>
        <v>795573.84370873426</v>
      </c>
      <c r="AN73" s="5"/>
      <c r="AO73" s="5" t="s">
        <v>24</v>
      </c>
      <c r="AP73" s="5" t="s">
        <v>12</v>
      </c>
      <c r="AQ73" s="5" t="s">
        <v>25</v>
      </c>
      <c r="AR73" s="5" t="s">
        <v>26</v>
      </c>
      <c r="AS73" s="5" t="s">
        <v>27</v>
      </c>
      <c r="AT73" s="5" t="s">
        <v>28</v>
      </c>
      <c r="AU73" s="5" t="s">
        <v>29</v>
      </c>
      <c r="AV73" s="5" t="s">
        <v>30</v>
      </c>
    </row>
    <row r="74" spans="1:48" ht="15.75" thickBot="1" x14ac:dyDescent="0.3">
      <c r="T74" s="4">
        <v>62</v>
      </c>
      <c r="U74" s="4" t="s">
        <v>102</v>
      </c>
      <c r="V74" s="4" t="s">
        <v>36</v>
      </c>
      <c r="W74" s="17">
        <v>2024</v>
      </c>
      <c r="X74" s="17">
        <v>4335434.7163846698</v>
      </c>
      <c r="Y74" s="17"/>
      <c r="Z74" s="17">
        <v>1.5504811501526399E-4</v>
      </c>
      <c r="AA74" s="17">
        <v>3467864.0640692799</v>
      </c>
      <c r="AB74" s="17">
        <v>556513.43957202602</v>
      </c>
      <c r="AC74" s="17">
        <v>5269.3748180126904</v>
      </c>
      <c r="AD74" s="17">
        <v>1.5239285303330499E-4</v>
      </c>
      <c r="AE74" s="17">
        <v>283329.83107897302</v>
      </c>
      <c r="AF74" s="17">
        <v>21962.5521945236</v>
      </c>
      <c r="AI74">
        <v>3467864.0640692799</v>
      </c>
      <c r="AJ74">
        <v>283329.83107897302</v>
      </c>
      <c r="AK74">
        <f t="shared" si="11"/>
        <v>5129382.3173502218</v>
      </c>
      <c r="AL74">
        <f t="shared" si="12"/>
        <v>5756468.7830224112</v>
      </c>
      <c r="AN74" t="s">
        <v>18</v>
      </c>
      <c r="AO74">
        <v>0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</row>
    <row r="75" spans="1:48" x14ac:dyDescent="0.25">
      <c r="AN75" t="s">
        <v>31</v>
      </c>
      <c r="AO75">
        <v>1.5780099787165025</v>
      </c>
      <c r="AP75">
        <v>0.2449547904655108</v>
      </c>
      <c r="AQ75">
        <v>6.4420457984008417</v>
      </c>
      <c r="AR75">
        <v>3.0825918832609453E-8</v>
      </c>
      <c r="AS75">
        <v>1.0871096087424099</v>
      </c>
      <c r="AT75">
        <v>2.0689103486905953</v>
      </c>
      <c r="AU75">
        <v>1.0871096087424099</v>
      </c>
      <c r="AV75">
        <v>2.0689103486905953</v>
      </c>
    </row>
    <row r="76" spans="1:48" ht="15.75" thickBot="1" x14ac:dyDescent="0.3">
      <c r="AN76" s="4" t="s">
        <v>32</v>
      </c>
      <c r="AO76" s="4">
        <v>1.0028759908783575</v>
      </c>
      <c r="AP76" s="4">
        <v>0.73370069554946027</v>
      </c>
      <c r="AQ76" s="4">
        <v>1.3668734362140884</v>
      </c>
      <c r="AR76" s="4">
        <v>0.17722635855879104</v>
      </c>
      <c r="AS76" s="4">
        <v>-0.46749306053315576</v>
      </c>
      <c r="AT76" s="4">
        <v>2.4732450422898706</v>
      </c>
      <c r="AU76" s="4">
        <v>-0.46749306053315576</v>
      </c>
      <c r="AV76" s="4">
        <v>2.4732450422898706</v>
      </c>
    </row>
    <row r="77" spans="1:48" ht="15.75" thickBot="1" x14ac:dyDescent="0.3"/>
    <row r="78" spans="1:48" ht="15.75" thickBot="1" x14ac:dyDescent="0.3">
      <c r="AM78" t="s">
        <v>111</v>
      </c>
      <c r="AN78" s="13" t="s">
        <v>112</v>
      </c>
      <c r="AO78" s="14"/>
      <c r="AP78" s="16">
        <v>5756468.7830224112</v>
      </c>
      <c r="AQ78" s="14" t="s">
        <v>113</v>
      </c>
      <c r="AR78" s="18"/>
    </row>
    <row r="80" spans="1:48" ht="15.75" thickBot="1" x14ac:dyDescent="0.3"/>
    <row r="81" spans="8:35" x14ac:dyDescent="0.25">
      <c r="AA81" s="19" t="s">
        <v>114</v>
      </c>
      <c r="AB81" s="20"/>
      <c r="AC81" s="20"/>
      <c r="AD81" s="21">
        <v>5756468.7830224112</v>
      </c>
      <c r="AE81" s="20"/>
      <c r="AF81" s="20"/>
      <c r="AG81" s="20"/>
      <c r="AH81" s="20"/>
      <c r="AI81" s="22"/>
    </row>
    <row r="82" spans="8:35" ht="15.75" thickBot="1" x14ac:dyDescent="0.3">
      <c r="AA82" s="23" t="s">
        <v>115</v>
      </c>
      <c r="AB82" s="4"/>
      <c r="AC82" s="4"/>
      <c r="AD82" s="4"/>
      <c r="AE82" s="4"/>
      <c r="AF82" s="4"/>
      <c r="AG82" s="4"/>
      <c r="AH82" s="4"/>
      <c r="AI82" s="24"/>
    </row>
    <row r="85" spans="8:35" x14ac:dyDescent="0.25">
      <c r="J85" t="s">
        <v>116</v>
      </c>
    </row>
    <row r="86" spans="8:35" x14ac:dyDescent="0.25">
      <c r="J86" t="s">
        <v>117</v>
      </c>
      <c r="K86" t="s">
        <v>118</v>
      </c>
    </row>
    <row r="87" spans="8:35" x14ac:dyDescent="0.25">
      <c r="K87" t="s">
        <v>119</v>
      </c>
      <c r="R87" t="s">
        <v>120</v>
      </c>
      <c r="S87">
        <v>-51.790999999999997</v>
      </c>
    </row>
    <row r="88" spans="8:35" x14ac:dyDescent="0.25">
      <c r="K88" t="s">
        <v>121</v>
      </c>
    </row>
    <row r="89" spans="8:35" x14ac:dyDescent="0.25">
      <c r="L89" t="s">
        <v>122</v>
      </c>
      <c r="N89" t="s">
        <v>123</v>
      </c>
    </row>
    <row r="90" spans="8:35" x14ac:dyDescent="0.25">
      <c r="J90" t="s">
        <v>124</v>
      </c>
      <c r="K90" t="s">
        <v>125</v>
      </c>
    </row>
    <row r="91" spans="8:35" x14ac:dyDescent="0.25">
      <c r="L91">
        <v>14.747460520797464</v>
      </c>
      <c r="M91">
        <v>-0.373</v>
      </c>
      <c r="N91">
        <f>SUM(L91:M91)</f>
        <v>14.374460520797465</v>
      </c>
      <c r="O91" t="s">
        <v>6</v>
      </c>
      <c r="P91" s="25">
        <f>EXP(N91)</f>
        <v>1748835.1938926987</v>
      </c>
    </row>
    <row r="92" spans="8:35" x14ac:dyDescent="0.25">
      <c r="J92" t="s">
        <v>126</v>
      </c>
      <c r="K92" t="s">
        <v>127</v>
      </c>
      <c r="N92" t="s">
        <v>128</v>
      </c>
      <c r="P92">
        <f>2024*0.0332-51.791</f>
        <v>15.405799999999999</v>
      </c>
      <c r="Q92" t="s">
        <v>129</v>
      </c>
      <c r="R92">
        <f>EXP(P92)</f>
        <v>4905168.4848288735</v>
      </c>
    </row>
    <row r="93" spans="8:35" x14ac:dyDescent="0.25">
      <c r="K93" t="s">
        <v>130</v>
      </c>
      <c r="O93">
        <f>(N91+P92)/2</f>
        <v>14.890130260398731</v>
      </c>
      <c r="Q93" t="s">
        <v>131</v>
      </c>
      <c r="R93" s="1">
        <f>EXP(O93)</f>
        <v>2928878.8432166399</v>
      </c>
      <c r="S93" t="s">
        <v>132</v>
      </c>
    </row>
    <row r="95" spans="8:35" x14ac:dyDescent="0.25">
      <c r="H95" t="s">
        <v>133</v>
      </c>
      <c r="J95" t="s">
        <v>134</v>
      </c>
      <c r="L95">
        <v>4335434.7163846698</v>
      </c>
      <c r="M95">
        <f>LN(L95)</f>
        <v>15.282332443765249</v>
      </c>
      <c r="N95" t="s">
        <v>135</v>
      </c>
      <c r="R95" s="2"/>
    </row>
    <row r="96" spans="8:35" x14ac:dyDescent="0.25">
      <c r="J96" t="s">
        <v>136</v>
      </c>
      <c r="L96" s="26">
        <v>3020000</v>
      </c>
      <c r="M96">
        <f>LN(L96)</f>
        <v>14.920767389351052</v>
      </c>
      <c r="N96" t="s">
        <v>137</v>
      </c>
      <c r="P96" s="10"/>
    </row>
    <row r="97" spans="10:40" x14ac:dyDescent="0.25">
      <c r="L97" s="26"/>
      <c r="P97" s="10"/>
      <c r="AN97" t="s">
        <v>138</v>
      </c>
    </row>
    <row r="98" spans="10:40" x14ac:dyDescent="0.25">
      <c r="L98" s="26"/>
      <c r="P98" s="10"/>
    </row>
    <row r="99" spans="10:40" x14ac:dyDescent="0.25">
      <c r="T99">
        <v>3.32E-2</v>
      </c>
    </row>
    <row r="101" spans="10:40" x14ac:dyDescent="0.25">
      <c r="J101" t="s">
        <v>139</v>
      </c>
      <c r="L101" t="s">
        <v>140</v>
      </c>
    </row>
    <row r="103" spans="10:40" x14ac:dyDescent="0.25">
      <c r="J103" t="s">
        <v>141</v>
      </c>
      <c r="M103">
        <v>-51.448999999999998</v>
      </c>
      <c r="N103">
        <v>3.3000000000000002E-2</v>
      </c>
      <c r="O103" t="s">
        <v>142</v>
      </c>
      <c r="R103" s="1">
        <f>EXP(S103)</f>
        <v>4761150.9823849155</v>
      </c>
      <c r="S103">
        <f>M103+N103*2025</f>
        <v>15.376000000000005</v>
      </c>
    </row>
    <row r="107" spans="10:40" x14ac:dyDescent="0.25">
      <c r="J107" t="s">
        <v>143</v>
      </c>
    </row>
    <row r="108" spans="10:40" x14ac:dyDescent="0.25">
      <c r="K108" t="s">
        <v>144</v>
      </c>
      <c r="P108">
        <v>2400967.6367169395</v>
      </c>
      <c r="Q108" t="s">
        <v>145</v>
      </c>
    </row>
    <row r="109" spans="10:40" x14ac:dyDescent="0.25">
      <c r="K109" t="s">
        <v>146</v>
      </c>
      <c r="P109" s="1">
        <v>3388475.1190267811</v>
      </c>
    </row>
    <row r="110" spans="10:40" x14ac:dyDescent="0.25">
      <c r="L110" t="s">
        <v>147</v>
      </c>
    </row>
    <row r="111" spans="10:40" x14ac:dyDescent="0.25">
      <c r="P111" s="26"/>
    </row>
    <row r="114" spans="11:40" x14ac:dyDescent="0.25">
      <c r="AN114" t="s">
        <v>148</v>
      </c>
    </row>
    <row r="115" spans="11:40" x14ac:dyDescent="0.25">
      <c r="AN115" t="s">
        <v>149</v>
      </c>
    </row>
    <row r="117" spans="11:40" x14ac:dyDescent="0.25">
      <c r="AN117" t="s">
        <v>150</v>
      </c>
    </row>
    <row r="120" spans="11:40" x14ac:dyDescent="0.25">
      <c r="T120">
        <v>4905168.4848288735</v>
      </c>
      <c r="U120">
        <f>LN(T120)</f>
        <v>15.405799999999999</v>
      </c>
    </row>
    <row r="121" spans="11:40" x14ac:dyDescent="0.25">
      <c r="K121" t="s">
        <v>151</v>
      </c>
      <c r="U121" s="1">
        <f>LN(P109)</f>
        <v>15.03589056076221</v>
      </c>
    </row>
    <row r="122" spans="11:40" x14ac:dyDescent="0.25">
      <c r="K122" t="s">
        <v>152</v>
      </c>
    </row>
    <row r="123" spans="11:40" x14ac:dyDescent="0.25">
      <c r="L123" t="s">
        <v>153</v>
      </c>
    </row>
    <row r="127" spans="11:40" x14ac:dyDescent="0.25">
      <c r="K127" t="s">
        <v>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Cors</vt:lpstr>
      <vt:lpstr>broodtable</vt:lpstr>
      <vt:lpstr>trends</vt:lpstr>
      <vt:lpstr>trendPred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MacCall</dc:creator>
  <cp:lastModifiedBy>Alec MacCall</cp:lastModifiedBy>
  <dcterms:created xsi:type="dcterms:W3CDTF">2025-04-29T14:45:27Z</dcterms:created>
  <dcterms:modified xsi:type="dcterms:W3CDTF">2025-05-20T15:31:44Z</dcterms:modified>
</cp:coreProperties>
</file>