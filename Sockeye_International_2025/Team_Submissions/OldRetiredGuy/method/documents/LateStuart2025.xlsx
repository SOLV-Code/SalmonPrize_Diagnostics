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13_ncr:1_{99ED4DC2-C8A1-4310-AB7A-0D84A3E9827A}" xr6:coauthVersionLast="47" xr6:coauthVersionMax="47" xr10:uidLastSave="{00000000-0000-0000-0000-000000000000}"/>
  <bookViews>
    <workbookView xWindow="-120" yWindow="-120" windowWidth="29040" windowHeight="15720" xr2:uid="{ED08297B-30D9-4E3E-BA19-05B17BE748F7}"/>
  </bookViews>
  <sheets>
    <sheet name="LateStuart20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" l="1"/>
  <c r="I152" i="1"/>
  <c r="I150" i="1"/>
  <c r="H150" i="1"/>
  <c r="G150" i="1"/>
  <c r="E150" i="1"/>
  <c r="F150" i="1" s="1"/>
  <c r="I151" i="1" s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L124" i="1"/>
  <c r="M124" i="1" s="1"/>
  <c r="J124" i="1"/>
  <c r="I124" i="1"/>
  <c r="J123" i="1"/>
  <c r="I123" i="1"/>
  <c r="Q122" i="1"/>
  <c r="J122" i="1"/>
  <c r="I122" i="1"/>
  <c r="Q121" i="1"/>
  <c r="J121" i="1"/>
  <c r="I121" i="1"/>
  <c r="Q120" i="1"/>
  <c r="J120" i="1"/>
  <c r="I120" i="1"/>
  <c r="Q119" i="1"/>
  <c r="J119" i="1"/>
  <c r="I119" i="1"/>
  <c r="Q118" i="1"/>
  <c r="J118" i="1"/>
  <c r="I118" i="1"/>
  <c r="Q117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D30" i="1"/>
  <c r="E30" i="1" s="1"/>
  <c r="D29" i="1"/>
  <c r="E29" i="1" s="1"/>
  <c r="D28" i="1"/>
  <c r="E28" i="1" s="1"/>
  <c r="D27" i="1"/>
  <c r="E27" i="1" s="1"/>
  <c r="D26" i="1"/>
  <c r="E26" i="1" s="1"/>
  <c r="E25" i="1"/>
  <c r="D25" i="1"/>
  <c r="D24" i="1"/>
  <c r="D23" i="1"/>
  <c r="E24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E11" i="1"/>
  <c r="D11" i="1"/>
  <c r="D10" i="1"/>
  <c r="D9" i="1"/>
  <c r="E10" i="1" s="1"/>
  <c r="D8" i="1"/>
  <c r="E8" i="1" s="1"/>
  <c r="D7" i="1"/>
  <c r="E7" i="1" s="1"/>
  <c r="D6" i="1"/>
  <c r="E9" i="1" l="1"/>
  <c r="E23" i="1"/>
</calcChain>
</file>

<file path=xl/sharedStrings.xml><?xml version="1.0" encoding="utf-8"?>
<sst xmlns="http://schemas.openxmlformats.org/spreadsheetml/2006/main" count="189" uniqueCount="42">
  <si>
    <t>Case:</t>
  </si>
  <si>
    <t>Late Stuart</t>
  </si>
  <si>
    <t>upper is old</t>
  </si>
  <si>
    <t>Data</t>
  </si>
  <si>
    <t>observations</t>
  </si>
  <si>
    <t>Year</t>
  </si>
  <si>
    <t>Xt</t>
  </si>
  <si>
    <t>ln Rects</t>
  </si>
  <si>
    <t>deltaLnR</t>
  </si>
  <si>
    <t>Looking mainly at years since 2006, which appear to be stationary</t>
  </si>
  <si>
    <t>trend is negligible since 2006, and lnR has no useful pattern for 2025</t>
  </si>
  <si>
    <t>down-2, up-2 pattern might be useful, suggesting an uptick next</t>
  </si>
  <si>
    <t>No trend</t>
  </si>
  <si>
    <t>The recent pattern of diff logs has no analog--can't use pattern</t>
  </si>
  <si>
    <t>See if any information is provided by brood table  --  NO HELP</t>
  </si>
  <si>
    <t>System</t>
  </si>
  <si>
    <t>River</t>
  </si>
  <si>
    <t>ReturnYear</t>
  </si>
  <si>
    <t>Total_Returns</t>
  </si>
  <si>
    <t>AC_1.1</t>
  </si>
  <si>
    <t>AC_1.2</t>
  </si>
  <si>
    <t>AC_1.3</t>
  </si>
  <si>
    <t>prior yr 1.1</t>
  </si>
  <si>
    <t>ln run</t>
  </si>
  <si>
    <t>Fraser River</t>
  </si>
  <si>
    <t>regression is not useful</t>
  </si>
  <si>
    <t>just take average of years with AC1.1 of 100 to 200 (2024 was 158)</t>
  </si>
  <si>
    <t>rel to 158</t>
  </si>
  <si>
    <t>avg</t>
  </si>
  <si>
    <t>almost nothing to go on!  Patterns are no help.  AC1.1 has no regression, just use average runs size near observed AC1.1</t>
  </si>
  <si>
    <t>this would be a substantial uptick consistent with  the +2, -2 pattern in ln run</t>
  </si>
  <si>
    <t>total run vs PC1 lags</t>
  </si>
  <si>
    <t>red=recent blue=old Hasn't changed!  (seems to be a rare exception)</t>
  </si>
  <si>
    <t>but none of the correlations are high enough to be useful</t>
  </si>
  <si>
    <t>and highest recent is at T-6 where I don't have the data</t>
  </si>
  <si>
    <t>percents</t>
  </si>
  <si>
    <t>sum</t>
  </si>
  <si>
    <t>1.1s are uncommon</t>
  </si>
  <si>
    <t>do not appear to be a predictor</t>
  </si>
  <si>
    <t>my eyeballed official forecast value is</t>
  </si>
  <si>
    <t>which is quite a bit larger and the highest in 20 years</t>
  </si>
  <si>
    <t>I don't see where it is coming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</si>
</sst>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2" fillId="0" borderId="2" xfId="0" applyFont="1" applyBorder="1"/>
    <xf numFmtId="1" fontId="2" fillId="0" borderId="3" xfId="0" applyNumberFormat="1" applyFont="1" applyBorder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run size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784033245844269"/>
          <c:y val="0.20476675415573053"/>
          <c:w val="0.79899300087489067"/>
          <c:h val="0.70205529308836401"/>
        </c:manualLayout>
      </c:layout>
      <c:scatterChart>
        <c:scatterStyle val="lineMarker"/>
        <c:varyColors val="0"/>
        <c:ser>
          <c:idx val="0"/>
          <c:order val="0"/>
          <c:xVal>
            <c:numRef>
              <c:f>[1]LateStuart!$B$6:$B$30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[1]LateStuart!$C$6:$C$30</c:f>
              <c:numCache>
                <c:formatCode>General</c:formatCode>
                <c:ptCount val="25"/>
                <c:pt idx="0">
                  <c:v>849458</c:v>
                </c:pt>
                <c:pt idx="1">
                  <c:v>564418</c:v>
                </c:pt>
                <c:pt idx="2">
                  <c:v>343512</c:v>
                </c:pt>
                <c:pt idx="3">
                  <c:v>131907</c:v>
                </c:pt>
                <c:pt idx="4">
                  <c:v>884765</c:v>
                </c:pt>
                <c:pt idx="5">
                  <c:v>458862</c:v>
                </c:pt>
                <c:pt idx="6">
                  <c:v>211304</c:v>
                </c:pt>
                <c:pt idx="7">
                  <c:v>20631</c:v>
                </c:pt>
                <c:pt idx="8">
                  <c:v>269580</c:v>
                </c:pt>
                <c:pt idx="9">
                  <c:v>124109</c:v>
                </c:pt>
                <c:pt idx="10">
                  <c:v>179661</c:v>
                </c:pt>
                <c:pt idx="11">
                  <c:v>12311</c:v>
                </c:pt>
                <c:pt idx="12">
                  <c:v>193187</c:v>
                </c:pt>
                <c:pt idx="13">
                  <c:v>227473</c:v>
                </c:pt>
                <c:pt idx="14">
                  <c:v>311561</c:v>
                </c:pt>
                <c:pt idx="15">
                  <c:v>38959</c:v>
                </c:pt>
                <c:pt idx="16">
                  <c:v>34321</c:v>
                </c:pt>
                <c:pt idx="17">
                  <c:v>219743</c:v>
                </c:pt>
                <c:pt idx="18">
                  <c:v>328953</c:v>
                </c:pt>
                <c:pt idx="19">
                  <c:v>14177</c:v>
                </c:pt>
                <c:pt idx="20">
                  <c:v>12408</c:v>
                </c:pt>
                <c:pt idx="21">
                  <c:v>468145</c:v>
                </c:pt>
                <c:pt idx="22">
                  <c:v>215278</c:v>
                </c:pt>
                <c:pt idx="23">
                  <c:v>69000</c:v>
                </c:pt>
                <c:pt idx="24">
                  <c:v>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2-45D6-B099-BEA31B81F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diff logs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6507589676290466"/>
                  <c:y val="0.28067996500437448"/>
                </c:manualLayout>
              </c:layout>
              <c:numFmt formatCode="General" sourceLinked="0"/>
            </c:trendlineLbl>
          </c:trendline>
          <c:xVal>
            <c:numRef>
              <c:f>[1]LateStuart!$B$12:$B$30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xVal>
          <c:yVal>
            <c:numRef>
              <c:f>[1]LateStuart!$E$12:$E$30</c:f>
              <c:numCache>
                <c:formatCode>General</c:formatCode>
                <c:ptCount val="19"/>
                <c:pt idx="0">
                  <c:v>-0.77545165638692204</c:v>
                </c:pt>
                <c:pt idx="1">
                  <c:v>-2.3265030558676898</c:v>
                </c:pt>
                <c:pt idx="2">
                  <c:v>2.5700703933043147</c:v>
                </c:pt>
                <c:pt idx="3">
                  <c:v>-0.77570498056961945</c:v>
                </c:pt>
                <c:pt idx="4">
                  <c:v>0.36991153011430633</c:v>
                </c:pt>
                <c:pt idx="5">
                  <c:v>-2.6805785701893328</c:v>
                </c:pt>
                <c:pt idx="6">
                  <c:v>2.753165460064336</c:v>
                </c:pt>
                <c:pt idx="7">
                  <c:v>0.16337291829932354</c:v>
                </c:pt>
                <c:pt idx="8">
                  <c:v>0.31456359567209979</c:v>
                </c:pt>
                <c:pt idx="9">
                  <c:v>-2.0790853346074449</c:v>
                </c:pt>
                <c:pt idx="10">
                  <c:v>-0.12675239936938354</c:v>
                </c:pt>
                <c:pt idx="11">
                  <c:v>1.8567012699535379</c:v>
                </c:pt>
                <c:pt idx="12">
                  <c:v>0.40345620173951424</c:v>
                </c:pt>
                <c:pt idx="13">
                  <c:v>-3.1442939502819662</c:v>
                </c:pt>
                <c:pt idx="14">
                  <c:v>-0.13327950726125692</c:v>
                </c:pt>
                <c:pt idx="15">
                  <c:v>3.6304366511161259</c:v>
                </c:pt>
                <c:pt idx="16">
                  <c:v>-0.77684786084154922</c:v>
                </c:pt>
                <c:pt idx="17">
                  <c:v>-1.1378237115515564</c:v>
                </c:pt>
                <c:pt idx="18">
                  <c:v>-0.51659100394699031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02-4046-AC84-FB04DB18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log run size (start 2006)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3485476815398076"/>
                  <c:y val="0.21288766056560804"/>
                </c:manualLayout>
              </c:layout>
              <c:numFmt formatCode="General" sourceLinked="0"/>
            </c:trendlineLbl>
          </c:trendline>
          <c:xVal>
            <c:numRef>
              <c:f>[1]LateStuart!$B$12:$B$30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xVal>
          <c:yVal>
            <c:numRef>
              <c:f>[1]LateStuart!$D$12:$D$30</c:f>
              <c:numCache>
                <c:formatCode>General</c:formatCode>
                <c:ptCount val="19"/>
                <c:pt idx="0">
                  <c:v>12.261053133855636</c:v>
                </c:pt>
                <c:pt idx="1">
                  <c:v>9.9345500779879465</c:v>
                </c:pt>
                <c:pt idx="2">
                  <c:v>12.504620471292261</c:v>
                </c:pt>
                <c:pt idx="3">
                  <c:v>11.728915490722642</c:v>
                </c:pt>
                <c:pt idx="4">
                  <c:v>12.098827020836948</c:v>
                </c:pt>
                <c:pt idx="5">
                  <c:v>9.4182484506476154</c:v>
                </c:pt>
                <c:pt idx="6">
                  <c:v>12.171413910711951</c:v>
                </c:pt>
                <c:pt idx="7">
                  <c:v>12.334786829011275</c:v>
                </c:pt>
                <c:pt idx="8">
                  <c:v>12.649350424683375</c:v>
                </c:pt>
                <c:pt idx="9">
                  <c:v>10.57026509007593</c:v>
                </c:pt>
                <c:pt idx="10">
                  <c:v>10.443512690706546</c:v>
                </c:pt>
                <c:pt idx="11">
                  <c:v>12.300213960660084</c:v>
                </c:pt>
                <c:pt idx="12">
                  <c:v>12.703670162399598</c:v>
                </c:pt>
                <c:pt idx="13">
                  <c:v>9.5593762121176322</c:v>
                </c:pt>
                <c:pt idx="14">
                  <c:v>9.4260967048563753</c:v>
                </c:pt>
                <c:pt idx="15">
                  <c:v>13.056533355972501</c:v>
                </c:pt>
                <c:pt idx="16">
                  <c:v>12.279685495130952</c:v>
                </c:pt>
                <c:pt idx="17">
                  <c:v>11.141861783579396</c:v>
                </c:pt>
                <c:pt idx="18">
                  <c:v>10.625270779632405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A-4E36-9BA6-1F46EC33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3984"/>
        <c:axId val="151915520"/>
      </c:scatterChart>
      <c:valAx>
        <c:axId val="15191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1915520"/>
        <c:crosses val="autoZero"/>
        <c:crossBetween val="midCat"/>
      </c:valAx>
      <c:valAx>
        <c:axId val="151915520"/>
        <c:scaling>
          <c:orientation val="minMax"/>
          <c:min val="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913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years totrun vs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[1]LateStuart!$I$76:$I$148</c:f>
              <c:numCache>
                <c:formatCode>General</c:formatCode>
                <c:ptCount val="73"/>
                <c:pt idx="0">
                  <c:v>0</c:v>
                </c:pt>
                <c:pt idx="1">
                  <c:v>3433</c:v>
                </c:pt>
                <c:pt idx="2">
                  <c:v>591</c:v>
                </c:pt>
                <c:pt idx="3">
                  <c:v>0</c:v>
                </c:pt>
                <c:pt idx="4">
                  <c:v>86</c:v>
                </c:pt>
                <c:pt idx="5">
                  <c:v>830</c:v>
                </c:pt>
                <c:pt idx="6">
                  <c:v>150</c:v>
                </c:pt>
                <c:pt idx="7">
                  <c:v>29</c:v>
                </c:pt>
                <c:pt idx="8">
                  <c:v>0</c:v>
                </c:pt>
                <c:pt idx="9">
                  <c:v>874</c:v>
                </c:pt>
                <c:pt idx="10">
                  <c:v>672</c:v>
                </c:pt>
                <c:pt idx="11">
                  <c:v>67</c:v>
                </c:pt>
                <c:pt idx="12">
                  <c:v>27</c:v>
                </c:pt>
                <c:pt idx="13">
                  <c:v>143</c:v>
                </c:pt>
                <c:pt idx="14">
                  <c:v>45</c:v>
                </c:pt>
                <c:pt idx="15">
                  <c:v>25</c:v>
                </c:pt>
                <c:pt idx="16">
                  <c:v>60</c:v>
                </c:pt>
                <c:pt idx="17">
                  <c:v>228</c:v>
                </c:pt>
                <c:pt idx="18">
                  <c:v>274</c:v>
                </c:pt>
                <c:pt idx="19">
                  <c:v>224</c:v>
                </c:pt>
                <c:pt idx="20">
                  <c:v>0</c:v>
                </c:pt>
                <c:pt idx="21">
                  <c:v>2756</c:v>
                </c:pt>
                <c:pt idx="22">
                  <c:v>318</c:v>
                </c:pt>
                <c:pt idx="23">
                  <c:v>1243</c:v>
                </c:pt>
                <c:pt idx="24">
                  <c:v>0</c:v>
                </c:pt>
                <c:pt idx="25">
                  <c:v>290</c:v>
                </c:pt>
                <c:pt idx="26">
                  <c:v>855</c:v>
                </c:pt>
                <c:pt idx="27">
                  <c:v>541</c:v>
                </c:pt>
                <c:pt idx="28">
                  <c:v>0</c:v>
                </c:pt>
                <c:pt idx="29">
                  <c:v>104</c:v>
                </c:pt>
                <c:pt idx="30">
                  <c:v>699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193</c:v>
                </c:pt>
                <c:pt idx="35">
                  <c:v>0</c:v>
                </c:pt>
                <c:pt idx="36">
                  <c:v>222</c:v>
                </c:pt>
                <c:pt idx="37">
                  <c:v>7755</c:v>
                </c:pt>
                <c:pt idx="38">
                  <c:v>264</c:v>
                </c:pt>
                <c:pt idx="39">
                  <c:v>984</c:v>
                </c:pt>
                <c:pt idx="40">
                  <c:v>1552</c:v>
                </c:pt>
                <c:pt idx="41">
                  <c:v>20256</c:v>
                </c:pt>
                <c:pt idx="42">
                  <c:v>440</c:v>
                </c:pt>
                <c:pt idx="43">
                  <c:v>354</c:v>
                </c:pt>
                <c:pt idx="44">
                  <c:v>0</c:v>
                </c:pt>
                <c:pt idx="45">
                  <c:v>4082</c:v>
                </c:pt>
                <c:pt idx="46">
                  <c:v>0</c:v>
                </c:pt>
                <c:pt idx="47">
                  <c:v>1366</c:v>
                </c:pt>
                <c:pt idx="48">
                  <c:v>607</c:v>
                </c:pt>
                <c:pt idx="49">
                  <c:v>81</c:v>
                </c:pt>
                <c:pt idx="50">
                  <c:v>312</c:v>
                </c:pt>
                <c:pt idx="51">
                  <c:v>23</c:v>
                </c:pt>
                <c:pt idx="52">
                  <c:v>1827</c:v>
                </c:pt>
                <c:pt idx="53">
                  <c:v>29</c:v>
                </c:pt>
                <c:pt idx="54">
                  <c:v>20</c:v>
                </c:pt>
                <c:pt idx="55">
                  <c:v>11</c:v>
                </c:pt>
                <c:pt idx="56">
                  <c:v>220</c:v>
                </c:pt>
                <c:pt idx="57">
                  <c:v>89</c:v>
                </c:pt>
                <c:pt idx="58">
                  <c:v>46</c:v>
                </c:pt>
                <c:pt idx="59">
                  <c:v>81</c:v>
                </c:pt>
                <c:pt idx="60">
                  <c:v>418</c:v>
                </c:pt>
                <c:pt idx="61">
                  <c:v>47</c:v>
                </c:pt>
                <c:pt idx="62">
                  <c:v>1119</c:v>
                </c:pt>
                <c:pt idx="63">
                  <c:v>0</c:v>
                </c:pt>
                <c:pt idx="64">
                  <c:v>0</c:v>
                </c:pt>
                <c:pt idx="65">
                  <c:v>2266</c:v>
                </c:pt>
                <c:pt idx="66">
                  <c:v>632</c:v>
                </c:pt>
                <c:pt idx="67">
                  <c:v>0</c:v>
                </c:pt>
                <c:pt idx="68">
                  <c:v>148</c:v>
                </c:pt>
                <c:pt idx="69">
                  <c:v>70</c:v>
                </c:pt>
                <c:pt idx="70">
                  <c:v>223</c:v>
                </c:pt>
                <c:pt idx="71">
                  <c:v>0</c:v>
                </c:pt>
                <c:pt idx="72">
                  <c:v>0</c:v>
                </c:pt>
              </c:numCache>
            </c:numRef>
          </c:xVal>
          <c:yVal>
            <c:numRef>
              <c:f>[1]LateStuart!$E$76:$E$148</c:f>
              <c:numCache>
                <c:formatCode>General</c:formatCode>
                <c:ptCount val="73"/>
                <c:pt idx="0">
                  <c:v>3760</c:v>
                </c:pt>
                <c:pt idx="1">
                  <c:v>1527145</c:v>
                </c:pt>
                <c:pt idx="2">
                  <c:v>36886</c:v>
                </c:pt>
                <c:pt idx="3">
                  <c:v>58590</c:v>
                </c:pt>
                <c:pt idx="4">
                  <c:v>12413</c:v>
                </c:pt>
                <c:pt idx="5">
                  <c:v>1548251</c:v>
                </c:pt>
                <c:pt idx="6">
                  <c:v>138477</c:v>
                </c:pt>
                <c:pt idx="7">
                  <c:v>52900</c:v>
                </c:pt>
                <c:pt idx="8">
                  <c:v>15466</c:v>
                </c:pt>
                <c:pt idx="9">
                  <c:v>1360396</c:v>
                </c:pt>
                <c:pt idx="10">
                  <c:v>55027</c:v>
                </c:pt>
                <c:pt idx="11">
                  <c:v>7080</c:v>
                </c:pt>
                <c:pt idx="12">
                  <c:v>8034</c:v>
                </c:pt>
                <c:pt idx="13">
                  <c:v>773362</c:v>
                </c:pt>
                <c:pt idx="14">
                  <c:v>51082</c:v>
                </c:pt>
                <c:pt idx="15">
                  <c:v>13888</c:v>
                </c:pt>
                <c:pt idx="16">
                  <c:v>2147</c:v>
                </c:pt>
                <c:pt idx="17">
                  <c:v>1103957</c:v>
                </c:pt>
                <c:pt idx="18">
                  <c:v>94021</c:v>
                </c:pt>
                <c:pt idx="19">
                  <c:v>8145</c:v>
                </c:pt>
                <c:pt idx="20">
                  <c:v>40187</c:v>
                </c:pt>
                <c:pt idx="21">
                  <c:v>1607170</c:v>
                </c:pt>
                <c:pt idx="22">
                  <c:v>91651</c:v>
                </c:pt>
                <c:pt idx="23">
                  <c:v>65527</c:v>
                </c:pt>
                <c:pt idx="24">
                  <c:v>16470</c:v>
                </c:pt>
                <c:pt idx="25">
                  <c:v>661599</c:v>
                </c:pt>
                <c:pt idx="26">
                  <c:v>56784</c:v>
                </c:pt>
                <c:pt idx="27">
                  <c:v>215365</c:v>
                </c:pt>
                <c:pt idx="28">
                  <c:v>3921</c:v>
                </c:pt>
                <c:pt idx="29">
                  <c:v>1314560</c:v>
                </c:pt>
                <c:pt idx="30">
                  <c:v>113596</c:v>
                </c:pt>
                <c:pt idx="31">
                  <c:v>15782</c:v>
                </c:pt>
                <c:pt idx="32">
                  <c:v>21440</c:v>
                </c:pt>
                <c:pt idx="33">
                  <c:v>1978203</c:v>
                </c:pt>
                <c:pt idx="34">
                  <c:v>107988</c:v>
                </c:pt>
                <c:pt idx="35">
                  <c:v>23116</c:v>
                </c:pt>
                <c:pt idx="36">
                  <c:v>26026</c:v>
                </c:pt>
                <c:pt idx="37">
                  <c:v>3367350</c:v>
                </c:pt>
                <c:pt idx="38">
                  <c:v>858898</c:v>
                </c:pt>
                <c:pt idx="39">
                  <c:v>376655</c:v>
                </c:pt>
                <c:pt idx="40">
                  <c:v>322645</c:v>
                </c:pt>
                <c:pt idx="41">
                  <c:v>5163174</c:v>
                </c:pt>
                <c:pt idx="42">
                  <c:v>517217</c:v>
                </c:pt>
                <c:pt idx="43">
                  <c:v>108095</c:v>
                </c:pt>
                <c:pt idx="44">
                  <c:v>150838</c:v>
                </c:pt>
                <c:pt idx="45">
                  <c:v>3255574</c:v>
                </c:pt>
                <c:pt idx="46">
                  <c:v>620406</c:v>
                </c:pt>
                <c:pt idx="47">
                  <c:v>100749</c:v>
                </c:pt>
                <c:pt idx="48">
                  <c:v>849458</c:v>
                </c:pt>
                <c:pt idx="49">
                  <c:v>564418</c:v>
                </c:pt>
                <c:pt idx="50">
                  <c:v>343512</c:v>
                </c:pt>
                <c:pt idx="51">
                  <c:v>131907</c:v>
                </c:pt>
                <c:pt idx="52">
                  <c:v>884765</c:v>
                </c:pt>
                <c:pt idx="53">
                  <c:v>458862</c:v>
                </c:pt>
                <c:pt idx="54">
                  <c:v>211304</c:v>
                </c:pt>
                <c:pt idx="55">
                  <c:v>20631</c:v>
                </c:pt>
                <c:pt idx="56">
                  <c:v>269580</c:v>
                </c:pt>
                <c:pt idx="57">
                  <c:v>124109</c:v>
                </c:pt>
                <c:pt idx="58">
                  <c:v>179661</c:v>
                </c:pt>
                <c:pt idx="59">
                  <c:v>12311</c:v>
                </c:pt>
                <c:pt idx="60">
                  <c:v>193187</c:v>
                </c:pt>
                <c:pt idx="61">
                  <c:v>227473</c:v>
                </c:pt>
                <c:pt idx="62">
                  <c:v>311561</c:v>
                </c:pt>
                <c:pt idx="63">
                  <c:v>38959</c:v>
                </c:pt>
                <c:pt idx="64">
                  <c:v>34321</c:v>
                </c:pt>
                <c:pt idx="65">
                  <c:v>219743</c:v>
                </c:pt>
                <c:pt idx="66">
                  <c:v>328953</c:v>
                </c:pt>
                <c:pt idx="67">
                  <c:v>14177</c:v>
                </c:pt>
                <c:pt idx="68">
                  <c:v>12408</c:v>
                </c:pt>
                <c:pt idx="69">
                  <c:v>468145</c:v>
                </c:pt>
                <c:pt idx="70">
                  <c:v>215278</c:v>
                </c:pt>
                <c:pt idx="71">
                  <c:v>69000</c:v>
                </c:pt>
                <c:pt idx="72">
                  <c:v>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A-4161-B8C0-88AD9482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23599"/>
        <c:axId val="1874955119"/>
      </c:scatterChart>
      <c:valAx>
        <c:axId val="177242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119"/>
        <c:crosses val="autoZero"/>
        <c:crossBetween val="midCat"/>
      </c:valAx>
      <c:valAx>
        <c:axId val="18749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since 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[1]LateStuart!$I$130:$I$148</c:f>
              <c:numCache>
                <c:formatCode>General</c:formatCode>
                <c:ptCount val="19"/>
                <c:pt idx="0">
                  <c:v>20</c:v>
                </c:pt>
                <c:pt idx="1">
                  <c:v>11</c:v>
                </c:pt>
                <c:pt idx="2">
                  <c:v>220</c:v>
                </c:pt>
                <c:pt idx="3">
                  <c:v>89</c:v>
                </c:pt>
                <c:pt idx="4">
                  <c:v>46</c:v>
                </c:pt>
                <c:pt idx="5">
                  <c:v>81</c:v>
                </c:pt>
                <c:pt idx="6">
                  <c:v>418</c:v>
                </c:pt>
                <c:pt idx="7">
                  <c:v>47</c:v>
                </c:pt>
                <c:pt idx="8">
                  <c:v>1119</c:v>
                </c:pt>
                <c:pt idx="9">
                  <c:v>0</c:v>
                </c:pt>
                <c:pt idx="10">
                  <c:v>0</c:v>
                </c:pt>
                <c:pt idx="11">
                  <c:v>2266</c:v>
                </c:pt>
                <c:pt idx="12">
                  <c:v>632</c:v>
                </c:pt>
                <c:pt idx="13">
                  <c:v>0</c:v>
                </c:pt>
                <c:pt idx="14">
                  <c:v>148</c:v>
                </c:pt>
                <c:pt idx="15">
                  <c:v>70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[1]LateStuart!$E$130:$E$148</c:f>
              <c:numCache>
                <c:formatCode>General</c:formatCode>
                <c:ptCount val="19"/>
                <c:pt idx="0">
                  <c:v>211304</c:v>
                </c:pt>
                <c:pt idx="1">
                  <c:v>20631</c:v>
                </c:pt>
                <c:pt idx="2">
                  <c:v>269580</c:v>
                </c:pt>
                <c:pt idx="3">
                  <c:v>124109</c:v>
                </c:pt>
                <c:pt idx="4">
                  <c:v>179661</c:v>
                </c:pt>
                <c:pt idx="5">
                  <c:v>12311</c:v>
                </c:pt>
                <c:pt idx="6">
                  <c:v>193187</c:v>
                </c:pt>
                <c:pt idx="7">
                  <c:v>227473</c:v>
                </c:pt>
                <c:pt idx="8">
                  <c:v>311561</c:v>
                </c:pt>
                <c:pt idx="9">
                  <c:v>38959</c:v>
                </c:pt>
                <c:pt idx="10">
                  <c:v>34321</c:v>
                </c:pt>
                <c:pt idx="11">
                  <c:v>219743</c:v>
                </c:pt>
                <c:pt idx="12">
                  <c:v>328953</c:v>
                </c:pt>
                <c:pt idx="13">
                  <c:v>14177</c:v>
                </c:pt>
                <c:pt idx="14">
                  <c:v>12408</c:v>
                </c:pt>
                <c:pt idx="15">
                  <c:v>468145</c:v>
                </c:pt>
                <c:pt idx="16">
                  <c:v>215278</c:v>
                </c:pt>
                <c:pt idx="17">
                  <c:v>69000</c:v>
                </c:pt>
                <c:pt idx="18">
                  <c:v>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98-49EB-AB81-315F1A2D1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23599"/>
        <c:axId val="1874955119"/>
      </c:scatterChart>
      <c:valAx>
        <c:axId val="177242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119"/>
        <c:crosses val="autoZero"/>
        <c:crossBetween val="midCat"/>
      </c:valAx>
      <c:valAx>
        <c:axId val="18749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since 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[1]LateStuart!$I$130:$I$148</c:f>
              <c:numCache>
                <c:formatCode>General</c:formatCode>
                <c:ptCount val="19"/>
                <c:pt idx="0">
                  <c:v>20</c:v>
                </c:pt>
                <c:pt idx="1">
                  <c:v>11</c:v>
                </c:pt>
                <c:pt idx="2">
                  <c:v>220</c:v>
                </c:pt>
                <c:pt idx="3">
                  <c:v>89</c:v>
                </c:pt>
                <c:pt idx="4">
                  <c:v>46</c:v>
                </c:pt>
                <c:pt idx="5">
                  <c:v>81</c:v>
                </c:pt>
                <c:pt idx="6">
                  <c:v>418</c:v>
                </c:pt>
                <c:pt idx="7">
                  <c:v>47</c:v>
                </c:pt>
                <c:pt idx="8">
                  <c:v>1119</c:v>
                </c:pt>
                <c:pt idx="9">
                  <c:v>0</c:v>
                </c:pt>
                <c:pt idx="10">
                  <c:v>0</c:v>
                </c:pt>
                <c:pt idx="11">
                  <c:v>2266</c:v>
                </c:pt>
                <c:pt idx="12">
                  <c:v>632</c:v>
                </c:pt>
                <c:pt idx="13">
                  <c:v>0</c:v>
                </c:pt>
                <c:pt idx="14">
                  <c:v>148</c:v>
                </c:pt>
                <c:pt idx="15">
                  <c:v>70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[1]LateStuart!$E$130:$E$148</c:f>
              <c:numCache>
                <c:formatCode>General</c:formatCode>
                <c:ptCount val="19"/>
                <c:pt idx="0">
                  <c:v>211304</c:v>
                </c:pt>
                <c:pt idx="1">
                  <c:v>20631</c:v>
                </c:pt>
                <c:pt idx="2">
                  <c:v>269580</c:v>
                </c:pt>
                <c:pt idx="3">
                  <c:v>124109</c:v>
                </c:pt>
                <c:pt idx="4">
                  <c:v>179661</c:v>
                </c:pt>
                <c:pt idx="5">
                  <c:v>12311</c:v>
                </c:pt>
                <c:pt idx="6">
                  <c:v>193187</c:v>
                </c:pt>
                <c:pt idx="7">
                  <c:v>227473</c:v>
                </c:pt>
                <c:pt idx="8">
                  <c:v>311561</c:v>
                </c:pt>
                <c:pt idx="9">
                  <c:v>38959</c:v>
                </c:pt>
                <c:pt idx="10">
                  <c:v>34321</c:v>
                </c:pt>
                <c:pt idx="11">
                  <c:v>219743</c:v>
                </c:pt>
                <c:pt idx="12">
                  <c:v>328953</c:v>
                </c:pt>
                <c:pt idx="13">
                  <c:v>14177</c:v>
                </c:pt>
                <c:pt idx="14">
                  <c:v>12408</c:v>
                </c:pt>
                <c:pt idx="15">
                  <c:v>468145</c:v>
                </c:pt>
                <c:pt idx="16">
                  <c:v>215278</c:v>
                </c:pt>
                <c:pt idx="17">
                  <c:v>69000</c:v>
                </c:pt>
                <c:pt idx="18">
                  <c:v>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2-4157-BDDC-8A25849F8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23599"/>
        <c:axId val="1874955119"/>
      </c:scatterChart>
      <c:valAx>
        <c:axId val="17724235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119"/>
        <c:crosses val="autoZero"/>
        <c:crossBetween val="midCat"/>
      </c:valAx>
      <c:valAx>
        <c:axId val="1874955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 vs 1.1 since 2006 w/o  zeros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[1]LateStuart!$I$130:$I$148</c:f>
              <c:numCache>
                <c:formatCode>General</c:formatCode>
                <c:ptCount val="19"/>
                <c:pt idx="0">
                  <c:v>20</c:v>
                </c:pt>
                <c:pt idx="1">
                  <c:v>11</c:v>
                </c:pt>
                <c:pt idx="2">
                  <c:v>220</c:v>
                </c:pt>
                <c:pt idx="3">
                  <c:v>89</c:v>
                </c:pt>
                <c:pt idx="4">
                  <c:v>46</c:v>
                </c:pt>
                <c:pt idx="5">
                  <c:v>81</c:v>
                </c:pt>
                <c:pt idx="6">
                  <c:v>418</c:v>
                </c:pt>
                <c:pt idx="7">
                  <c:v>47</c:v>
                </c:pt>
                <c:pt idx="8">
                  <c:v>1119</c:v>
                </c:pt>
                <c:pt idx="9">
                  <c:v>0</c:v>
                </c:pt>
                <c:pt idx="10">
                  <c:v>0</c:v>
                </c:pt>
                <c:pt idx="11">
                  <c:v>2266</c:v>
                </c:pt>
                <c:pt idx="12">
                  <c:v>632</c:v>
                </c:pt>
                <c:pt idx="13">
                  <c:v>0</c:v>
                </c:pt>
                <c:pt idx="14">
                  <c:v>148</c:v>
                </c:pt>
                <c:pt idx="15">
                  <c:v>70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[1]LateStuart!$G$130:$G$148</c:f>
              <c:numCache>
                <c:formatCode>General</c:formatCode>
                <c:ptCount val="19"/>
                <c:pt idx="0">
                  <c:v>121483</c:v>
                </c:pt>
                <c:pt idx="1">
                  <c:v>15962</c:v>
                </c:pt>
                <c:pt idx="2">
                  <c:v>263681</c:v>
                </c:pt>
                <c:pt idx="3">
                  <c:v>105786</c:v>
                </c:pt>
                <c:pt idx="4">
                  <c:v>156805</c:v>
                </c:pt>
                <c:pt idx="5">
                  <c:v>5832</c:v>
                </c:pt>
                <c:pt idx="6">
                  <c:v>186682</c:v>
                </c:pt>
                <c:pt idx="7">
                  <c:v>218217</c:v>
                </c:pt>
                <c:pt idx="8">
                  <c:v>276384</c:v>
                </c:pt>
                <c:pt idx="9">
                  <c:v>4528</c:v>
                </c:pt>
                <c:pt idx="10">
                  <c:v>31733</c:v>
                </c:pt>
                <c:pt idx="11">
                  <c:v>214773</c:v>
                </c:pt>
                <c:pt idx="12">
                  <c:v>310885</c:v>
                </c:pt>
                <c:pt idx="13">
                  <c:v>4948</c:v>
                </c:pt>
                <c:pt idx="14">
                  <c:v>11443</c:v>
                </c:pt>
                <c:pt idx="15">
                  <c:v>467922</c:v>
                </c:pt>
                <c:pt idx="16">
                  <c:v>192496</c:v>
                </c:pt>
                <c:pt idx="17">
                  <c:v>28000</c:v>
                </c:pt>
                <c:pt idx="18">
                  <c:v>38313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3-4A75-89E5-32EE5804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23599"/>
        <c:axId val="1874955119"/>
      </c:scatterChart>
      <c:valAx>
        <c:axId val="177242359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5119"/>
        <c:crosses val="autoZero"/>
        <c:crossBetween val="midCat"/>
      </c:valAx>
      <c:valAx>
        <c:axId val="1874955119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42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</xdr:colOff>
      <xdr:row>34</xdr:row>
      <xdr:rowOff>165735</xdr:rowOff>
    </xdr:from>
    <xdr:to>
      <xdr:col>8</xdr:col>
      <xdr:colOff>337185</xdr:colOff>
      <xdr:row>49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E2D92-7DCD-482E-834D-B36A2AEAF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51</xdr:row>
      <xdr:rowOff>9525</xdr:rowOff>
    </xdr:from>
    <xdr:to>
      <xdr:col>8</xdr:col>
      <xdr:colOff>304800</xdr:colOff>
      <xdr:row>66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4E0A7-45E9-483B-8191-F693CA96A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304800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D2E3EE-F687-4562-9303-2B8DC2FD4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533400</xdr:colOff>
      <xdr:row>78</xdr:row>
      <xdr:rowOff>100012</xdr:rowOff>
    </xdr:from>
    <xdr:to>
      <xdr:col>18</xdr:col>
      <xdr:colOff>228600</xdr:colOff>
      <xdr:row>92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3C2337-842E-4BB3-82D7-7DCD6CC1E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581025</xdr:colOff>
      <xdr:row>94</xdr:row>
      <xdr:rowOff>19050</xdr:rowOff>
    </xdr:from>
    <xdr:to>
      <xdr:col>18</xdr:col>
      <xdr:colOff>276225</xdr:colOff>
      <xdr:row>108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71C010-34C1-4EBB-AFFF-234F3EA47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94</xdr:row>
      <xdr:rowOff>0</xdr:rowOff>
    </xdr:from>
    <xdr:to>
      <xdr:col>26</xdr:col>
      <xdr:colOff>66675</xdr:colOff>
      <xdr:row>108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90C544-FB9A-4BBB-ACEC-D06D11A38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857250</xdr:colOff>
      <xdr:row>78</xdr:row>
      <xdr:rowOff>9525</xdr:rowOff>
    </xdr:from>
    <xdr:to>
      <xdr:col>26</xdr:col>
      <xdr:colOff>28575</xdr:colOff>
      <xdr:row>92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355A22-219D-4544-A779-07A664CE4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129</xdr:row>
      <xdr:rowOff>0</xdr:rowOff>
    </xdr:from>
    <xdr:to>
      <xdr:col>18</xdr:col>
      <xdr:colOff>311293</xdr:colOff>
      <xdr:row>143</xdr:row>
      <xdr:rowOff>88631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230A91-FB7E-4419-9B7D-5FED3C7D6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24603075"/>
          <a:ext cx="4578493" cy="2755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fraser\Fraser2025.xlsx" TargetMode="External"/><Relationship Id="rId1" Type="http://schemas.openxmlformats.org/officeDocument/2006/relationships/externalLinkPath" Target="/Alec&amp;BarbsFiles/Alec/AlecScience/SalmonPrize/2025Prize/fraser/Fraser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Chilko"/>
      <sheetName val="LateStuart"/>
      <sheetName val="Quesnel"/>
      <sheetName val="Raft"/>
      <sheetName val="Stellako"/>
    </sheetNames>
    <sheetDataSet>
      <sheetData sheetId="0"/>
      <sheetData sheetId="1"/>
      <sheetData sheetId="2">
        <row r="6">
          <cell r="B6">
            <v>2000</v>
          </cell>
          <cell r="C6">
            <v>849458</v>
          </cell>
        </row>
        <row r="7">
          <cell r="B7">
            <v>2001</v>
          </cell>
          <cell r="C7">
            <v>564418</v>
          </cell>
        </row>
        <row r="8">
          <cell r="B8">
            <v>2002</v>
          </cell>
          <cell r="C8">
            <v>343512</v>
          </cell>
        </row>
        <row r="9">
          <cell r="B9">
            <v>2003</v>
          </cell>
          <cell r="C9">
            <v>131907</v>
          </cell>
        </row>
        <row r="10">
          <cell r="B10">
            <v>2004</v>
          </cell>
          <cell r="C10">
            <v>884765</v>
          </cell>
        </row>
        <row r="11">
          <cell r="B11">
            <v>2005</v>
          </cell>
          <cell r="C11">
            <v>458862</v>
          </cell>
        </row>
        <row r="12">
          <cell r="B12">
            <v>2006</v>
          </cell>
          <cell r="C12">
            <v>211304</v>
          </cell>
          <cell r="D12">
            <v>12.261053133855636</v>
          </cell>
          <cell r="E12">
            <v>-0.77545165638692204</v>
          </cell>
        </row>
        <row r="13">
          <cell r="B13">
            <v>2007</v>
          </cell>
          <cell r="C13">
            <v>20631</v>
          </cell>
          <cell r="D13">
            <v>9.9345500779879465</v>
          </cell>
          <cell r="E13">
            <v>-2.3265030558676898</v>
          </cell>
        </row>
        <row r="14">
          <cell r="B14">
            <v>2008</v>
          </cell>
          <cell r="C14">
            <v>269580</v>
          </cell>
          <cell r="D14">
            <v>12.504620471292261</v>
          </cell>
          <cell r="E14">
            <v>2.5700703933043147</v>
          </cell>
        </row>
        <row r="15">
          <cell r="B15">
            <v>2009</v>
          </cell>
          <cell r="C15">
            <v>124109</v>
          </cell>
          <cell r="D15">
            <v>11.728915490722642</v>
          </cell>
          <cell r="E15">
            <v>-0.77570498056961945</v>
          </cell>
        </row>
        <row r="16">
          <cell r="B16">
            <v>2010</v>
          </cell>
          <cell r="C16">
            <v>179661</v>
          </cell>
          <cell r="D16">
            <v>12.098827020836948</v>
          </cell>
          <cell r="E16">
            <v>0.36991153011430633</v>
          </cell>
        </row>
        <row r="17">
          <cell r="B17">
            <v>2011</v>
          </cell>
          <cell r="C17">
            <v>12311</v>
          </cell>
          <cell r="D17">
            <v>9.4182484506476154</v>
          </cell>
          <cell r="E17">
            <v>-2.6805785701893328</v>
          </cell>
        </row>
        <row r="18">
          <cell r="B18">
            <v>2012</v>
          </cell>
          <cell r="C18">
            <v>193187</v>
          </cell>
          <cell r="D18">
            <v>12.171413910711951</v>
          </cell>
          <cell r="E18">
            <v>2.753165460064336</v>
          </cell>
        </row>
        <row r="19">
          <cell r="B19">
            <v>2013</v>
          </cell>
          <cell r="C19">
            <v>227473</v>
          </cell>
          <cell r="D19">
            <v>12.334786829011275</v>
          </cell>
          <cell r="E19">
            <v>0.16337291829932354</v>
          </cell>
        </row>
        <row r="20">
          <cell r="B20">
            <v>2014</v>
          </cell>
          <cell r="C20">
            <v>311561</v>
          </cell>
          <cell r="D20">
            <v>12.649350424683375</v>
          </cell>
          <cell r="E20">
            <v>0.31456359567209979</v>
          </cell>
        </row>
        <row r="21">
          <cell r="B21">
            <v>2015</v>
          </cell>
          <cell r="C21">
            <v>38959</v>
          </cell>
          <cell r="D21">
            <v>10.57026509007593</v>
          </cell>
          <cell r="E21">
            <v>-2.0790853346074449</v>
          </cell>
        </row>
        <row r="22">
          <cell r="B22">
            <v>2016</v>
          </cell>
          <cell r="C22">
            <v>34321</v>
          </cell>
          <cell r="D22">
            <v>10.443512690706546</v>
          </cell>
          <cell r="E22">
            <v>-0.12675239936938354</v>
          </cell>
        </row>
        <row r="23">
          <cell r="B23">
            <v>2017</v>
          </cell>
          <cell r="C23">
            <v>219743</v>
          </cell>
          <cell r="D23">
            <v>12.300213960660084</v>
          </cell>
          <cell r="E23">
            <v>1.8567012699535379</v>
          </cell>
        </row>
        <row r="24">
          <cell r="B24">
            <v>2018</v>
          </cell>
          <cell r="C24">
            <v>328953</v>
          </cell>
          <cell r="D24">
            <v>12.703670162399598</v>
          </cell>
          <cell r="E24">
            <v>0.40345620173951424</v>
          </cell>
        </row>
        <row r="25">
          <cell r="B25">
            <v>2019</v>
          </cell>
          <cell r="C25">
            <v>14177</v>
          </cell>
          <cell r="D25">
            <v>9.5593762121176322</v>
          </cell>
          <cell r="E25">
            <v>-3.1442939502819662</v>
          </cell>
        </row>
        <row r="26">
          <cell r="B26">
            <v>2020</v>
          </cell>
          <cell r="C26">
            <v>12408</v>
          </cell>
          <cell r="D26">
            <v>9.4260967048563753</v>
          </cell>
          <cell r="E26">
            <v>-0.13327950726125692</v>
          </cell>
        </row>
        <row r="27">
          <cell r="B27">
            <v>2021</v>
          </cell>
          <cell r="C27">
            <v>468145</v>
          </cell>
          <cell r="D27">
            <v>13.056533355972501</v>
          </cell>
          <cell r="E27">
            <v>3.6304366511161259</v>
          </cell>
        </row>
        <row r="28">
          <cell r="B28">
            <v>2022</v>
          </cell>
          <cell r="C28">
            <v>215278</v>
          </cell>
          <cell r="D28">
            <v>12.279685495130952</v>
          </cell>
          <cell r="E28">
            <v>-0.77684786084154922</v>
          </cell>
        </row>
        <row r="29">
          <cell r="B29">
            <v>2023</v>
          </cell>
          <cell r="C29">
            <v>69000</v>
          </cell>
          <cell r="D29">
            <v>11.141861783579396</v>
          </cell>
          <cell r="E29">
            <v>-1.1378237115515564</v>
          </cell>
        </row>
        <row r="30">
          <cell r="B30">
            <v>2024</v>
          </cell>
          <cell r="C30">
            <v>41162</v>
          </cell>
          <cell r="D30">
            <v>10.625270779632405</v>
          </cell>
          <cell r="E30">
            <v>-0.51659100394699031</v>
          </cell>
        </row>
        <row r="76">
          <cell r="E76">
            <v>3760</v>
          </cell>
          <cell r="I76">
            <v>0</v>
          </cell>
        </row>
        <row r="77">
          <cell r="E77">
            <v>1527145</v>
          </cell>
          <cell r="I77">
            <v>3433</v>
          </cell>
        </row>
        <row r="78">
          <cell r="E78">
            <v>36886</v>
          </cell>
          <cell r="I78">
            <v>591</v>
          </cell>
        </row>
        <row r="79">
          <cell r="E79">
            <v>58590</v>
          </cell>
          <cell r="I79">
            <v>0</v>
          </cell>
        </row>
        <row r="80">
          <cell r="E80">
            <v>12413</v>
          </cell>
          <cell r="I80">
            <v>86</v>
          </cell>
        </row>
        <row r="81">
          <cell r="E81">
            <v>1548251</v>
          </cell>
          <cell r="I81">
            <v>830</v>
          </cell>
        </row>
        <row r="82">
          <cell r="E82">
            <v>138477</v>
          </cell>
          <cell r="I82">
            <v>150</v>
          </cell>
        </row>
        <row r="83">
          <cell r="E83">
            <v>52900</v>
          </cell>
          <cell r="I83">
            <v>29</v>
          </cell>
        </row>
        <row r="84">
          <cell r="E84">
            <v>15466</v>
          </cell>
          <cell r="I84">
            <v>0</v>
          </cell>
        </row>
        <row r="85">
          <cell r="E85">
            <v>1360396</v>
          </cell>
          <cell r="I85">
            <v>874</v>
          </cell>
        </row>
        <row r="86">
          <cell r="E86">
            <v>55027</v>
          </cell>
          <cell r="I86">
            <v>672</v>
          </cell>
        </row>
        <row r="87">
          <cell r="E87">
            <v>7080</v>
          </cell>
          <cell r="I87">
            <v>67</v>
          </cell>
        </row>
        <row r="88">
          <cell r="E88">
            <v>8034</v>
          </cell>
          <cell r="I88">
            <v>27</v>
          </cell>
        </row>
        <row r="89">
          <cell r="E89">
            <v>773362</v>
          </cell>
          <cell r="I89">
            <v>143</v>
          </cell>
        </row>
        <row r="90">
          <cell r="E90">
            <v>51082</v>
          </cell>
          <cell r="I90">
            <v>45</v>
          </cell>
        </row>
        <row r="91">
          <cell r="E91">
            <v>13888</v>
          </cell>
          <cell r="I91">
            <v>25</v>
          </cell>
        </row>
        <row r="92">
          <cell r="E92">
            <v>2147</v>
          </cell>
          <cell r="I92">
            <v>60</v>
          </cell>
        </row>
        <row r="93">
          <cell r="E93">
            <v>1103957</v>
          </cell>
          <cell r="I93">
            <v>228</v>
          </cell>
        </row>
        <row r="94">
          <cell r="E94">
            <v>94021</v>
          </cell>
          <cell r="I94">
            <v>274</v>
          </cell>
        </row>
        <row r="95">
          <cell r="E95">
            <v>8145</v>
          </cell>
          <cell r="I95">
            <v>224</v>
          </cell>
        </row>
        <row r="96">
          <cell r="E96">
            <v>40187</v>
          </cell>
          <cell r="I96">
            <v>0</v>
          </cell>
        </row>
        <row r="97">
          <cell r="E97">
            <v>1607170</v>
          </cell>
          <cell r="I97">
            <v>2756</v>
          </cell>
        </row>
        <row r="98">
          <cell r="E98">
            <v>91651</v>
          </cell>
          <cell r="I98">
            <v>318</v>
          </cell>
        </row>
        <row r="99">
          <cell r="E99">
            <v>65527</v>
          </cell>
          <cell r="I99">
            <v>1243</v>
          </cell>
        </row>
        <row r="100">
          <cell r="E100">
            <v>16470</v>
          </cell>
          <cell r="I100">
            <v>0</v>
          </cell>
        </row>
        <row r="101">
          <cell r="E101">
            <v>661599</v>
          </cell>
          <cell r="I101">
            <v>290</v>
          </cell>
        </row>
        <row r="102">
          <cell r="E102">
            <v>56784</v>
          </cell>
          <cell r="I102">
            <v>855</v>
          </cell>
        </row>
        <row r="103">
          <cell r="E103">
            <v>215365</v>
          </cell>
          <cell r="I103">
            <v>541</v>
          </cell>
        </row>
        <row r="104">
          <cell r="E104">
            <v>3921</v>
          </cell>
          <cell r="I104">
            <v>0</v>
          </cell>
        </row>
        <row r="105">
          <cell r="E105">
            <v>1314560</v>
          </cell>
          <cell r="I105">
            <v>104</v>
          </cell>
        </row>
        <row r="106">
          <cell r="E106">
            <v>113596</v>
          </cell>
          <cell r="I106">
            <v>699</v>
          </cell>
        </row>
        <row r="107">
          <cell r="E107">
            <v>15782</v>
          </cell>
          <cell r="I107">
            <v>0</v>
          </cell>
        </row>
        <row r="108">
          <cell r="E108">
            <v>21440</v>
          </cell>
          <cell r="I108">
            <v>0</v>
          </cell>
        </row>
        <row r="109">
          <cell r="E109">
            <v>1978203</v>
          </cell>
          <cell r="I109">
            <v>0</v>
          </cell>
        </row>
        <row r="110">
          <cell r="E110">
            <v>107988</v>
          </cell>
          <cell r="I110">
            <v>193</v>
          </cell>
        </row>
        <row r="111">
          <cell r="E111">
            <v>23116</v>
          </cell>
          <cell r="I111">
            <v>0</v>
          </cell>
        </row>
        <row r="112">
          <cell r="E112">
            <v>26026</v>
          </cell>
          <cell r="I112">
            <v>222</v>
          </cell>
        </row>
        <row r="113">
          <cell r="E113">
            <v>3367350</v>
          </cell>
          <cell r="I113">
            <v>7755</v>
          </cell>
        </row>
        <row r="114">
          <cell r="E114">
            <v>858898</v>
          </cell>
          <cell r="I114">
            <v>264</v>
          </cell>
        </row>
        <row r="115">
          <cell r="E115">
            <v>376655</v>
          </cell>
          <cell r="I115">
            <v>984</v>
          </cell>
        </row>
        <row r="116">
          <cell r="E116">
            <v>322645</v>
          </cell>
          <cell r="I116">
            <v>1552</v>
          </cell>
        </row>
        <row r="117">
          <cell r="E117">
            <v>5163174</v>
          </cell>
          <cell r="I117">
            <v>20256</v>
          </cell>
        </row>
        <row r="118">
          <cell r="E118">
            <v>517217</v>
          </cell>
          <cell r="I118">
            <v>440</v>
          </cell>
        </row>
        <row r="119">
          <cell r="E119">
            <v>108095</v>
          </cell>
          <cell r="I119">
            <v>354</v>
          </cell>
        </row>
        <row r="120">
          <cell r="E120">
            <v>150838</v>
          </cell>
          <cell r="I120">
            <v>0</v>
          </cell>
        </row>
        <row r="121">
          <cell r="E121">
            <v>3255574</v>
          </cell>
          <cell r="I121">
            <v>4082</v>
          </cell>
        </row>
        <row r="122">
          <cell r="E122">
            <v>620406</v>
          </cell>
          <cell r="I122">
            <v>0</v>
          </cell>
        </row>
        <row r="123">
          <cell r="E123">
            <v>100749</v>
          </cell>
          <cell r="I123">
            <v>1366</v>
          </cell>
        </row>
        <row r="124">
          <cell r="E124">
            <v>849458</v>
          </cell>
          <cell r="I124">
            <v>607</v>
          </cell>
        </row>
        <row r="125">
          <cell r="E125">
            <v>564418</v>
          </cell>
          <cell r="I125">
            <v>81</v>
          </cell>
        </row>
        <row r="126">
          <cell r="E126">
            <v>343512</v>
          </cell>
          <cell r="I126">
            <v>312</v>
          </cell>
        </row>
        <row r="127">
          <cell r="E127">
            <v>131907</v>
          </cell>
          <cell r="I127">
            <v>23</v>
          </cell>
        </row>
        <row r="128">
          <cell r="E128">
            <v>884765</v>
          </cell>
          <cell r="I128">
            <v>1827</v>
          </cell>
        </row>
        <row r="129">
          <cell r="E129">
            <v>458862</v>
          </cell>
          <cell r="I129">
            <v>29</v>
          </cell>
        </row>
        <row r="130">
          <cell r="E130">
            <v>211304</v>
          </cell>
          <cell r="G130">
            <v>121483</v>
          </cell>
          <cell r="I130">
            <v>20</v>
          </cell>
        </row>
        <row r="131">
          <cell r="E131">
            <v>20631</v>
          </cell>
          <cell r="G131">
            <v>15962</v>
          </cell>
          <cell r="I131">
            <v>11</v>
          </cell>
        </row>
        <row r="132">
          <cell r="E132">
            <v>269580</v>
          </cell>
          <cell r="G132">
            <v>263681</v>
          </cell>
          <cell r="I132">
            <v>220</v>
          </cell>
        </row>
        <row r="133">
          <cell r="E133">
            <v>124109</v>
          </cell>
          <cell r="G133">
            <v>105786</v>
          </cell>
          <cell r="I133">
            <v>89</v>
          </cell>
        </row>
        <row r="134">
          <cell r="E134">
            <v>179661</v>
          </cell>
          <cell r="G134">
            <v>156805</v>
          </cell>
          <cell r="I134">
            <v>46</v>
          </cell>
        </row>
        <row r="135">
          <cell r="E135">
            <v>12311</v>
          </cell>
          <cell r="G135">
            <v>5832</v>
          </cell>
          <cell r="I135">
            <v>81</v>
          </cell>
        </row>
        <row r="136">
          <cell r="E136">
            <v>193187</v>
          </cell>
          <cell r="G136">
            <v>186682</v>
          </cell>
          <cell r="I136">
            <v>418</v>
          </cell>
        </row>
        <row r="137">
          <cell r="E137">
            <v>227473</v>
          </cell>
          <cell r="G137">
            <v>218217</v>
          </cell>
          <cell r="I137">
            <v>47</v>
          </cell>
        </row>
        <row r="138">
          <cell r="E138">
            <v>311561</v>
          </cell>
          <cell r="G138">
            <v>276384</v>
          </cell>
          <cell r="I138">
            <v>1119</v>
          </cell>
        </row>
        <row r="139">
          <cell r="E139">
            <v>38959</v>
          </cell>
          <cell r="G139">
            <v>4528</v>
          </cell>
          <cell r="I139">
            <v>0</v>
          </cell>
        </row>
        <row r="140">
          <cell r="E140">
            <v>34321</v>
          </cell>
          <cell r="G140">
            <v>31733</v>
          </cell>
          <cell r="I140">
            <v>0</v>
          </cell>
        </row>
        <row r="141">
          <cell r="E141">
            <v>219743</v>
          </cell>
          <cell r="G141">
            <v>214773</v>
          </cell>
          <cell r="I141">
            <v>2266</v>
          </cell>
        </row>
        <row r="142">
          <cell r="E142">
            <v>328953</v>
          </cell>
          <cell r="G142">
            <v>310885</v>
          </cell>
          <cell r="I142">
            <v>632</v>
          </cell>
        </row>
        <row r="143">
          <cell r="E143">
            <v>14177</v>
          </cell>
          <cell r="G143">
            <v>4948</v>
          </cell>
          <cell r="I143">
            <v>0</v>
          </cell>
        </row>
        <row r="144">
          <cell r="E144">
            <v>12408</v>
          </cell>
          <cell r="G144">
            <v>11443</v>
          </cell>
          <cell r="I144">
            <v>148</v>
          </cell>
        </row>
        <row r="145">
          <cell r="E145">
            <v>468145</v>
          </cell>
          <cell r="G145">
            <v>467922</v>
          </cell>
          <cell r="I145">
            <v>70</v>
          </cell>
        </row>
        <row r="146">
          <cell r="E146">
            <v>215278</v>
          </cell>
          <cell r="G146">
            <v>192496</v>
          </cell>
          <cell r="I146">
            <v>223</v>
          </cell>
        </row>
        <row r="147">
          <cell r="E147">
            <v>69000</v>
          </cell>
          <cell r="G147">
            <v>28000</v>
          </cell>
          <cell r="I147">
            <v>0</v>
          </cell>
        </row>
        <row r="148">
          <cell r="E148">
            <v>41162</v>
          </cell>
          <cell r="G148">
            <v>38313</v>
          </cell>
          <cell r="I148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299B-474A-4C76-93BB-7A73A0550F4A}">
  <dimension ref="A1:V152"/>
  <sheetViews>
    <sheetView tabSelected="1" workbookViewId="0">
      <selection activeCell="B155" sqref="B155"/>
    </sheetView>
  </sheetViews>
  <sheetFormatPr defaultRowHeight="15" x14ac:dyDescent="0.25"/>
  <cols>
    <col min="19" max="19" width="13.42578125" customWidth="1"/>
    <col min="20" max="20" width="12.7109375" customWidth="1"/>
  </cols>
  <sheetData>
    <row r="1" spans="1:5" x14ac:dyDescent="0.25">
      <c r="A1" t="s">
        <v>0</v>
      </c>
      <c r="B1" t="s">
        <v>1</v>
      </c>
      <c r="D1" s="1" t="s">
        <v>2</v>
      </c>
    </row>
    <row r="2" spans="1:5" x14ac:dyDescent="0.25">
      <c r="B2" s="2" t="s">
        <v>3</v>
      </c>
      <c r="C2" s="2"/>
    </row>
    <row r="3" spans="1:5" x14ac:dyDescent="0.25">
      <c r="B3" s="2"/>
      <c r="C3" s="2"/>
    </row>
    <row r="4" spans="1:5" x14ac:dyDescent="0.25">
      <c r="B4" s="2"/>
      <c r="C4" s="2" t="s">
        <v>4</v>
      </c>
    </row>
    <row r="5" spans="1:5" x14ac:dyDescent="0.25">
      <c r="B5" s="2" t="s">
        <v>5</v>
      </c>
      <c r="C5" s="2" t="s">
        <v>6</v>
      </c>
      <c r="D5" t="s">
        <v>7</v>
      </c>
      <c r="E5" t="s">
        <v>8</v>
      </c>
    </row>
    <row r="6" spans="1:5" x14ac:dyDescent="0.25">
      <c r="B6">
        <v>2000</v>
      </c>
      <c r="C6" s="2">
        <v>849458</v>
      </c>
      <c r="D6">
        <f t="shared" ref="D6:D30" si="0">LN(C6)</f>
        <v>13.652353778024327</v>
      </c>
    </row>
    <row r="7" spans="1:5" x14ac:dyDescent="0.25">
      <c r="B7">
        <v>2001</v>
      </c>
      <c r="C7" s="2">
        <v>564418</v>
      </c>
      <c r="D7">
        <f t="shared" si="0"/>
        <v>13.243550390727231</v>
      </c>
      <c r="E7">
        <f>D7-D6</f>
        <v>-0.40880338729709642</v>
      </c>
    </row>
    <row r="8" spans="1:5" x14ac:dyDescent="0.25">
      <c r="B8">
        <v>2002</v>
      </c>
      <c r="C8" s="2">
        <v>343512</v>
      </c>
      <c r="D8">
        <f t="shared" si="0"/>
        <v>12.746977324532162</v>
      </c>
      <c r="E8">
        <f t="shared" ref="E8:E30" si="1">D8-D7</f>
        <v>-0.49657306619506869</v>
      </c>
    </row>
    <row r="9" spans="1:5" x14ac:dyDescent="0.25">
      <c r="B9">
        <v>2003</v>
      </c>
      <c r="C9" s="2">
        <v>131907</v>
      </c>
      <c r="D9">
        <f t="shared" si="0"/>
        <v>11.789852407805176</v>
      </c>
      <c r="E9">
        <f t="shared" si="1"/>
        <v>-0.95712491672698619</v>
      </c>
    </row>
    <row r="10" spans="1:5" ht="15.75" thickBot="1" x14ac:dyDescent="0.3">
      <c r="B10">
        <v>2004</v>
      </c>
      <c r="C10" s="3">
        <v>884765</v>
      </c>
      <c r="D10" s="4">
        <f t="shared" si="0"/>
        <v>13.693077352005785</v>
      </c>
      <c r="E10" s="4">
        <f t="shared" si="1"/>
        <v>1.9032249442006091</v>
      </c>
    </row>
    <row r="11" spans="1:5" x14ac:dyDescent="0.25">
      <c r="B11">
        <v>2005</v>
      </c>
      <c r="C11" s="2">
        <v>458862</v>
      </c>
      <c r="D11">
        <f t="shared" si="0"/>
        <v>13.036504790242558</v>
      </c>
      <c r="E11">
        <f t="shared" si="1"/>
        <v>-0.65657256176322676</v>
      </c>
    </row>
    <row r="12" spans="1:5" x14ac:dyDescent="0.25">
      <c r="B12">
        <v>2006</v>
      </c>
      <c r="C12" s="2">
        <v>211304</v>
      </c>
      <c r="D12">
        <f t="shared" si="0"/>
        <v>12.261053133855636</v>
      </c>
      <c r="E12">
        <f t="shared" si="1"/>
        <v>-0.77545165638692204</v>
      </c>
    </row>
    <row r="13" spans="1:5" x14ac:dyDescent="0.25">
      <c r="B13">
        <v>2007</v>
      </c>
      <c r="C13" s="2">
        <v>20631</v>
      </c>
      <c r="D13">
        <f t="shared" si="0"/>
        <v>9.9345500779879465</v>
      </c>
      <c r="E13">
        <f t="shared" si="1"/>
        <v>-2.3265030558676898</v>
      </c>
    </row>
    <row r="14" spans="1:5" x14ac:dyDescent="0.25">
      <c r="B14">
        <v>2008</v>
      </c>
      <c r="C14" s="2">
        <v>269580</v>
      </c>
      <c r="D14">
        <f t="shared" si="0"/>
        <v>12.504620471292261</v>
      </c>
      <c r="E14">
        <f t="shared" si="1"/>
        <v>2.5700703933043147</v>
      </c>
    </row>
    <row r="15" spans="1:5" x14ac:dyDescent="0.25">
      <c r="B15">
        <v>2009</v>
      </c>
      <c r="C15">
        <v>124109</v>
      </c>
      <c r="D15">
        <f t="shared" si="0"/>
        <v>11.728915490722642</v>
      </c>
      <c r="E15">
        <f t="shared" si="1"/>
        <v>-0.77570498056961945</v>
      </c>
    </row>
    <row r="16" spans="1:5" x14ac:dyDescent="0.25">
      <c r="B16">
        <v>2010</v>
      </c>
      <c r="C16">
        <v>179661</v>
      </c>
      <c r="D16">
        <f t="shared" si="0"/>
        <v>12.098827020836948</v>
      </c>
      <c r="E16">
        <f t="shared" si="1"/>
        <v>0.36991153011430633</v>
      </c>
    </row>
    <row r="17" spans="2:10" x14ac:dyDescent="0.25">
      <c r="B17">
        <v>2011</v>
      </c>
      <c r="C17">
        <v>12311</v>
      </c>
      <c r="D17">
        <f t="shared" si="0"/>
        <v>9.4182484506476154</v>
      </c>
      <c r="E17">
        <f t="shared" si="1"/>
        <v>-2.6805785701893328</v>
      </c>
    </row>
    <row r="18" spans="2:10" x14ac:dyDescent="0.25">
      <c r="B18">
        <v>2012</v>
      </c>
      <c r="C18">
        <v>193187</v>
      </c>
      <c r="D18">
        <f t="shared" si="0"/>
        <v>12.171413910711951</v>
      </c>
      <c r="E18">
        <f t="shared" si="1"/>
        <v>2.753165460064336</v>
      </c>
    </row>
    <row r="19" spans="2:10" x14ac:dyDescent="0.25">
      <c r="B19">
        <v>2013</v>
      </c>
      <c r="C19">
        <v>227473</v>
      </c>
      <c r="D19">
        <f t="shared" si="0"/>
        <v>12.334786829011275</v>
      </c>
      <c r="E19">
        <f t="shared" si="1"/>
        <v>0.16337291829932354</v>
      </c>
    </row>
    <row r="20" spans="2:10" x14ac:dyDescent="0.25">
      <c r="B20">
        <v>2014</v>
      </c>
      <c r="C20">
        <v>311561</v>
      </c>
      <c r="D20">
        <f t="shared" si="0"/>
        <v>12.649350424683375</v>
      </c>
      <c r="E20">
        <f t="shared" si="1"/>
        <v>0.31456359567209979</v>
      </c>
    </row>
    <row r="21" spans="2:10" x14ac:dyDescent="0.25">
      <c r="B21">
        <v>2015</v>
      </c>
      <c r="C21">
        <v>38959</v>
      </c>
      <c r="D21">
        <f t="shared" si="0"/>
        <v>10.57026509007593</v>
      </c>
      <c r="E21">
        <f t="shared" si="1"/>
        <v>-2.0790853346074449</v>
      </c>
    </row>
    <row r="22" spans="2:10" x14ac:dyDescent="0.25">
      <c r="B22" s="5">
        <v>2016</v>
      </c>
      <c r="C22" s="5">
        <v>34321</v>
      </c>
      <c r="D22" s="5">
        <f t="shared" si="0"/>
        <v>10.443512690706546</v>
      </c>
      <c r="E22" s="5">
        <f t="shared" si="1"/>
        <v>-0.12675239936938354</v>
      </c>
    </row>
    <row r="23" spans="2:10" x14ac:dyDescent="0.25">
      <c r="B23">
        <v>2017</v>
      </c>
      <c r="C23">
        <v>219743</v>
      </c>
      <c r="D23">
        <f t="shared" si="0"/>
        <v>12.300213960660084</v>
      </c>
      <c r="E23">
        <f t="shared" si="1"/>
        <v>1.8567012699535379</v>
      </c>
    </row>
    <row r="24" spans="2:10" x14ac:dyDescent="0.25">
      <c r="B24">
        <v>2018</v>
      </c>
      <c r="C24">
        <v>328953</v>
      </c>
      <c r="D24">
        <f t="shared" si="0"/>
        <v>12.703670162399598</v>
      </c>
      <c r="E24">
        <f t="shared" si="1"/>
        <v>0.40345620173951424</v>
      </c>
    </row>
    <row r="25" spans="2:10" x14ac:dyDescent="0.25">
      <c r="B25">
        <v>2019</v>
      </c>
      <c r="C25">
        <v>14177</v>
      </c>
      <c r="D25">
        <f t="shared" si="0"/>
        <v>9.5593762121176322</v>
      </c>
      <c r="E25">
        <f t="shared" si="1"/>
        <v>-3.1442939502819662</v>
      </c>
    </row>
    <row r="26" spans="2:10" x14ac:dyDescent="0.25">
      <c r="B26">
        <v>2020</v>
      </c>
      <c r="C26" s="5">
        <v>12408</v>
      </c>
      <c r="D26">
        <f t="shared" si="0"/>
        <v>9.4260967048563753</v>
      </c>
      <c r="E26">
        <f t="shared" si="1"/>
        <v>-0.13327950726125692</v>
      </c>
    </row>
    <row r="27" spans="2:10" x14ac:dyDescent="0.25">
      <c r="B27">
        <v>2021</v>
      </c>
      <c r="C27">
        <v>468145</v>
      </c>
      <c r="D27">
        <f t="shared" si="0"/>
        <v>13.056533355972501</v>
      </c>
      <c r="E27">
        <f t="shared" si="1"/>
        <v>3.6304366511161259</v>
      </c>
    </row>
    <row r="28" spans="2:10" x14ac:dyDescent="0.25">
      <c r="B28">
        <v>2022</v>
      </c>
      <c r="C28">
        <v>215278</v>
      </c>
      <c r="D28">
        <f t="shared" si="0"/>
        <v>12.279685495130952</v>
      </c>
      <c r="E28">
        <f t="shared" si="1"/>
        <v>-0.77684786084154922</v>
      </c>
    </row>
    <row r="29" spans="2:10" x14ac:dyDescent="0.25">
      <c r="B29">
        <v>2023</v>
      </c>
      <c r="C29">
        <v>69000</v>
      </c>
      <c r="D29">
        <f t="shared" si="0"/>
        <v>11.141861783579396</v>
      </c>
      <c r="E29">
        <f t="shared" si="1"/>
        <v>-1.1378237115515564</v>
      </c>
    </row>
    <row r="30" spans="2:10" x14ac:dyDescent="0.25">
      <c r="B30">
        <v>2024</v>
      </c>
      <c r="C30" s="5">
        <v>41162</v>
      </c>
      <c r="D30">
        <f t="shared" si="0"/>
        <v>10.625270779632405</v>
      </c>
      <c r="E30">
        <f t="shared" si="1"/>
        <v>-0.51659100394699031</v>
      </c>
    </row>
    <row r="31" spans="2:10" x14ac:dyDescent="0.25">
      <c r="B31">
        <v>2025</v>
      </c>
    </row>
    <row r="32" spans="2:10" x14ac:dyDescent="0.25">
      <c r="J32" t="s">
        <v>9</v>
      </c>
    </row>
    <row r="52" spans="11:12" x14ac:dyDescent="0.25">
      <c r="K52" t="s">
        <v>10</v>
      </c>
    </row>
    <row r="53" spans="11:12" x14ac:dyDescent="0.25">
      <c r="L53" t="s">
        <v>11</v>
      </c>
    </row>
    <row r="68" spans="1:10" x14ac:dyDescent="0.25">
      <c r="C68" t="s">
        <v>12</v>
      </c>
    </row>
    <row r="69" spans="1:10" x14ac:dyDescent="0.25">
      <c r="C69" t="s">
        <v>13</v>
      </c>
    </row>
    <row r="72" spans="1:10" x14ac:dyDescent="0.25">
      <c r="A72" t="s">
        <v>14</v>
      </c>
    </row>
    <row r="74" spans="1:10" x14ac:dyDescent="0.25"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</row>
    <row r="75" spans="1:10" x14ac:dyDescent="0.25">
      <c r="A75">
        <v>75</v>
      </c>
      <c r="B75" t="s">
        <v>24</v>
      </c>
      <c r="C75" t="s">
        <v>1</v>
      </c>
      <c r="D75">
        <v>1951</v>
      </c>
      <c r="E75">
        <v>0</v>
      </c>
      <c r="F75">
        <v>0</v>
      </c>
      <c r="G75">
        <v>0</v>
      </c>
      <c r="H75">
        <v>0</v>
      </c>
    </row>
    <row r="76" spans="1:10" x14ac:dyDescent="0.25">
      <c r="A76">
        <v>76</v>
      </c>
      <c r="B76" t="s">
        <v>24</v>
      </c>
      <c r="C76" t="s">
        <v>1</v>
      </c>
      <c r="D76">
        <v>1952</v>
      </c>
      <c r="E76">
        <v>3760</v>
      </c>
      <c r="F76">
        <v>3433</v>
      </c>
      <c r="G76">
        <v>327</v>
      </c>
      <c r="H76">
        <v>0</v>
      </c>
      <c r="I76">
        <f>F75</f>
        <v>0</v>
      </c>
      <c r="J76">
        <f>LN(E76)</f>
        <v>8.2321742363839405</v>
      </c>
    </row>
    <row r="77" spans="1:10" x14ac:dyDescent="0.25">
      <c r="A77">
        <v>77</v>
      </c>
      <c r="B77" t="s">
        <v>24</v>
      </c>
      <c r="C77" t="s">
        <v>1</v>
      </c>
      <c r="D77">
        <v>1953</v>
      </c>
      <c r="E77">
        <v>1527145</v>
      </c>
      <c r="F77">
        <v>591</v>
      </c>
      <c r="G77">
        <v>1526554</v>
      </c>
      <c r="H77">
        <v>0</v>
      </c>
      <c r="I77">
        <f t="shared" ref="I77:I140" si="2">F76</f>
        <v>3433</v>
      </c>
      <c r="J77">
        <f t="shared" ref="J77:J140" si="3">LN(E77)</f>
        <v>14.238910537125474</v>
      </c>
    </row>
    <row r="78" spans="1:10" x14ac:dyDescent="0.25">
      <c r="A78">
        <v>78</v>
      </c>
      <c r="B78" t="s">
        <v>24</v>
      </c>
      <c r="C78" t="s">
        <v>1</v>
      </c>
      <c r="D78">
        <v>1954</v>
      </c>
      <c r="E78">
        <v>36886</v>
      </c>
      <c r="F78">
        <v>0</v>
      </c>
      <c r="G78">
        <v>36671</v>
      </c>
      <c r="H78">
        <v>0</v>
      </c>
      <c r="I78">
        <f t="shared" si="2"/>
        <v>591</v>
      </c>
      <c r="J78">
        <f t="shared" si="3"/>
        <v>10.515587354242751</v>
      </c>
    </row>
    <row r="79" spans="1:10" x14ac:dyDescent="0.25">
      <c r="A79">
        <v>79</v>
      </c>
      <c r="B79" t="s">
        <v>24</v>
      </c>
      <c r="C79" t="s">
        <v>1</v>
      </c>
      <c r="D79">
        <v>1955</v>
      </c>
      <c r="E79">
        <v>58590</v>
      </c>
      <c r="F79">
        <v>86</v>
      </c>
      <c r="G79">
        <v>56085</v>
      </c>
      <c r="H79">
        <v>2419</v>
      </c>
      <c r="I79">
        <f t="shared" si="2"/>
        <v>0</v>
      </c>
      <c r="J79">
        <f t="shared" si="3"/>
        <v>10.978319312538835</v>
      </c>
    </row>
    <row r="80" spans="1:10" x14ac:dyDescent="0.25">
      <c r="A80">
        <v>80</v>
      </c>
      <c r="B80" t="s">
        <v>24</v>
      </c>
      <c r="C80" t="s">
        <v>1</v>
      </c>
      <c r="D80">
        <v>1956</v>
      </c>
      <c r="E80">
        <v>12413</v>
      </c>
      <c r="F80">
        <v>830</v>
      </c>
      <c r="G80">
        <v>3858</v>
      </c>
      <c r="H80">
        <v>7559</v>
      </c>
      <c r="I80">
        <f t="shared" si="2"/>
        <v>86</v>
      </c>
      <c r="J80">
        <f t="shared" si="3"/>
        <v>9.4264995895159487</v>
      </c>
    </row>
    <row r="81" spans="1:10" x14ac:dyDescent="0.25">
      <c r="A81">
        <v>81</v>
      </c>
      <c r="B81" t="s">
        <v>24</v>
      </c>
      <c r="C81" t="s">
        <v>1</v>
      </c>
      <c r="D81">
        <v>1957</v>
      </c>
      <c r="E81">
        <v>1548251</v>
      </c>
      <c r="F81">
        <v>150</v>
      </c>
      <c r="G81">
        <v>1548072</v>
      </c>
      <c r="H81">
        <v>29</v>
      </c>
      <c r="I81">
        <f t="shared" si="2"/>
        <v>830</v>
      </c>
      <c r="J81">
        <f t="shared" si="3"/>
        <v>14.252636464690621</v>
      </c>
    </row>
    <row r="82" spans="1:10" x14ac:dyDescent="0.25">
      <c r="A82">
        <v>82</v>
      </c>
      <c r="B82" t="s">
        <v>24</v>
      </c>
      <c r="C82" t="s">
        <v>1</v>
      </c>
      <c r="D82">
        <v>1958</v>
      </c>
      <c r="E82">
        <v>138477</v>
      </c>
      <c r="F82">
        <v>29</v>
      </c>
      <c r="G82">
        <v>135111</v>
      </c>
      <c r="H82">
        <v>1470</v>
      </c>
      <c r="I82">
        <f t="shared" si="2"/>
        <v>150</v>
      </c>
      <c r="J82">
        <f t="shared" si="3"/>
        <v>11.838459525837266</v>
      </c>
    </row>
    <row r="83" spans="1:10" x14ac:dyDescent="0.25">
      <c r="A83">
        <v>83</v>
      </c>
      <c r="B83" t="s">
        <v>24</v>
      </c>
      <c r="C83" t="s">
        <v>1</v>
      </c>
      <c r="D83">
        <v>1959</v>
      </c>
      <c r="E83">
        <v>52900</v>
      </c>
      <c r="F83">
        <v>0</v>
      </c>
      <c r="G83">
        <v>50196</v>
      </c>
      <c r="H83">
        <v>2704</v>
      </c>
      <c r="I83">
        <f t="shared" si="2"/>
        <v>29</v>
      </c>
      <c r="J83">
        <f t="shared" si="3"/>
        <v>10.876158617846391</v>
      </c>
    </row>
    <row r="84" spans="1:10" x14ac:dyDescent="0.25">
      <c r="A84">
        <v>84</v>
      </c>
      <c r="B84" t="s">
        <v>24</v>
      </c>
      <c r="C84" t="s">
        <v>1</v>
      </c>
      <c r="D84">
        <v>1960</v>
      </c>
      <c r="E84">
        <v>15466</v>
      </c>
      <c r="F84">
        <v>874</v>
      </c>
      <c r="G84">
        <v>13472</v>
      </c>
      <c r="H84">
        <v>1120</v>
      </c>
      <c r="I84">
        <f t="shared" si="2"/>
        <v>0</v>
      </c>
      <c r="J84">
        <f t="shared" si="3"/>
        <v>9.6463993451689802</v>
      </c>
    </row>
    <row r="85" spans="1:10" x14ac:dyDescent="0.25">
      <c r="A85">
        <v>85</v>
      </c>
      <c r="B85" t="s">
        <v>24</v>
      </c>
      <c r="C85" t="s">
        <v>1</v>
      </c>
      <c r="D85">
        <v>1961</v>
      </c>
      <c r="E85">
        <v>1360396</v>
      </c>
      <c r="F85">
        <v>672</v>
      </c>
      <c r="G85">
        <v>1327094</v>
      </c>
      <c r="H85">
        <v>32630</v>
      </c>
      <c r="I85">
        <f t="shared" si="2"/>
        <v>874</v>
      </c>
      <c r="J85">
        <f t="shared" si="3"/>
        <v>14.123286391799182</v>
      </c>
    </row>
    <row r="86" spans="1:10" x14ac:dyDescent="0.25">
      <c r="A86">
        <v>86</v>
      </c>
      <c r="B86" t="s">
        <v>24</v>
      </c>
      <c r="C86" t="s">
        <v>1</v>
      </c>
      <c r="D86">
        <v>1962</v>
      </c>
      <c r="E86">
        <v>55027</v>
      </c>
      <c r="F86">
        <v>67</v>
      </c>
      <c r="G86">
        <v>53044</v>
      </c>
      <c r="H86">
        <v>1916</v>
      </c>
      <c r="I86">
        <f t="shared" si="2"/>
        <v>672</v>
      </c>
      <c r="J86">
        <f t="shared" si="3"/>
        <v>10.915579252849069</v>
      </c>
    </row>
    <row r="87" spans="1:10" x14ac:dyDescent="0.25">
      <c r="A87">
        <v>87</v>
      </c>
      <c r="B87" t="s">
        <v>24</v>
      </c>
      <c r="C87" t="s">
        <v>1</v>
      </c>
      <c r="D87">
        <v>1963</v>
      </c>
      <c r="E87">
        <v>7080</v>
      </c>
      <c r="F87">
        <v>27</v>
      </c>
      <c r="G87">
        <v>6092</v>
      </c>
      <c r="H87">
        <v>961</v>
      </c>
      <c r="I87">
        <f t="shared" si="2"/>
        <v>67</v>
      </c>
      <c r="J87">
        <f t="shared" si="3"/>
        <v>8.8650291866877655</v>
      </c>
    </row>
    <row r="88" spans="1:10" x14ac:dyDescent="0.25">
      <c r="A88">
        <v>88</v>
      </c>
      <c r="B88" t="s">
        <v>24</v>
      </c>
      <c r="C88" t="s">
        <v>1</v>
      </c>
      <c r="D88">
        <v>1964</v>
      </c>
      <c r="E88">
        <v>8034</v>
      </c>
      <c r="F88">
        <v>143</v>
      </c>
      <c r="G88">
        <v>6658</v>
      </c>
      <c r="H88">
        <v>1233</v>
      </c>
      <c r="I88">
        <f t="shared" si="2"/>
        <v>27</v>
      </c>
      <c r="J88">
        <f t="shared" si="3"/>
        <v>8.9914378149192267</v>
      </c>
    </row>
    <row r="89" spans="1:10" x14ac:dyDescent="0.25">
      <c r="A89">
        <v>89</v>
      </c>
      <c r="B89" t="s">
        <v>24</v>
      </c>
      <c r="C89" t="s">
        <v>1</v>
      </c>
      <c r="D89">
        <v>1965</v>
      </c>
      <c r="E89">
        <v>773362</v>
      </c>
      <c r="F89">
        <v>45</v>
      </c>
      <c r="G89">
        <v>770385</v>
      </c>
      <c r="H89">
        <v>2932</v>
      </c>
      <c r="I89">
        <f t="shared" si="2"/>
        <v>143</v>
      </c>
      <c r="J89">
        <f t="shared" si="3"/>
        <v>13.558502523252864</v>
      </c>
    </row>
    <row r="90" spans="1:10" x14ac:dyDescent="0.25">
      <c r="A90">
        <v>90</v>
      </c>
      <c r="B90" t="s">
        <v>24</v>
      </c>
      <c r="C90" t="s">
        <v>1</v>
      </c>
      <c r="D90">
        <v>1966</v>
      </c>
      <c r="E90">
        <v>51082</v>
      </c>
      <c r="F90">
        <v>25</v>
      </c>
      <c r="G90">
        <v>43107</v>
      </c>
      <c r="H90">
        <v>7535</v>
      </c>
      <c r="I90">
        <f t="shared" si="2"/>
        <v>45</v>
      </c>
      <c r="J90">
        <f t="shared" si="3"/>
        <v>10.841187463647783</v>
      </c>
    </row>
    <row r="91" spans="1:10" x14ac:dyDescent="0.25">
      <c r="A91">
        <v>91</v>
      </c>
      <c r="B91" t="s">
        <v>24</v>
      </c>
      <c r="C91" t="s">
        <v>1</v>
      </c>
      <c r="D91">
        <v>1967</v>
      </c>
      <c r="E91">
        <v>13888</v>
      </c>
      <c r="F91">
        <v>60</v>
      </c>
      <c r="G91">
        <v>11911</v>
      </c>
      <c r="H91">
        <v>1917</v>
      </c>
      <c r="I91">
        <f t="shared" si="2"/>
        <v>25</v>
      </c>
      <c r="J91">
        <f t="shared" si="3"/>
        <v>9.5387804369001312</v>
      </c>
    </row>
    <row r="92" spans="1:10" x14ac:dyDescent="0.25">
      <c r="A92">
        <v>92</v>
      </c>
      <c r="B92" t="s">
        <v>24</v>
      </c>
      <c r="C92" t="s">
        <v>1</v>
      </c>
      <c r="D92">
        <v>1968</v>
      </c>
      <c r="E92">
        <v>2147</v>
      </c>
      <c r="F92">
        <v>228</v>
      </c>
      <c r="G92">
        <v>1806</v>
      </c>
      <c r="H92">
        <v>113</v>
      </c>
      <c r="I92">
        <f t="shared" si="2"/>
        <v>60</v>
      </c>
      <c r="J92">
        <f t="shared" si="3"/>
        <v>7.6718267978787811</v>
      </c>
    </row>
    <row r="93" spans="1:10" x14ac:dyDescent="0.25">
      <c r="A93">
        <v>93</v>
      </c>
      <c r="B93" t="s">
        <v>24</v>
      </c>
      <c r="C93" t="s">
        <v>1</v>
      </c>
      <c r="D93">
        <v>1969</v>
      </c>
      <c r="E93">
        <v>1103957</v>
      </c>
      <c r="F93">
        <v>274</v>
      </c>
      <c r="G93">
        <v>1102448</v>
      </c>
      <c r="H93">
        <v>1235</v>
      </c>
      <c r="I93">
        <f t="shared" si="2"/>
        <v>228</v>
      </c>
      <c r="J93">
        <f t="shared" si="3"/>
        <v>13.914411555785273</v>
      </c>
    </row>
    <row r="94" spans="1:10" x14ac:dyDescent="0.25">
      <c r="A94">
        <v>94</v>
      </c>
      <c r="B94" t="s">
        <v>24</v>
      </c>
      <c r="C94" t="s">
        <v>1</v>
      </c>
      <c r="D94">
        <v>1970</v>
      </c>
      <c r="E94">
        <v>94021</v>
      </c>
      <c r="F94">
        <v>224</v>
      </c>
      <c r="G94">
        <v>71954</v>
      </c>
      <c r="H94">
        <v>21752</v>
      </c>
      <c r="I94">
        <f t="shared" si="2"/>
        <v>274</v>
      </c>
      <c r="J94">
        <f t="shared" si="3"/>
        <v>11.451273440556445</v>
      </c>
    </row>
    <row r="95" spans="1:10" x14ac:dyDescent="0.25">
      <c r="A95">
        <v>95</v>
      </c>
      <c r="B95" t="s">
        <v>24</v>
      </c>
      <c r="C95" t="s">
        <v>1</v>
      </c>
      <c r="D95">
        <v>1971</v>
      </c>
      <c r="E95">
        <v>8145</v>
      </c>
      <c r="F95">
        <v>0</v>
      </c>
      <c r="G95">
        <v>6294</v>
      </c>
      <c r="H95">
        <v>1851</v>
      </c>
      <c r="I95">
        <f t="shared" si="2"/>
        <v>224</v>
      </c>
      <c r="J95">
        <f t="shared" si="3"/>
        <v>9.0051595210361448</v>
      </c>
    </row>
    <row r="96" spans="1:10" x14ac:dyDescent="0.25">
      <c r="A96">
        <v>96</v>
      </c>
      <c r="B96" t="s">
        <v>24</v>
      </c>
      <c r="C96" t="s">
        <v>1</v>
      </c>
      <c r="D96">
        <v>1972</v>
      </c>
      <c r="E96">
        <v>40187</v>
      </c>
      <c r="F96">
        <v>2756</v>
      </c>
      <c r="G96">
        <v>27393</v>
      </c>
      <c r="H96">
        <v>10038</v>
      </c>
      <c r="I96">
        <f t="shared" si="2"/>
        <v>0</v>
      </c>
      <c r="J96">
        <f t="shared" si="3"/>
        <v>10.601298839222951</v>
      </c>
    </row>
    <row r="97" spans="1:12" x14ac:dyDescent="0.25">
      <c r="A97">
        <v>97</v>
      </c>
      <c r="B97" t="s">
        <v>24</v>
      </c>
      <c r="C97" t="s">
        <v>1</v>
      </c>
      <c r="D97">
        <v>1973</v>
      </c>
      <c r="E97">
        <v>1607170</v>
      </c>
      <c r="F97">
        <v>318</v>
      </c>
      <c r="G97">
        <v>1602892</v>
      </c>
      <c r="H97">
        <v>3906</v>
      </c>
      <c r="I97">
        <f t="shared" si="2"/>
        <v>2756</v>
      </c>
      <c r="J97">
        <f t="shared" si="3"/>
        <v>14.289985426305662</v>
      </c>
    </row>
    <row r="98" spans="1:12" x14ac:dyDescent="0.25">
      <c r="A98">
        <v>98</v>
      </c>
      <c r="B98" t="s">
        <v>24</v>
      </c>
      <c r="C98" t="s">
        <v>1</v>
      </c>
      <c r="D98">
        <v>1974</v>
      </c>
      <c r="E98">
        <v>91651</v>
      </c>
      <c r="F98">
        <v>1243</v>
      </c>
      <c r="G98">
        <v>70520</v>
      </c>
      <c r="H98">
        <v>19888</v>
      </c>
      <c r="I98">
        <f t="shared" si="2"/>
        <v>318</v>
      </c>
      <c r="J98">
        <f t="shared" si="3"/>
        <v>11.425743164283066</v>
      </c>
    </row>
    <row r="99" spans="1:12" x14ac:dyDescent="0.25">
      <c r="A99">
        <v>99</v>
      </c>
      <c r="B99" t="s">
        <v>24</v>
      </c>
      <c r="C99" t="s">
        <v>1</v>
      </c>
      <c r="D99">
        <v>1975</v>
      </c>
      <c r="E99">
        <v>65527</v>
      </c>
      <c r="F99">
        <v>0</v>
      </c>
      <c r="G99">
        <v>65527</v>
      </c>
      <c r="H99">
        <v>0</v>
      </c>
      <c r="I99">
        <f t="shared" si="2"/>
        <v>1243</v>
      </c>
      <c r="J99">
        <f t="shared" si="3"/>
        <v>11.090217550427058</v>
      </c>
    </row>
    <row r="100" spans="1:12" x14ac:dyDescent="0.25">
      <c r="A100">
        <v>100</v>
      </c>
      <c r="B100" t="s">
        <v>24</v>
      </c>
      <c r="C100" t="s">
        <v>1</v>
      </c>
      <c r="D100">
        <v>1976</v>
      </c>
      <c r="E100">
        <v>16470</v>
      </c>
      <c r="F100">
        <v>290</v>
      </c>
      <c r="G100">
        <v>16180</v>
      </c>
      <c r="H100">
        <v>0</v>
      </c>
      <c r="I100">
        <f t="shared" si="2"/>
        <v>0</v>
      </c>
      <c r="J100">
        <f t="shared" si="3"/>
        <v>9.7092958231716864</v>
      </c>
    </row>
    <row r="101" spans="1:12" x14ac:dyDescent="0.25">
      <c r="A101">
        <v>101</v>
      </c>
      <c r="B101" t="s">
        <v>24</v>
      </c>
      <c r="C101" t="s">
        <v>1</v>
      </c>
      <c r="D101">
        <v>1977</v>
      </c>
      <c r="E101">
        <v>661599</v>
      </c>
      <c r="F101">
        <v>855</v>
      </c>
      <c r="G101">
        <v>658158</v>
      </c>
      <c r="H101">
        <v>2586</v>
      </c>
      <c r="I101">
        <f t="shared" si="2"/>
        <v>290</v>
      </c>
      <c r="J101">
        <f t="shared" si="3"/>
        <v>13.402414911203174</v>
      </c>
    </row>
    <row r="102" spans="1:12" x14ac:dyDescent="0.25">
      <c r="A102">
        <v>102</v>
      </c>
      <c r="B102" t="s">
        <v>24</v>
      </c>
      <c r="C102" t="s">
        <v>1</v>
      </c>
      <c r="D102">
        <v>1978</v>
      </c>
      <c r="E102">
        <v>56784</v>
      </c>
      <c r="F102">
        <v>541</v>
      </c>
      <c r="G102">
        <v>48593</v>
      </c>
      <c r="H102">
        <v>5807</v>
      </c>
      <c r="I102">
        <f t="shared" si="2"/>
        <v>855</v>
      </c>
      <c r="J102">
        <f t="shared" si="3"/>
        <v>10.947009874886279</v>
      </c>
    </row>
    <row r="103" spans="1:12" x14ac:dyDescent="0.25">
      <c r="A103">
        <v>103</v>
      </c>
      <c r="B103" t="s">
        <v>24</v>
      </c>
      <c r="C103" t="s">
        <v>1</v>
      </c>
      <c r="D103">
        <v>1979</v>
      </c>
      <c r="E103">
        <v>215365</v>
      </c>
      <c r="F103">
        <v>0</v>
      </c>
      <c r="G103">
        <v>214097</v>
      </c>
      <c r="H103">
        <v>1268</v>
      </c>
      <c r="I103">
        <f t="shared" si="2"/>
        <v>541</v>
      </c>
      <c r="J103">
        <f t="shared" si="3"/>
        <v>12.280089542108071</v>
      </c>
    </row>
    <row r="104" spans="1:12" x14ac:dyDescent="0.25">
      <c r="A104">
        <v>104</v>
      </c>
      <c r="B104" t="s">
        <v>24</v>
      </c>
      <c r="C104" t="s">
        <v>1</v>
      </c>
      <c r="D104">
        <v>1980</v>
      </c>
      <c r="E104">
        <v>3921</v>
      </c>
      <c r="F104">
        <v>104</v>
      </c>
      <c r="G104">
        <v>3339</v>
      </c>
      <c r="H104">
        <v>478</v>
      </c>
      <c r="I104">
        <f t="shared" si="2"/>
        <v>0</v>
      </c>
      <c r="J104">
        <f t="shared" si="3"/>
        <v>8.2741020022923308</v>
      </c>
    </row>
    <row r="105" spans="1:12" x14ac:dyDescent="0.25">
      <c r="A105">
        <v>105</v>
      </c>
      <c r="B105" t="s">
        <v>24</v>
      </c>
      <c r="C105" t="s">
        <v>1</v>
      </c>
      <c r="D105">
        <v>1981</v>
      </c>
      <c r="E105">
        <v>1314560</v>
      </c>
      <c r="F105">
        <v>699</v>
      </c>
      <c r="G105">
        <v>1313861</v>
      </c>
      <c r="H105">
        <v>0</v>
      </c>
      <c r="I105">
        <f t="shared" si="2"/>
        <v>104</v>
      </c>
      <c r="J105">
        <f t="shared" si="3"/>
        <v>14.089012566842221</v>
      </c>
    </row>
    <row r="106" spans="1:12" x14ac:dyDescent="0.25">
      <c r="A106">
        <v>106</v>
      </c>
      <c r="B106" t="s">
        <v>24</v>
      </c>
      <c r="C106" t="s">
        <v>1</v>
      </c>
      <c r="D106">
        <v>1982</v>
      </c>
      <c r="E106">
        <v>113596</v>
      </c>
      <c r="F106">
        <v>0</v>
      </c>
      <c r="G106">
        <v>69820</v>
      </c>
      <c r="H106">
        <v>43776</v>
      </c>
      <c r="I106">
        <f t="shared" si="2"/>
        <v>699</v>
      </c>
      <c r="J106">
        <f t="shared" si="3"/>
        <v>11.640403573381651</v>
      </c>
    </row>
    <row r="107" spans="1:12" x14ac:dyDescent="0.25">
      <c r="A107">
        <v>107</v>
      </c>
      <c r="B107" t="s">
        <v>24</v>
      </c>
      <c r="C107" t="s">
        <v>1</v>
      </c>
      <c r="D107">
        <v>1983</v>
      </c>
      <c r="E107">
        <v>15782</v>
      </c>
      <c r="F107">
        <v>0</v>
      </c>
      <c r="G107">
        <v>6854</v>
      </c>
      <c r="H107">
        <v>8928</v>
      </c>
      <c r="I107">
        <f t="shared" si="2"/>
        <v>0</v>
      </c>
      <c r="J107">
        <f t="shared" si="3"/>
        <v>9.6666253290809809</v>
      </c>
    </row>
    <row r="108" spans="1:12" x14ac:dyDescent="0.25">
      <c r="A108">
        <v>108</v>
      </c>
      <c r="B108" t="s">
        <v>24</v>
      </c>
      <c r="C108" t="s">
        <v>1</v>
      </c>
      <c r="D108">
        <v>1984</v>
      </c>
      <c r="E108">
        <v>21440</v>
      </c>
      <c r="F108">
        <v>0</v>
      </c>
      <c r="G108">
        <v>21440</v>
      </c>
      <c r="H108">
        <v>0</v>
      </c>
      <c r="I108">
        <f t="shared" si="2"/>
        <v>0</v>
      </c>
      <c r="J108">
        <f t="shared" si="3"/>
        <v>9.9730136151847386</v>
      </c>
    </row>
    <row r="109" spans="1:12" x14ac:dyDescent="0.25">
      <c r="A109">
        <v>109</v>
      </c>
      <c r="B109" t="s">
        <v>24</v>
      </c>
      <c r="C109" t="s">
        <v>1</v>
      </c>
      <c r="D109">
        <v>1985</v>
      </c>
      <c r="E109">
        <v>1978203</v>
      </c>
      <c r="F109">
        <v>193</v>
      </c>
      <c r="G109">
        <v>1978010</v>
      </c>
      <c r="H109">
        <v>0</v>
      </c>
      <c r="I109">
        <f t="shared" si="2"/>
        <v>0</v>
      </c>
      <c r="J109">
        <f t="shared" si="3"/>
        <v>14.497699414816907</v>
      </c>
    </row>
    <row r="110" spans="1:12" x14ac:dyDescent="0.25">
      <c r="A110">
        <v>110</v>
      </c>
      <c r="B110" t="s">
        <v>24</v>
      </c>
      <c r="C110" t="s">
        <v>1</v>
      </c>
      <c r="D110">
        <v>1986</v>
      </c>
      <c r="E110">
        <v>107988</v>
      </c>
      <c r="F110">
        <v>0</v>
      </c>
      <c r="G110">
        <v>52097</v>
      </c>
      <c r="H110">
        <v>55891</v>
      </c>
      <c r="I110">
        <f t="shared" si="2"/>
        <v>193</v>
      </c>
      <c r="J110">
        <f t="shared" si="3"/>
        <v>11.589775388821948</v>
      </c>
      <c r="L110" t="s">
        <v>25</v>
      </c>
    </row>
    <row r="111" spans="1:12" x14ac:dyDescent="0.25">
      <c r="A111">
        <v>111</v>
      </c>
      <c r="B111" t="s">
        <v>24</v>
      </c>
      <c r="C111" t="s">
        <v>1</v>
      </c>
      <c r="D111">
        <v>1987</v>
      </c>
      <c r="E111">
        <v>23116</v>
      </c>
      <c r="F111">
        <v>222</v>
      </c>
      <c r="G111">
        <v>14195</v>
      </c>
      <c r="H111">
        <v>8699</v>
      </c>
      <c r="I111">
        <f t="shared" si="2"/>
        <v>0</v>
      </c>
      <c r="J111">
        <f t="shared" si="3"/>
        <v>10.048280297437669</v>
      </c>
    </row>
    <row r="112" spans="1:12" x14ac:dyDescent="0.25">
      <c r="A112">
        <v>112</v>
      </c>
      <c r="B112" t="s">
        <v>24</v>
      </c>
      <c r="C112" t="s">
        <v>1</v>
      </c>
      <c r="D112">
        <v>1988</v>
      </c>
      <c r="E112">
        <v>26026</v>
      </c>
      <c r="F112">
        <v>7755</v>
      </c>
      <c r="G112">
        <v>14522</v>
      </c>
      <c r="H112">
        <v>3717</v>
      </c>
      <c r="I112">
        <f t="shared" si="2"/>
        <v>222</v>
      </c>
      <c r="J112">
        <f t="shared" si="3"/>
        <v>10.166851317336702</v>
      </c>
      <c r="L112" t="s">
        <v>26</v>
      </c>
    </row>
    <row r="113" spans="1:22" x14ac:dyDescent="0.25">
      <c r="A113">
        <v>113</v>
      </c>
      <c r="B113" t="s">
        <v>24</v>
      </c>
      <c r="C113" t="s">
        <v>1</v>
      </c>
      <c r="D113">
        <v>1989</v>
      </c>
      <c r="E113">
        <v>3367350</v>
      </c>
      <c r="F113">
        <v>264</v>
      </c>
      <c r="G113">
        <v>3367086</v>
      </c>
      <c r="H113">
        <v>0</v>
      </c>
      <c r="I113">
        <f t="shared" si="2"/>
        <v>7755</v>
      </c>
      <c r="J113">
        <f t="shared" si="3"/>
        <v>15.029636642844723</v>
      </c>
    </row>
    <row r="114" spans="1:22" x14ac:dyDescent="0.25">
      <c r="A114">
        <v>114</v>
      </c>
      <c r="B114" t="s">
        <v>24</v>
      </c>
      <c r="C114" t="s">
        <v>1</v>
      </c>
      <c r="D114">
        <v>1990</v>
      </c>
      <c r="E114">
        <v>858898</v>
      </c>
      <c r="F114">
        <v>984</v>
      </c>
      <c r="G114">
        <v>725126</v>
      </c>
      <c r="H114">
        <v>132788</v>
      </c>
      <c r="I114">
        <f t="shared" si="2"/>
        <v>264</v>
      </c>
      <c r="J114">
        <f t="shared" si="3"/>
        <v>13.663405451191819</v>
      </c>
    </row>
    <row r="115" spans="1:22" x14ac:dyDescent="0.25">
      <c r="A115">
        <v>115</v>
      </c>
      <c r="B115" t="s">
        <v>24</v>
      </c>
      <c r="C115" t="s">
        <v>1</v>
      </c>
      <c r="D115">
        <v>1991</v>
      </c>
      <c r="E115">
        <v>376655</v>
      </c>
      <c r="F115">
        <v>1552</v>
      </c>
      <c r="G115">
        <v>283932</v>
      </c>
      <c r="H115">
        <v>91171</v>
      </c>
      <c r="I115">
        <f t="shared" si="2"/>
        <v>984</v>
      </c>
      <c r="J115">
        <f t="shared" si="3"/>
        <v>12.839084928089399</v>
      </c>
      <c r="Q115">
        <v>158</v>
      </c>
    </row>
    <row r="116" spans="1:22" x14ac:dyDescent="0.25">
      <c r="A116">
        <v>116</v>
      </c>
      <c r="B116" t="s">
        <v>24</v>
      </c>
      <c r="C116" t="s">
        <v>1</v>
      </c>
      <c r="D116">
        <v>1992</v>
      </c>
      <c r="E116">
        <v>322645</v>
      </c>
      <c r="F116">
        <v>20256</v>
      </c>
      <c r="G116">
        <v>207234</v>
      </c>
      <c r="H116">
        <v>95155</v>
      </c>
      <c r="I116">
        <f t="shared" si="2"/>
        <v>1552</v>
      </c>
      <c r="J116">
        <f t="shared" si="3"/>
        <v>12.684307926575695</v>
      </c>
      <c r="Q116" t="s">
        <v>27</v>
      </c>
    </row>
    <row r="117" spans="1:22" x14ac:dyDescent="0.25">
      <c r="A117">
        <v>117</v>
      </c>
      <c r="B117" t="s">
        <v>24</v>
      </c>
      <c r="C117" t="s">
        <v>1</v>
      </c>
      <c r="D117">
        <v>1993</v>
      </c>
      <c r="E117">
        <v>5163174</v>
      </c>
      <c r="F117">
        <v>440</v>
      </c>
      <c r="G117">
        <v>5162734</v>
      </c>
      <c r="H117">
        <v>0</v>
      </c>
      <c r="I117">
        <f t="shared" si="2"/>
        <v>20256</v>
      </c>
      <c r="J117">
        <f t="shared" si="3"/>
        <v>15.457062064630341</v>
      </c>
      <c r="K117">
        <v>2008</v>
      </c>
      <c r="L117">
        <v>269580</v>
      </c>
      <c r="M117">
        <v>89</v>
      </c>
      <c r="N117">
        <v>263681</v>
      </c>
      <c r="O117">
        <v>5810</v>
      </c>
      <c r="P117">
        <v>220</v>
      </c>
      <c r="Q117">
        <f t="shared" ref="Q117:Q122" si="4">P117-$Q$115</f>
        <v>62</v>
      </c>
    </row>
    <row r="118" spans="1:22" x14ac:dyDescent="0.25">
      <c r="A118">
        <v>118</v>
      </c>
      <c r="B118" t="s">
        <v>24</v>
      </c>
      <c r="C118" t="s">
        <v>1</v>
      </c>
      <c r="D118">
        <v>1994</v>
      </c>
      <c r="E118">
        <v>517217</v>
      </c>
      <c r="F118">
        <v>354</v>
      </c>
      <c r="G118">
        <v>372685</v>
      </c>
      <c r="H118">
        <v>144134</v>
      </c>
      <c r="I118">
        <f t="shared" si="2"/>
        <v>440</v>
      </c>
      <c r="J118">
        <f t="shared" si="3"/>
        <v>13.156217794635866</v>
      </c>
      <c r="K118">
        <v>2009</v>
      </c>
      <c r="L118">
        <v>124109</v>
      </c>
      <c r="M118">
        <v>46</v>
      </c>
      <c r="N118">
        <v>105786</v>
      </c>
      <c r="O118">
        <v>18277</v>
      </c>
      <c r="P118">
        <v>89</v>
      </c>
      <c r="Q118">
        <f t="shared" si="4"/>
        <v>-69</v>
      </c>
    </row>
    <row r="119" spans="1:22" x14ac:dyDescent="0.25">
      <c r="A119">
        <v>119</v>
      </c>
      <c r="B119" t="s">
        <v>24</v>
      </c>
      <c r="C119" t="s">
        <v>1</v>
      </c>
      <c r="D119">
        <v>1995</v>
      </c>
      <c r="E119">
        <v>108095</v>
      </c>
      <c r="F119">
        <v>0</v>
      </c>
      <c r="G119">
        <v>91441</v>
      </c>
      <c r="H119">
        <v>16654</v>
      </c>
      <c r="I119">
        <f t="shared" si="2"/>
        <v>354</v>
      </c>
      <c r="J119">
        <f t="shared" si="3"/>
        <v>11.590765749088565</v>
      </c>
      <c r="K119">
        <v>2011</v>
      </c>
      <c r="L119">
        <v>12311</v>
      </c>
      <c r="M119">
        <v>418</v>
      </c>
      <c r="N119">
        <v>5832</v>
      </c>
      <c r="O119">
        <v>6061</v>
      </c>
      <c r="P119">
        <v>81</v>
      </c>
      <c r="Q119">
        <f t="shared" si="4"/>
        <v>-77</v>
      </c>
    </row>
    <row r="120" spans="1:22" x14ac:dyDescent="0.25">
      <c r="A120">
        <v>120</v>
      </c>
      <c r="B120" t="s">
        <v>24</v>
      </c>
      <c r="C120" t="s">
        <v>1</v>
      </c>
      <c r="D120">
        <v>1996</v>
      </c>
      <c r="E120">
        <v>150838</v>
      </c>
      <c r="F120">
        <v>4082</v>
      </c>
      <c r="G120">
        <v>128970</v>
      </c>
      <c r="H120">
        <v>17786</v>
      </c>
      <c r="I120">
        <f t="shared" si="2"/>
        <v>0</v>
      </c>
      <c r="J120">
        <f t="shared" si="3"/>
        <v>11.923961692201919</v>
      </c>
      <c r="K120">
        <v>2020</v>
      </c>
      <c r="L120">
        <v>12408</v>
      </c>
      <c r="M120">
        <v>70</v>
      </c>
      <c r="N120">
        <v>11443</v>
      </c>
      <c r="O120">
        <v>895</v>
      </c>
      <c r="P120">
        <v>148</v>
      </c>
      <c r="Q120">
        <f t="shared" si="4"/>
        <v>-10</v>
      </c>
    </row>
    <row r="121" spans="1:22" x14ac:dyDescent="0.25">
      <c r="A121">
        <v>121</v>
      </c>
      <c r="B121" t="s">
        <v>24</v>
      </c>
      <c r="C121" t="s">
        <v>1</v>
      </c>
      <c r="D121">
        <v>1997</v>
      </c>
      <c r="E121">
        <v>3255574</v>
      </c>
      <c r="F121">
        <v>0</v>
      </c>
      <c r="G121">
        <v>3249145</v>
      </c>
      <c r="H121">
        <v>6429</v>
      </c>
      <c r="I121">
        <f t="shared" si="2"/>
        <v>4082</v>
      </c>
      <c r="J121">
        <f t="shared" si="3"/>
        <v>14.995879162164037</v>
      </c>
      <c r="K121">
        <v>2021</v>
      </c>
      <c r="L121">
        <v>468145</v>
      </c>
      <c r="M121">
        <v>223</v>
      </c>
      <c r="N121">
        <v>467922</v>
      </c>
      <c r="O121">
        <v>0</v>
      </c>
      <c r="P121">
        <v>70</v>
      </c>
      <c r="Q121">
        <f t="shared" si="4"/>
        <v>-88</v>
      </c>
    </row>
    <row r="122" spans="1:22" x14ac:dyDescent="0.25">
      <c r="A122">
        <v>122</v>
      </c>
      <c r="B122" t="s">
        <v>24</v>
      </c>
      <c r="C122" t="s">
        <v>1</v>
      </c>
      <c r="D122">
        <v>1998</v>
      </c>
      <c r="E122">
        <v>620406</v>
      </c>
      <c r="F122">
        <v>1366</v>
      </c>
      <c r="G122">
        <v>108011</v>
      </c>
      <c r="H122">
        <v>511029</v>
      </c>
      <c r="I122">
        <f t="shared" si="2"/>
        <v>0</v>
      </c>
      <c r="J122">
        <f t="shared" si="3"/>
        <v>13.338129381417639</v>
      </c>
      <c r="K122">
        <v>2022</v>
      </c>
      <c r="L122">
        <v>215278</v>
      </c>
      <c r="M122">
        <v>0</v>
      </c>
      <c r="N122">
        <v>192496</v>
      </c>
      <c r="O122">
        <v>22782</v>
      </c>
      <c r="P122">
        <v>223</v>
      </c>
      <c r="Q122">
        <f t="shared" si="4"/>
        <v>65</v>
      </c>
    </row>
    <row r="123" spans="1:22" ht="15.75" thickBot="1" x14ac:dyDescent="0.3">
      <c r="A123">
        <v>123</v>
      </c>
      <c r="B123" t="s">
        <v>24</v>
      </c>
      <c r="C123" t="s">
        <v>1</v>
      </c>
      <c r="D123">
        <v>1999</v>
      </c>
      <c r="E123">
        <v>100749</v>
      </c>
      <c r="F123">
        <v>607</v>
      </c>
      <c r="G123">
        <v>92713</v>
      </c>
      <c r="H123">
        <v>7429</v>
      </c>
      <c r="I123">
        <f t="shared" si="2"/>
        <v>1366</v>
      </c>
      <c r="J123">
        <f t="shared" si="3"/>
        <v>11.520387554201358</v>
      </c>
    </row>
    <row r="124" spans="1:22" ht="15.75" thickBot="1" x14ac:dyDescent="0.3">
      <c r="A124">
        <v>124</v>
      </c>
      <c r="B124" t="s">
        <v>24</v>
      </c>
      <c r="C124" t="s">
        <v>1</v>
      </c>
      <c r="D124">
        <v>2000</v>
      </c>
      <c r="E124">
        <v>849458</v>
      </c>
      <c r="F124">
        <v>81</v>
      </c>
      <c r="G124">
        <v>810002</v>
      </c>
      <c r="H124">
        <v>39375</v>
      </c>
      <c r="I124">
        <f t="shared" si="2"/>
        <v>607</v>
      </c>
      <c r="J124">
        <f t="shared" si="3"/>
        <v>13.652353778024327</v>
      </c>
      <c r="K124" s="6" t="s">
        <v>28</v>
      </c>
      <c r="L124" s="7">
        <f>AVERAGE(L117:L122)</f>
        <v>183638.5</v>
      </c>
      <c r="M124">
        <f>LN(L124)</f>
        <v>12.120724430174713</v>
      </c>
      <c r="R124" t="s">
        <v>39</v>
      </c>
      <c r="U124">
        <v>576720</v>
      </c>
      <c r="V124" t="s">
        <v>40</v>
      </c>
    </row>
    <row r="125" spans="1:22" x14ac:dyDescent="0.25">
      <c r="A125">
        <v>125</v>
      </c>
      <c r="B125" t="s">
        <v>24</v>
      </c>
      <c r="C125" t="s">
        <v>1</v>
      </c>
      <c r="D125">
        <v>2001</v>
      </c>
      <c r="E125">
        <v>564418</v>
      </c>
      <c r="F125">
        <v>312</v>
      </c>
      <c r="G125">
        <v>351715</v>
      </c>
      <c r="H125">
        <v>212391</v>
      </c>
      <c r="I125">
        <f t="shared" si="2"/>
        <v>81</v>
      </c>
      <c r="J125">
        <f t="shared" si="3"/>
        <v>13.243550390727231</v>
      </c>
      <c r="U125">
        <f>LN(U124)</f>
        <v>13.265112159078461</v>
      </c>
      <c r="V125" t="s">
        <v>41</v>
      </c>
    </row>
    <row r="126" spans="1:22" x14ac:dyDescent="0.25">
      <c r="A126">
        <v>126</v>
      </c>
      <c r="B126" t="s">
        <v>24</v>
      </c>
      <c r="C126" t="s">
        <v>1</v>
      </c>
      <c r="D126">
        <v>2002</v>
      </c>
      <c r="E126">
        <v>343512</v>
      </c>
      <c r="F126">
        <v>23</v>
      </c>
      <c r="G126">
        <v>264390</v>
      </c>
      <c r="H126">
        <v>79099</v>
      </c>
      <c r="I126">
        <f t="shared" si="2"/>
        <v>312</v>
      </c>
      <c r="J126">
        <f t="shared" si="3"/>
        <v>12.746977324532162</v>
      </c>
      <c r="K126" t="s">
        <v>29</v>
      </c>
    </row>
    <row r="127" spans="1:22" x14ac:dyDescent="0.25">
      <c r="A127">
        <v>127</v>
      </c>
      <c r="B127" t="s">
        <v>24</v>
      </c>
      <c r="C127" t="s">
        <v>1</v>
      </c>
      <c r="D127">
        <v>2003</v>
      </c>
      <c r="E127">
        <v>131907</v>
      </c>
      <c r="F127">
        <v>1827</v>
      </c>
      <c r="G127">
        <v>117520</v>
      </c>
      <c r="H127">
        <v>12560</v>
      </c>
      <c r="I127">
        <f t="shared" si="2"/>
        <v>23</v>
      </c>
      <c r="J127">
        <f t="shared" si="3"/>
        <v>11.789852407805176</v>
      </c>
      <c r="K127" t="s">
        <v>30</v>
      </c>
    </row>
    <row r="128" spans="1:22" x14ac:dyDescent="0.25">
      <c r="A128">
        <v>128</v>
      </c>
      <c r="B128" t="s">
        <v>24</v>
      </c>
      <c r="C128" t="s">
        <v>1</v>
      </c>
      <c r="D128">
        <v>2004</v>
      </c>
      <c r="E128">
        <v>884765</v>
      </c>
      <c r="F128">
        <v>29</v>
      </c>
      <c r="G128">
        <v>868657</v>
      </c>
      <c r="H128">
        <v>16079</v>
      </c>
      <c r="I128">
        <f t="shared" si="2"/>
        <v>1827</v>
      </c>
      <c r="J128">
        <f t="shared" si="3"/>
        <v>13.693077352005785</v>
      </c>
    </row>
    <row r="129" spans="1:10" x14ac:dyDescent="0.25">
      <c r="A129">
        <v>129</v>
      </c>
      <c r="B129" t="s">
        <v>24</v>
      </c>
      <c r="C129" t="s">
        <v>1</v>
      </c>
      <c r="D129">
        <v>2005</v>
      </c>
      <c r="E129">
        <v>458862</v>
      </c>
      <c r="F129">
        <v>20</v>
      </c>
      <c r="G129">
        <v>415504</v>
      </c>
      <c r="H129">
        <v>42459</v>
      </c>
      <c r="I129">
        <f t="shared" si="2"/>
        <v>29</v>
      </c>
      <c r="J129">
        <f t="shared" si="3"/>
        <v>13.036504790242558</v>
      </c>
    </row>
    <row r="130" spans="1:10" x14ac:dyDescent="0.25">
      <c r="A130">
        <v>130</v>
      </c>
      <c r="B130" t="s">
        <v>24</v>
      </c>
      <c r="C130" t="s">
        <v>1</v>
      </c>
      <c r="D130">
        <v>2006</v>
      </c>
      <c r="E130">
        <v>211304</v>
      </c>
      <c r="F130">
        <v>11</v>
      </c>
      <c r="G130">
        <v>121483</v>
      </c>
      <c r="H130">
        <v>89810</v>
      </c>
      <c r="I130">
        <f t="shared" si="2"/>
        <v>20</v>
      </c>
      <c r="J130">
        <f t="shared" si="3"/>
        <v>12.261053133855636</v>
      </c>
    </row>
    <row r="131" spans="1:10" x14ac:dyDescent="0.25">
      <c r="A131">
        <v>131</v>
      </c>
      <c r="B131" t="s">
        <v>24</v>
      </c>
      <c r="C131" t="s">
        <v>1</v>
      </c>
      <c r="D131">
        <v>2007</v>
      </c>
      <c r="E131">
        <v>20631</v>
      </c>
      <c r="F131">
        <v>220</v>
      </c>
      <c r="G131">
        <v>15962</v>
      </c>
      <c r="H131">
        <v>4449</v>
      </c>
      <c r="I131">
        <f t="shared" si="2"/>
        <v>11</v>
      </c>
      <c r="J131">
        <f t="shared" si="3"/>
        <v>9.9345500779879465</v>
      </c>
    </row>
    <row r="132" spans="1:10" x14ac:dyDescent="0.25">
      <c r="A132">
        <v>132</v>
      </c>
      <c r="B132" t="s">
        <v>24</v>
      </c>
      <c r="C132" t="s">
        <v>1</v>
      </c>
      <c r="D132">
        <v>2008</v>
      </c>
      <c r="E132">
        <v>269580</v>
      </c>
      <c r="F132">
        <v>89</v>
      </c>
      <c r="G132">
        <v>263681</v>
      </c>
      <c r="H132">
        <v>5810</v>
      </c>
      <c r="I132">
        <f t="shared" si="2"/>
        <v>220</v>
      </c>
      <c r="J132">
        <f t="shared" si="3"/>
        <v>12.504620471292261</v>
      </c>
    </row>
    <row r="133" spans="1:10" x14ac:dyDescent="0.25">
      <c r="A133">
        <v>133</v>
      </c>
      <c r="B133" t="s">
        <v>24</v>
      </c>
      <c r="C133" t="s">
        <v>1</v>
      </c>
      <c r="D133">
        <v>2009</v>
      </c>
      <c r="E133">
        <v>124109</v>
      </c>
      <c r="F133">
        <v>46</v>
      </c>
      <c r="G133">
        <v>105786</v>
      </c>
      <c r="H133">
        <v>18277</v>
      </c>
      <c r="I133">
        <f t="shared" si="2"/>
        <v>89</v>
      </c>
      <c r="J133">
        <f t="shared" si="3"/>
        <v>11.728915490722642</v>
      </c>
    </row>
    <row r="134" spans="1:10" x14ac:dyDescent="0.25">
      <c r="A134">
        <v>134</v>
      </c>
      <c r="B134" t="s">
        <v>24</v>
      </c>
      <c r="C134" t="s">
        <v>1</v>
      </c>
      <c r="D134">
        <v>2010</v>
      </c>
      <c r="E134">
        <v>179661</v>
      </c>
      <c r="F134">
        <v>81</v>
      </c>
      <c r="G134">
        <v>156805</v>
      </c>
      <c r="H134">
        <v>22775</v>
      </c>
      <c r="I134">
        <f t="shared" si="2"/>
        <v>46</v>
      </c>
      <c r="J134">
        <f t="shared" si="3"/>
        <v>12.098827020836948</v>
      </c>
    </row>
    <row r="135" spans="1:10" x14ac:dyDescent="0.25">
      <c r="A135">
        <v>135</v>
      </c>
      <c r="B135" t="s">
        <v>24</v>
      </c>
      <c r="C135" t="s">
        <v>1</v>
      </c>
      <c r="D135">
        <v>2011</v>
      </c>
      <c r="E135">
        <v>12311</v>
      </c>
      <c r="F135">
        <v>418</v>
      </c>
      <c r="G135">
        <v>5832</v>
      </c>
      <c r="H135">
        <v>6061</v>
      </c>
      <c r="I135">
        <f t="shared" si="2"/>
        <v>81</v>
      </c>
      <c r="J135">
        <f t="shared" si="3"/>
        <v>9.4182484506476154</v>
      </c>
    </row>
    <row r="136" spans="1:10" x14ac:dyDescent="0.25">
      <c r="A136">
        <v>136</v>
      </c>
      <c r="B136" t="s">
        <v>24</v>
      </c>
      <c r="C136" t="s">
        <v>1</v>
      </c>
      <c r="D136">
        <v>2012</v>
      </c>
      <c r="E136">
        <v>193187</v>
      </c>
      <c r="F136">
        <v>47</v>
      </c>
      <c r="G136">
        <v>186682</v>
      </c>
      <c r="H136">
        <v>6458</v>
      </c>
      <c r="I136">
        <f t="shared" si="2"/>
        <v>418</v>
      </c>
      <c r="J136">
        <f t="shared" si="3"/>
        <v>12.171413910711951</v>
      </c>
    </row>
    <row r="137" spans="1:10" x14ac:dyDescent="0.25">
      <c r="A137">
        <v>137</v>
      </c>
      <c r="B137" t="s">
        <v>24</v>
      </c>
      <c r="C137" t="s">
        <v>1</v>
      </c>
      <c r="D137">
        <v>2013</v>
      </c>
      <c r="E137">
        <v>227473</v>
      </c>
      <c r="F137">
        <v>1119</v>
      </c>
      <c r="G137">
        <v>218217</v>
      </c>
      <c r="H137">
        <v>8137</v>
      </c>
      <c r="I137">
        <f t="shared" si="2"/>
        <v>47</v>
      </c>
      <c r="J137">
        <f t="shared" si="3"/>
        <v>12.334786829011275</v>
      </c>
    </row>
    <row r="138" spans="1:10" x14ac:dyDescent="0.25">
      <c r="A138">
        <v>138</v>
      </c>
      <c r="B138" t="s">
        <v>24</v>
      </c>
      <c r="C138" t="s">
        <v>1</v>
      </c>
      <c r="D138">
        <v>2014</v>
      </c>
      <c r="E138">
        <v>311561</v>
      </c>
      <c r="F138">
        <v>0</v>
      </c>
      <c r="G138">
        <v>276384</v>
      </c>
      <c r="H138">
        <v>35177</v>
      </c>
      <c r="I138">
        <f t="shared" si="2"/>
        <v>1119</v>
      </c>
      <c r="J138">
        <f t="shared" si="3"/>
        <v>12.649350424683375</v>
      </c>
    </row>
    <row r="139" spans="1:10" x14ac:dyDescent="0.25">
      <c r="A139">
        <v>139</v>
      </c>
      <c r="B139" t="s">
        <v>24</v>
      </c>
      <c r="C139" t="s">
        <v>1</v>
      </c>
      <c r="D139">
        <v>2015</v>
      </c>
      <c r="E139">
        <v>38959</v>
      </c>
      <c r="F139">
        <v>0</v>
      </c>
      <c r="G139">
        <v>4528</v>
      </c>
      <c r="H139">
        <v>34431</v>
      </c>
      <c r="I139">
        <f t="shared" si="2"/>
        <v>0</v>
      </c>
      <c r="J139">
        <f t="shared" si="3"/>
        <v>10.57026509007593</v>
      </c>
    </row>
    <row r="140" spans="1:10" x14ac:dyDescent="0.25">
      <c r="A140">
        <v>140</v>
      </c>
      <c r="B140" t="s">
        <v>24</v>
      </c>
      <c r="C140" t="s">
        <v>1</v>
      </c>
      <c r="D140">
        <v>2016</v>
      </c>
      <c r="E140">
        <v>34321</v>
      </c>
      <c r="F140">
        <v>2266</v>
      </c>
      <c r="G140">
        <v>31733</v>
      </c>
      <c r="H140">
        <v>322</v>
      </c>
      <c r="I140">
        <f t="shared" si="2"/>
        <v>0</v>
      </c>
      <c r="J140">
        <f t="shared" si="3"/>
        <v>10.443512690706546</v>
      </c>
    </row>
    <row r="141" spans="1:10" x14ac:dyDescent="0.25">
      <c r="A141">
        <v>141</v>
      </c>
      <c r="B141" t="s">
        <v>24</v>
      </c>
      <c r="C141" t="s">
        <v>1</v>
      </c>
      <c r="D141">
        <v>2017</v>
      </c>
      <c r="E141">
        <v>219743</v>
      </c>
      <c r="F141">
        <v>632</v>
      </c>
      <c r="G141">
        <v>214773</v>
      </c>
      <c r="H141">
        <v>4338</v>
      </c>
      <c r="I141">
        <f t="shared" ref="I141:I152" si="5">F140</f>
        <v>2266</v>
      </c>
      <c r="J141">
        <f t="shared" ref="J141:J148" si="6">LN(E141)</f>
        <v>12.300213960660084</v>
      </c>
    </row>
    <row r="142" spans="1:10" x14ac:dyDescent="0.25">
      <c r="A142">
        <v>142</v>
      </c>
      <c r="B142" t="s">
        <v>24</v>
      </c>
      <c r="C142" t="s">
        <v>1</v>
      </c>
      <c r="D142">
        <v>2018</v>
      </c>
      <c r="E142">
        <v>328953</v>
      </c>
      <c r="F142">
        <v>0</v>
      </c>
      <c r="G142">
        <v>310885</v>
      </c>
      <c r="H142">
        <v>18068</v>
      </c>
      <c r="I142">
        <f t="shared" si="5"/>
        <v>632</v>
      </c>
      <c r="J142">
        <f t="shared" si="6"/>
        <v>12.703670162399598</v>
      </c>
    </row>
    <row r="143" spans="1:10" x14ac:dyDescent="0.25">
      <c r="A143">
        <v>143</v>
      </c>
      <c r="B143" t="s">
        <v>24</v>
      </c>
      <c r="C143" t="s">
        <v>1</v>
      </c>
      <c r="D143">
        <v>2019</v>
      </c>
      <c r="E143">
        <v>14177</v>
      </c>
      <c r="F143">
        <v>148</v>
      </c>
      <c r="G143">
        <v>4948</v>
      </c>
      <c r="H143">
        <v>9081</v>
      </c>
      <c r="I143">
        <f t="shared" si="5"/>
        <v>0</v>
      </c>
      <c r="J143">
        <f t="shared" si="6"/>
        <v>9.5593762121176322</v>
      </c>
    </row>
    <row r="144" spans="1:10" x14ac:dyDescent="0.25">
      <c r="A144">
        <v>144</v>
      </c>
      <c r="B144" t="s">
        <v>24</v>
      </c>
      <c r="C144" t="s">
        <v>1</v>
      </c>
      <c r="D144">
        <v>2020</v>
      </c>
      <c r="E144">
        <v>12408</v>
      </c>
      <c r="F144">
        <v>70</v>
      </c>
      <c r="G144">
        <v>11443</v>
      </c>
      <c r="H144">
        <v>895</v>
      </c>
      <c r="I144">
        <f t="shared" si="5"/>
        <v>148</v>
      </c>
      <c r="J144">
        <f t="shared" si="6"/>
        <v>9.4260967048563753</v>
      </c>
    </row>
    <row r="145" spans="1:13" x14ac:dyDescent="0.25">
      <c r="A145">
        <v>145</v>
      </c>
      <c r="B145" t="s">
        <v>24</v>
      </c>
      <c r="C145" t="s">
        <v>1</v>
      </c>
      <c r="D145">
        <v>2021</v>
      </c>
      <c r="E145">
        <v>468145</v>
      </c>
      <c r="F145">
        <v>223</v>
      </c>
      <c r="G145">
        <v>467922</v>
      </c>
      <c r="H145">
        <v>0</v>
      </c>
      <c r="I145">
        <f t="shared" si="5"/>
        <v>70</v>
      </c>
      <c r="J145">
        <f t="shared" si="6"/>
        <v>13.056533355972501</v>
      </c>
      <c r="L145" t="s">
        <v>31</v>
      </c>
    </row>
    <row r="146" spans="1:13" x14ac:dyDescent="0.25">
      <c r="A146">
        <v>146</v>
      </c>
      <c r="B146" t="s">
        <v>24</v>
      </c>
      <c r="C146" t="s">
        <v>1</v>
      </c>
      <c r="D146">
        <v>2022</v>
      </c>
      <c r="E146">
        <v>215278</v>
      </c>
      <c r="F146">
        <v>0</v>
      </c>
      <c r="G146">
        <v>192496</v>
      </c>
      <c r="H146">
        <v>22782</v>
      </c>
      <c r="I146">
        <f t="shared" si="5"/>
        <v>223</v>
      </c>
      <c r="J146">
        <f t="shared" si="6"/>
        <v>12.279685495130952</v>
      </c>
      <c r="L146" t="s">
        <v>32</v>
      </c>
    </row>
    <row r="147" spans="1:13" x14ac:dyDescent="0.25">
      <c r="A147">
        <v>147</v>
      </c>
      <c r="B147" t="s">
        <v>24</v>
      </c>
      <c r="C147" t="s">
        <v>1</v>
      </c>
      <c r="D147">
        <v>2023</v>
      </c>
      <c r="E147">
        <v>69000</v>
      </c>
      <c r="F147">
        <v>0</v>
      </c>
      <c r="G147">
        <v>28000</v>
      </c>
      <c r="H147">
        <v>41000</v>
      </c>
      <c r="I147">
        <f t="shared" si="5"/>
        <v>0</v>
      </c>
      <c r="J147">
        <f t="shared" si="6"/>
        <v>11.141861783579396</v>
      </c>
      <c r="L147" t="s">
        <v>33</v>
      </c>
    </row>
    <row r="148" spans="1:13" x14ac:dyDescent="0.25">
      <c r="A148">
        <v>148</v>
      </c>
      <c r="B148" t="s">
        <v>24</v>
      </c>
      <c r="C148" t="s">
        <v>1</v>
      </c>
      <c r="D148">
        <v>2024</v>
      </c>
      <c r="E148">
        <v>41162</v>
      </c>
      <c r="F148">
        <v>158</v>
      </c>
      <c r="G148">
        <v>38313</v>
      </c>
      <c r="H148">
        <v>2216</v>
      </c>
      <c r="I148">
        <f t="shared" si="5"/>
        <v>0</v>
      </c>
      <c r="J148">
        <f t="shared" si="6"/>
        <v>10.625270779632405</v>
      </c>
      <c r="M148" t="s">
        <v>34</v>
      </c>
    </row>
    <row r="149" spans="1:13" x14ac:dyDescent="0.25">
      <c r="F149" t="s">
        <v>35</v>
      </c>
    </row>
    <row r="150" spans="1:13" x14ac:dyDescent="0.25">
      <c r="D150" t="s">
        <v>36</v>
      </c>
      <c r="E150">
        <f>SUM(E75:E148)</f>
        <v>34296898</v>
      </c>
      <c r="F150" s="8">
        <f>SUM(F75:F148)/$E$150</f>
        <v>1.7628124852574131E-3</v>
      </c>
      <c r="G150" s="8">
        <f t="shared" ref="G150:H150" si="7">SUM(G75:G148)/$E$150</f>
        <v>0.93948365242827503</v>
      </c>
      <c r="H150" s="8">
        <f t="shared" si="7"/>
        <v>5.8576230421771673E-2</v>
      </c>
      <c r="I150" t="str">
        <f t="shared" si="5"/>
        <v>percents</v>
      </c>
    </row>
    <row r="151" spans="1:13" x14ac:dyDescent="0.25">
      <c r="F151" t="s">
        <v>37</v>
      </c>
      <c r="I151">
        <f t="shared" si="5"/>
        <v>1.7628124852574131E-3</v>
      </c>
    </row>
    <row r="152" spans="1:13" x14ac:dyDescent="0.25">
      <c r="F152" t="s">
        <v>38</v>
      </c>
      <c r="I152" t="str">
        <f t="shared" si="5"/>
        <v>1.1s are uncommon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LateStuart2025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2025-05-21T16:13:06Z</dcterms:created>
  <dcterms:modified xsi:type="dcterms:W3CDTF">2025-05-21T16:18:58Z</dcterms:modified>
</cp:coreProperties>
</file>