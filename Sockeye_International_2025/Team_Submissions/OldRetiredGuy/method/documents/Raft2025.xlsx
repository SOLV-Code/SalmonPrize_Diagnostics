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c&amp;BarbsFiles\Alec\AlecScience\SalmonPrize\2025Prize\ORG2025spreadsheets\"/>
    </mc:Choice>
  </mc:AlternateContent>
  <xr:revisionPtr revIDLastSave="0" documentId="8_{A42B5E8C-2747-4992-B800-2E4AEBCEADFD}" xr6:coauthVersionLast="47" xr6:coauthVersionMax="47" xr10:uidLastSave="{00000000-0000-0000-0000-000000000000}"/>
  <bookViews>
    <workbookView xWindow="-120" yWindow="-120" windowWidth="29040" windowHeight="15720" xr2:uid="{C262BD3A-2433-4C4B-B13A-B035CBDAEABB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0" i="1" l="1"/>
  <c r="Q260" i="1" s="1"/>
  <c r="O261" i="1" s="1"/>
  <c r="N219" i="1"/>
  <c r="H219" i="1"/>
  <c r="H220" i="1" s="1"/>
  <c r="G219" i="1"/>
  <c r="G220" i="1" s="1"/>
  <c r="F219" i="1"/>
  <c r="F220" i="1" s="1"/>
  <c r="E219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W136" i="1"/>
  <c r="S136" i="1"/>
  <c r="R129" i="1"/>
  <c r="S129" i="1" s="1"/>
  <c r="R125" i="1"/>
  <c r="S125" i="1" s="1"/>
  <c r="T108" i="1"/>
  <c r="O108" i="1"/>
  <c r="R108" i="1" s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<sst xmlns="http://schemas.openxmlformats.org/spreadsheetml/2006/main" count="220" uniqueCount="68">
  <si>
    <t>Case:</t>
  </si>
  <si>
    <t>Raft</t>
  </si>
  <si>
    <t>observations</t>
  </si>
  <si>
    <t>Year</t>
  </si>
  <si>
    <t>run</t>
  </si>
  <si>
    <t>ln run</t>
  </si>
  <si>
    <t>WHAT I DID FOR 2024</t>
  </si>
  <si>
    <t>Comment on patterns:</t>
  </si>
  <si>
    <t xml:space="preserve">Overall periodicity is about 5 years peak to peak, i.e., compare value with t-4 </t>
  </si>
  <si>
    <t>Clear cycling seems to have ended in early2000s</t>
  </si>
  <si>
    <t>The El Nino of 2016 doesn't show much of any influence.</t>
  </si>
  <si>
    <t>was a drop of 0.102 log units from 2015 which also had El Nino conditions</t>
  </si>
  <si>
    <t>Assume a similar small decline rom 2023, so</t>
  </si>
  <si>
    <t>predicted</t>
  </si>
  <si>
    <t>actual 2024</t>
  </si>
  <si>
    <t>gives</t>
  </si>
  <si>
    <t>which antilogs to</t>
  </si>
  <si>
    <t>behaved like no El Nino influence at all</t>
  </si>
  <si>
    <t>The pattern was a good predictor.</t>
  </si>
  <si>
    <t>2025 Prediction</t>
  </si>
  <si>
    <t>2017 saw a big decline from 2015-16</t>
  </si>
  <si>
    <t>delta was -1.11</t>
  </si>
  <si>
    <t xml:space="preserve">a similar decline from 2024 would be </t>
  </si>
  <si>
    <t>very near the trend line</t>
  </si>
  <si>
    <t>would be second worst on record</t>
  </si>
  <si>
    <t>but this delta would be well below the trend in delta log run size shown below.</t>
  </si>
  <si>
    <t>The trend in delta log run size suggest a moderate increase in 2025</t>
  </si>
  <si>
    <t>a little above 2023 and 2024</t>
  </si>
  <si>
    <t>The trend in delta run size could easily be zero (approximately) if we start in 2010, i.e., the trend comes from a long tima ago now</t>
  </si>
  <si>
    <t>The sequence from 2010 to 2016 averages</t>
  </si>
  <si>
    <t>The sequence from 2020 to 2024 averages</t>
  </si>
  <si>
    <t>Best guess (poor justification) is  2025 will look like the 5 year average</t>
  </si>
  <si>
    <t>or maybe</t>
  </si>
  <si>
    <t>2023-24 avg</t>
  </si>
  <si>
    <t>Trend</t>
  </si>
  <si>
    <t>clearly decreasing</t>
  </si>
  <si>
    <t>This is not as high as 2023-24, higher than 2020-22, and above the trend line</t>
  </si>
  <si>
    <t>System</t>
  </si>
  <si>
    <t>River</t>
  </si>
  <si>
    <t>ReturnYear</t>
  </si>
  <si>
    <t>Total_Returns</t>
  </si>
  <si>
    <t>AC_1.1</t>
  </si>
  <si>
    <t>AC_1.2</t>
  </si>
  <si>
    <t>AC_1.3</t>
  </si>
  <si>
    <t>ln(1.3/1.2prev)</t>
  </si>
  <si>
    <t>Fraser River</t>
  </si>
  <si>
    <t>moderately predictive</t>
  </si>
  <si>
    <t>average</t>
  </si>
  <si>
    <t>2024 1.2s</t>
  </si>
  <si>
    <t>give</t>
  </si>
  <si>
    <t>1.3s</t>
  </si>
  <si>
    <t>middle of the cloud but below average</t>
  </si>
  <si>
    <t>percent</t>
  </si>
  <si>
    <t>need a prediction of 1.2s</t>
  </si>
  <si>
    <t>some regime shift</t>
  </si>
  <si>
    <t>recent (red) shows no strong correlations</t>
  </si>
  <si>
    <t>if 1.2 come in similar to recent (ca 1000) predicted run would be about</t>
  </si>
  <si>
    <t>very similar to recent average calculated above</t>
  </si>
  <si>
    <t>all conditions seem to be average, so an average prediction is appropriate</t>
  </si>
  <si>
    <t>ln(1.3/prev1.2)  has some potential</t>
  </si>
  <si>
    <t>2025, PC1 at T-17 is</t>
  </si>
  <si>
    <t>in the center of the cloud, indicating average environmental effect (no need for modification)</t>
  </si>
  <si>
    <t>corr of log ratio with PC1 is -0.5 at T-18</t>
  </si>
  <si>
    <t>gives ln ratio of</t>
  </si>
  <si>
    <t>or</t>
  </si>
  <si>
    <t xml:space="preserve">multipled by </t>
  </si>
  <si>
    <t>which is twice the average</t>
  </si>
  <si>
    <t>THIS IS TOO IMPRECISE TO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</si>
</sst>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1" xfId="0" applyBorder="1"/>
    <xf numFmtId="0" fontId="4" fillId="0" borderId="0" xfId="0" applyFont="1"/>
    <xf numFmtId="1" fontId="2" fillId="0" borderId="0" xfId="0" applyNumberFormat="1" applyFont="1"/>
    <xf numFmtId="1" fontId="0" fillId="0" borderId="0" xfId="0" applyNumberFormat="1"/>
    <xf numFmtId="0" fontId="0" fillId="0" borderId="2" xfId="0" applyBorder="1"/>
    <xf numFmtId="0" fontId="0" fillId="0" borderId="3" xfId="0" applyBorder="1"/>
    <xf numFmtId="1" fontId="2" fillId="0" borderId="4" xfId="0" applyNumberFormat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[1]Raft!$B$5:$B$76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[1]Raft!$C$5:$C$76</c:f>
              <c:numCache>
                <c:formatCode>General</c:formatCode>
                <c:ptCount val="72"/>
                <c:pt idx="0">
                  <c:v>62653</c:v>
                </c:pt>
                <c:pt idx="1">
                  <c:v>37449</c:v>
                </c:pt>
                <c:pt idx="2">
                  <c:v>42435</c:v>
                </c:pt>
                <c:pt idx="3">
                  <c:v>40631</c:v>
                </c:pt>
                <c:pt idx="4">
                  <c:v>59176</c:v>
                </c:pt>
                <c:pt idx="5">
                  <c:v>35526</c:v>
                </c:pt>
                <c:pt idx="6">
                  <c:v>40810</c:v>
                </c:pt>
                <c:pt idx="7">
                  <c:v>63790</c:v>
                </c:pt>
                <c:pt idx="8">
                  <c:v>25425</c:v>
                </c:pt>
                <c:pt idx="9">
                  <c:v>28760</c:v>
                </c:pt>
                <c:pt idx="10">
                  <c:v>24602</c:v>
                </c:pt>
                <c:pt idx="11">
                  <c:v>21010</c:v>
                </c:pt>
                <c:pt idx="12">
                  <c:v>17944</c:v>
                </c:pt>
                <c:pt idx="13">
                  <c:v>24308</c:v>
                </c:pt>
                <c:pt idx="14">
                  <c:v>39740</c:v>
                </c:pt>
                <c:pt idx="15">
                  <c:v>12152</c:v>
                </c:pt>
                <c:pt idx="16">
                  <c:v>41065</c:v>
                </c:pt>
                <c:pt idx="17">
                  <c:v>27547</c:v>
                </c:pt>
                <c:pt idx="18">
                  <c:v>22206</c:v>
                </c:pt>
                <c:pt idx="19">
                  <c:v>11060</c:v>
                </c:pt>
                <c:pt idx="20">
                  <c:v>102664</c:v>
                </c:pt>
                <c:pt idx="21">
                  <c:v>15727</c:v>
                </c:pt>
                <c:pt idx="22">
                  <c:v>12043</c:v>
                </c:pt>
                <c:pt idx="23">
                  <c:v>10180</c:v>
                </c:pt>
                <c:pt idx="24">
                  <c:v>59753</c:v>
                </c:pt>
                <c:pt idx="25">
                  <c:v>2583</c:v>
                </c:pt>
                <c:pt idx="26">
                  <c:v>19271</c:v>
                </c:pt>
                <c:pt idx="27">
                  <c:v>6164</c:v>
                </c:pt>
                <c:pt idx="28">
                  <c:v>19616</c:v>
                </c:pt>
                <c:pt idx="29">
                  <c:v>4312</c:v>
                </c:pt>
                <c:pt idx="30">
                  <c:v>15077</c:v>
                </c:pt>
                <c:pt idx="31">
                  <c:v>8925</c:v>
                </c:pt>
                <c:pt idx="32">
                  <c:v>49712</c:v>
                </c:pt>
                <c:pt idx="33">
                  <c:v>11150</c:v>
                </c:pt>
                <c:pt idx="34">
                  <c:v>3791</c:v>
                </c:pt>
                <c:pt idx="35">
                  <c:v>4441</c:v>
                </c:pt>
                <c:pt idx="36">
                  <c:v>35407</c:v>
                </c:pt>
                <c:pt idx="37">
                  <c:v>16868</c:v>
                </c:pt>
                <c:pt idx="38">
                  <c:v>4606</c:v>
                </c:pt>
                <c:pt idx="39">
                  <c:v>1510</c:v>
                </c:pt>
                <c:pt idx="40">
                  <c:v>44211</c:v>
                </c:pt>
                <c:pt idx="41">
                  <c:v>15749</c:v>
                </c:pt>
                <c:pt idx="42">
                  <c:v>5855</c:v>
                </c:pt>
                <c:pt idx="43">
                  <c:v>1848</c:v>
                </c:pt>
                <c:pt idx="44">
                  <c:v>65906</c:v>
                </c:pt>
                <c:pt idx="45">
                  <c:v>24410</c:v>
                </c:pt>
                <c:pt idx="46">
                  <c:v>15571</c:v>
                </c:pt>
                <c:pt idx="47">
                  <c:v>47468</c:v>
                </c:pt>
                <c:pt idx="48">
                  <c:v>93799</c:v>
                </c:pt>
                <c:pt idx="49">
                  <c:v>48675</c:v>
                </c:pt>
                <c:pt idx="50">
                  <c:v>30278</c:v>
                </c:pt>
                <c:pt idx="51">
                  <c:v>37804</c:v>
                </c:pt>
                <c:pt idx="52">
                  <c:v>142932</c:v>
                </c:pt>
                <c:pt idx="53">
                  <c:v>87357</c:v>
                </c:pt>
                <c:pt idx="54">
                  <c:v>37794</c:v>
                </c:pt>
                <c:pt idx="55">
                  <c:v>25240</c:v>
                </c:pt>
                <c:pt idx="56">
                  <c:v>47043</c:v>
                </c:pt>
                <c:pt idx="57">
                  <c:v>16990</c:v>
                </c:pt>
                <c:pt idx="58">
                  <c:v>10805</c:v>
                </c:pt>
                <c:pt idx="59">
                  <c:v>16224</c:v>
                </c:pt>
                <c:pt idx="60">
                  <c:v>20383</c:v>
                </c:pt>
                <c:pt idx="61">
                  <c:v>25854</c:v>
                </c:pt>
                <c:pt idx="62">
                  <c:v>54236</c:v>
                </c:pt>
                <c:pt idx="63">
                  <c:v>24500</c:v>
                </c:pt>
                <c:pt idx="64">
                  <c:v>22126</c:v>
                </c:pt>
                <c:pt idx="65">
                  <c:v>7295</c:v>
                </c:pt>
                <c:pt idx="66">
                  <c:v>13715</c:v>
                </c:pt>
                <c:pt idx="67">
                  <c:v>1190</c:v>
                </c:pt>
                <c:pt idx="68">
                  <c:v>6318</c:v>
                </c:pt>
                <c:pt idx="69">
                  <c:v>5502</c:v>
                </c:pt>
                <c:pt idx="70">
                  <c:v>7133</c:v>
                </c:pt>
                <c:pt idx="71">
                  <c:v>12632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B2-46D8-8CF6-BCFBFDD2F93C}"/>
            </c:ext>
          </c:extLst>
        </c:ser>
        <c:ser>
          <c:idx val="1"/>
          <c:order val="1"/>
          <c:xVal>
            <c:numRef>
              <c:f>[2]Raft!$B$77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[2]Raft!$C$77</c:f>
              <c:numCache>
                <c:formatCode>General</c:formatCode>
                <c:ptCount val="1"/>
                <c:pt idx="0">
                  <c:v>13119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B2-46D8-8CF6-BCFBFDD2F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799680"/>
        <c:axId val="257801216"/>
      </c:scatterChart>
      <c:valAx>
        <c:axId val="25779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7801216"/>
        <c:crosses val="autoZero"/>
        <c:crossBetween val="midCat"/>
      </c:valAx>
      <c:valAx>
        <c:axId val="257801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7799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Raft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[1]Raft!$B$58:$B$76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[1]Raft!$D$58:$D$76</c:f>
              <c:numCache>
                <c:formatCode>General</c:formatCode>
                <c:ptCount val="19"/>
                <c:pt idx="0">
                  <c:v>11.377758449729738</c:v>
                </c:pt>
                <c:pt idx="1">
                  <c:v>10.539905638849984</c:v>
                </c:pt>
                <c:pt idx="2">
                  <c:v>10.136185316655149</c:v>
                </c:pt>
                <c:pt idx="3">
                  <c:v>10.758817356049141</c:v>
                </c:pt>
                <c:pt idx="4">
                  <c:v>9.7403802146659775</c:v>
                </c:pt>
                <c:pt idx="5">
                  <c:v>9.2877642689409861</c:v>
                </c:pt>
                <c:pt idx="6">
                  <c:v>9.6942469063909105</c:v>
                </c:pt>
                <c:pt idx="7">
                  <c:v>9.9224564990837312</c:v>
                </c:pt>
                <c:pt idx="8">
                  <c:v>10.160220606843893</c:v>
                </c:pt>
                <c:pt idx="9">
                  <c:v>10.901100173582201</c:v>
                </c:pt>
                <c:pt idx="10">
                  <c:v>10.106428396532818</c:v>
                </c:pt>
                <c:pt idx="11">
                  <c:v>10.004508666594857</c:v>
                </c:pt>
                <c:pt idx="12">
                  <c:v>8.8949444609568857</c:v>
                </c:pt>
                <c:pt idx="13">
                  <c:v>9.5262454033717034</c:v>
                </c:pt>
                <c:pt idx="14">
                  <c:v>7.0817085861055746</c:v>
                </c:pt>
                <c:pt idx="15">
                  <c:v>8.7511579813620308</c:v>
                </c:pt>
                <c:pt idx="16">
                  <c:v>8.6128669414845191</c:v>
                </c:pt>
                <c:pt idx="17">
                  <c:v>8.8724871822780376</c:v>
                </c:pt>
                <c:pt idx="18">
                  <c:v>9.4439885559354781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90-4BD3-BF8C-43C42ADA0DCE}"/>
            </c:ext>
          </c:extLst>
        </c:ser>
        <c:ser>
          <c:idx val="1"/>
          <c:order val="1"/>
          <c:xVal>
            <c:numRef>
              <c:f>[2]Raft!$B$77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[2]Raft!$D$77</c:f>
              <c:numCache>
                <c:formatCode>General</c:formatCode>
                <c:ptCount val="1"/>
                <c:pt idx="0">
                  <c:v>9.4818168400810308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90-4BD3-BF8C-43C42ADA0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813504"/>
        <c:axId val="257819392"/>
      </c:scatterChart>
      <c:valAx>
        <c:axId val="257813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7819392"/>
        <c:crosses val="autoZero"/>
        <c:crossBetween val="midCat"/>
      </c:valAx>
      <c:valAx>
        <c:axId val="257819392"/>
        <c:scaling>
          <c:orientation val="minMax"/>
          <c:max val="12"/>
          <c:min val="7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813504"/>
        <c:crosses val="autoZero"/>
        <c:crossBetween val="midCat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[1]Raft!$B$5:$B$76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[1]Raft!$C$5:$C$76</c:f>
              <c:numCache>
                <c:formatCode>General</c:formatCode>
                <c:ptCount val="72"/>
                <c:pt idx="0">
                  <c:v>62653</c:v>
                </c:pt>
                <c:pt idx="1">
                  <c:v>37449</c:v>
                </c:pt>
                <c:pt idx="2">
                  <c:v>42435</c:v>
                </c:pt>
                <c:pt idx="3">
                  <c:v>40631</c:v>
                </c:pt>
                <c:pt idx="4">
                  <c:v>59176</c:v>
                </c:pt>
                <c:pt idx="5">
                  <c:v>35526</c:v>
                </c:pt>
                <c:pt idx="6">
                  <c:v>40810</c:v>
                </c:pt>
                <c:pt idx="7">
                  <c:v>63790</c:v>
                </c:pt>
                <c:pt idx="8">
                  <c:v>25425</c:v>
                </c:pt>
                <c:pt idx="9">
                  <c:v>28760</c:v>
                </c:pt>
                <c:pt idx="10">
                  <c:v>24602</c:v>
                </c:pt>
                <c:pt idx="11">
                  <c:v>21010</c:v>
                </c:pt>
                <c:pt idx="12">
                  <c:v>17944</c:v>
                </c:pt>
                <c:pt idx="13">
                  <c:v>24308</c:v>
                </c:pt>
                <c:pt idx="14">
                  <c:v>39740</c:v>
                </c:pt>
                <c:pt idx="15">
                  <c:v>12152</c:v>
                </c:pt>
                <c:pt idx="16">
                  <c:v>41065</c:v>
                </c:pt>
                <c:pt idx="17">
                  <c:v>27547</c:v>
                </c:pt>
                <c:pt idx="18">
                  <c:v>22206</c:v>
                </c:pt>
                <c:pt idx="19">
                  <c:v>11060</c:v>
                </c:pt>
                <c:pt idx="20">
                  <c:v>102664</c:v>
                </c:pt>
                <c:pt idx="21">
                  <c:v>15727</c:v>
                </c:pt>
                <c:pt idx="22">
                  <c:v>12043</c:v>
                </c:pt>
                <c:pt idx="23">
                  <c:v>10180</c:v>
                </c:pt>
                <c:pt idx="24">
                  <c:v>59753</c:v>
                </c:pt>
                <c:pt idx="25">
                  <c:v>2583</c:v>
                </c:pt>
                <c:pt idx="26">
                  <c:v>19271</c:v>
                </c:pt>
                <c:pt idx="27">
                  <c:v>6164</c:v>
                </c:pt>
                <c:pt idx="28">
                  <c:v>19616</c:v>
                </c:pt>
                <c:pt idx="29">
                  <c:v>4312</c:v>
                </c:pt>
                <c:pt idx="30">
                  <c:v>15077</c:v>
                </c:pt>
                <c:pt idx="31">
                  <c:v>8925</c:v>
                </c:pt>
                <c:pt idx="32">
                  <c:v>49712</c:v>
                </c:pt>
                <c:pt idx="33">
                  <c:v>11150</c:v>
                </c:pt>
                <c:pt idx="34">
                  <c:v>3791</c:v>
                </c:pt>
                <c:pt idx="35">
                  <c:v>4441</c:v>
                </c:pt>
                <c:pt idx="36">
                  <c:v>35407</c:v>
                </c:pt>
                <c:pt idx="37">
                  <c:v>16868</c:v>
                </c:pt>
                <c:pt idx="38">
                  <c:v>4606</c:v>
                </c:pt>
                <c:pt idx="39">
                  <c:v>1510</c:v>
                </c:pt>
                <c:pt idx="40">
                  <c:v>44211</c:v>
                </c:pt>
                <c:pt idx="41">
                  <c:v>15749</c:v>
                </c:pt>
                <c:pt idx="42">
                  <c:v>5855</c:v>
                </c:pt>
                <c:pt idx="43">
                  <c:v>1848</c:v>
                </c:pt>
                <c:pt idx="44">
                  <c:v>65906</c:v>
                </c:pt>
                <c:pt idx="45">
                  <c:v>24410</c:v>
                </c:pt>
                <c:pt idx="46">
                  <c:v>15571</c:v>
                </c:pt>
                <c:pt idx="47">
                  <c:v>47468</c:v>
                </c:pt>
                <c:pt idx="48">
                  <c:v>93799</c:v>
                </c:pt>
                <c:pt idx="49">
                  <c:v>48675</c:v>
                </c:pt>
                <c:pt idx="50">
                  <c:v>30278</c:v>
                </c:pt>
                <c:pt idx="51">
                  <c:v>37804</c:v>
                </c:pt>
                <c:pt idx="52">
                  <c:v>142932</c:v>
                </c:pt>
                <c:pt idx="53">
                  <c:v>87357</c:v>
                </c:pt>
                <c:pt idx="54">
                  <c:v>37794</c:v>
                </c:pt>
                <c:pt idx="55">
                  <c:v>25240</c:v>
                </c:pt>
                <c:pt idx="56">
                  <c:v>47043</c:v>
                </c:pt>
                <c:pt idx="57">
                  <c:v>16990</c:v>
                </c:pt>
                <c:pt idx="58">
                  <c:v>10805</c:v>
                </c:pt>
                <c:pt idx="59">
                  <c:v>16224</c:v>
                </c:pt>
                <c:pt idx="60">
                  <c:v>20383</c:v>
                </c:pt>
                <c:pt idx="61">
                  <c:v>25854</c:v>
                </c:pt>
                <c:pt idx="62">
                  <c:v>54236</c:v>
                </c:pt>
                <c:pt idx="63">
                  <c:v>24500</c:v>
                </c:pt>
                <c:pt idx="64">
                  <c:v>22126</c:v>
                </c:pt>
                <c:pt idx="65">
                  <c:v>7295</c:v>
                </c:pt>
                <c:pt idx="66">
                  <c:v>13715</c:v>
                </c:pt>
                <c:pt idx="67">
                  <c:v>1190</c:v>
                </c:pt>
                <c:pt idx="68">
                  <c:v>6318</c:v>
                </c:pt>
                <c:pt idx="69">
                  <c:v>5502</c:v>
                </c:pt>
                <c:pt idx="70">
                  <c:v>7133</c:v>
                </c:pt>
                <c:pt idx="71">
                  <c:v>12632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27-4DC7-A78B-4EE852737825}"/>
            </c:ext>
          </c:extLst>
        </c:ser>
        <c:ser>
          <c:idx val="1"/>
          <c:order val="1"/>
          <c:xVal>
            <c:numRef>
              <c:f>[2]Raft!$B$77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[2]Raft!$C$77</c:f>
              <c:numCache>
                <c:formatCode>General</c:formatCode>
                <c:ptCount val="1"/>
                <c:pt idx="0">
                  <c:v>13119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27-4DC7-A78B-4EE852737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839872"/>
        <c:axId val="257841408"/>
      </c:scatterChart>
      <c:valAx>
        <c:axId val="25783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7841408"/>
        <c:crosses val="autoZero"/>
        <c:crossBetween val="midCat"/>
      </c:valAx>
      <c:valAx>
        <c:axId val="257841408"/>
        <c:scaling>
          <c:logBase val="10"/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78398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Raft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-0.25701531058617672"/>
                  <c:y val="2.7814873140857392E-2"/>
                </c:manualLayout>
              </c:layout>
              <c:numFmt formatCode="General" sourceLinked="0"/>
            </c:trendlineLbl>
          </c:trendline>
          <c:xVal>
            <c:numRef>
              <c:f>[2]Raft!$B$58:$B$77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xVal>
          <c:yVal>
            <c:numRef>
              <c:f>[2]Raft!$D$58:$D$77</c:f>
              <c:numCache>
                <c:formatCode>General</c:formatCode>
                <c:ptCount val="20"/>
                <c:pt idx="0">
                  <c:v>11.377758449729738</c:v>
                </c:pt>
                <c:pt idx="1">
                  <c:v>10.539905638849984</c:v>
                </c:pt>
                <c:pt idx="2">
                  <c:v>10.136185316655149</c:v>
                </c:pt>
                <c:pt idx="3">
                  <c:v>10.758817356049141</c:v>
                </c:pt>
                <c:pt idx="4">
                  <c:v>9.7403802146659775</c:v>
                </c:pt>
                <c:pt idx="5">
                  <c:v>9.2877642689409861</c:v>
                </c:pt>
                <c:pt idx="6">
                  <c:v>9.6942469063909105</c:v>
                </c:pt>
                <c:pt idx="7">
                  <c:v>9.9224564990837312</c:v>
                </c:pt>
                <c:pt idx="8">
                  <c:v>10.160220606843893</c:v>
                </c:pt>
                <c:pt idx="9">
                  <c:v>10.901100173582201</c:v>
                </c:pt>
                <c:pt idx="10">
                  <c:v>10.106428396532818</c:v>
                </c:pt>
                <c:pt idx="11">
                  <c:v>10.004508666594857</c:v>
                </c:pt>
                <c:pt idx="12">
                  <c:v>8.8949444609568857</c:v>
                </c:pt>
                <c:pt idx="13">
                  <c:v>9.5262454033717034</c:v>
                </c:pt>
                <c:pt idx="14">
                  <c:v>7.0817085861055746</c:v>
                </c:pt>
                <c:pt idx="15">
                  <c:v>8.7511579813620308</c:v>
                </c:pt>
                <c:pt idx="16">
                  <c:v>8.6128669414845191</c:v>
                </c:pt>
                <c:pt idx="17">
                  <c:v>8.8724871822780376</c:v>
                </c:pt>
                <c:pt idx="18">
                  <c:v>9.4439885559354781</c:v>
                </c:pt>
                <c:pt idx="19">
                  <c:v>9.4818168400810308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51-4B97-9373-21B9A21A4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813504"/>
        <c:axId val="257819392"/>
      </c:scatterChart>
      <c:valAx>
        <c:axId val="257813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7819392"/>
        <c:crosses val="autoZero"/>
        <c:crossBetween val="midCat"/>
      </c:valAx>
      <c:valAx>
        <c:axId val="257819392"/>
        <c:scaling>
          <c:orientation val="minMax"/>
          <c:max val="12"/>
          <c:min val="7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813504"/>
        <c:crosses val="autoZero"/>
        <c:crossBetween val="midCat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1.3 from 1.2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2009892825896763"/>
                  <c:y val="-0.125330271216097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[2]Raft!$G$197:$G$216</c:f>
              <c:numCache>
                <c:formatCode>General</c:formatCode>
                <c:ptCount val="20"/>
                <c:pt idx="0">
                  <c:v>107671</c:v>
                </c:pt>
                <c:pt idx="1">
                  <c:v>79275</c:v>
                </c:pt>
                <c:pt idx="2">
                  <c:v>21369</c:v>
                </c:pt>
                <c:pt idx="3">
                  <c:v>2439</c:v>
                </c:pt>
                <c:pt idx="4">
                  <c:v>39136</c:v>
                </c:pt>
                <c:pt idx="5">
                  <c:v>6893</c:v>
                </c:pt>
                <c:pt idx="6">
                  <c:v>7804</c:v>
                </c:pt>
                <c:pt idx="7">
                  <c:v>6272</c:v>
                </c:pt>
                <c:pt idx="8">
                  <c:v>15504</c:v>
                </c:pt>
                <c:pt idx="9">
                  <c:v>21922</c:v>
                </c:pt>
                <c:pt idx="10">
                  <c:v>38701</c:v>
                </c:pt>
                <c:pt idx="11">
                  <c:v>18595</c:v>
                </c:pt>
                <c:pt idx="12">
                  <c:v>16984</c:v>
                </c:pt>
                <c:pt idx="13">
                  <c:v>2888</c:v>
                </c:pt>
                <c:pt idx="14">
                  <c:v>11192</c:v>
                </c:pt>
                <c:pt idx="15">
                  <c:v>525</c:v>
                </c:pt>
                <c:pt idx="16">
                  <c:v>5470</c:v>
                </c:pt>
                <c:pt idx="17">
                  <c:v>3271</c:v>
                </c:pt>
                <c:pt idx="18">
                  <c:v>6219</c:v>
                </c:pt>
                <c:pt idx="19">
                  <c:v>10161</c:v>
                </c:pt>
              </c:numCache>
            </c:numRef>
          </c:xVal>
          <c:yVal>
            <c:numRef>
              <c:f>[2]Raft!$H$198:$H$217</c:f>
              <c:numCache>
                <c:formatCode>General</c:formatCode>
                <c:ptCount val="20"/>
                <c:pt idx="0">
                  <c:v>7672</c:v>
                </c:pt>
                <c:pt idx="1">
                  <c:v>16425</c:v>
                </c:pt>
                <c:pt idx="2">
                  <c:v>21419</c:v>
                </c:pt>
                <c:pt idx="3">
                  <c:v>5930</c:v>
                </c:pt>
                <c:pt idx="4">
                  <c:v>9746</c:v>
                </c:pt>
                <c:pt idx="5">
                  <c:v>2677</c:v>
                </c:pt>
                <c:pt idx="6">
                  <c:v>9950</c:v>
                </c:pt>
                <c:pt idx="7">
                  <c:v>4874</c:v>
                </c:pt>
                <c:pt idx="8">
                  <c:v>3896</c:v>
                </c:pt>
                <c:pt idx="9">
                  <c:v>15492</c:v>
                </c:pt>
                <c:pt idx="10">
                  <c:v>5905</c:v>
                </c:pt>
                <c:pt idx="11">
                  <c:v>5136</c:v>
                </c:pt>
                <c:pt idx="12">
                  <c:v>4404</c:v>
                </c:pt>
                <c:pt idx="13">
                  <c:v>2523</c:v>
                </c:pt>
                <c:pt idx="14">
                  <c:v>665</c:v>
                </c:pt>
                <c:pt idx="15">
                  <c:v>871</c:v>
                </c:pt>
                <c:pt idx="16">
                  <c:v>2089</c:v>
                </c:pt>
                <c:pt idx="17">
                  <c:v>879</c:v>
                </c:pt>
                <c:pt idx="18">
                  <c:v>2471</c:v>
                </c:pt>
                <c:pt idx="19">
                  <c:v>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49-4D15-B12A-2EE052F7E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689344"/>
        <c:axId val="982685504"/>
      </c:scatterChart>
      <c:valAx>
        <c:axId val="982689344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685504"/>
        <c:crosses val="autoZero"/>
        <c:crossBetween val="midCat"/>
      </c:valAx>
      <c:valAx>
        <c:axId val="982685504"/>
        <c:scaling>
          <c:logBase val="10"/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68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series of 1.2s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[2]Raft!$D$198:$D$217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xVal>
          <c:yVal>
            <c:numRef>
              <c:f>[2]Raft!$G$198:$G$217</c:f>
              <c:numCache>
                <c:formatCode>General</c:formatCode>
                <c:ptCount val="20"/>
                <c:pt idx="0">
                  <c:v>79275</c:v>
                </c:pt>
                <c:pt idx="1">
                  <c:v>21369</c:v>
                </c:pt>
                <c:pt idx="2">
                  <c:v>2439</c:v>
                </c:pt>
                <c:pt idx="3">
                  <c:v>39136</c:v>
                </c:pt>
                <c:pt idx="4">
                  <c:v>6893</c:v>
                </c:pt>
                <c:pt idx="5">
                  <c:v>7804</c:v>
                </c:pt>
                <c:pt idx="6">
                  <c:v>6272</c:v>
                </c:pt>
                <c:pt idx="7">
                  <c:v>15504</c:v>
                </c:pt>
                <c:pt idx="8">
                  <c:v>21922</c:v>
                </c:pt>
                <c:pt idx="9">
                  <c:v>38701</c:v>
                </c:pt>
                <c:pt idx="10">
                  <c:v>18595</c:v>
                </c:pt>
                <c:pt idx="11">
                  <c:v>16984</c:v>
                </c:pt>
                <c:pt idx="12">
                  <c:v>2888</c:v>
                </c:pt>
                <c:pt idx="13">
                  <c:v>11192</c:v>
                </c:pt>
                <c:pt idx="14">
                  <c:v>525</c:v>
                </c:pt>
                <c:pt idx="15">
                  <c:v>5470</c:v>
                </c:pt>
                <c:pt idx="16">
                  <c:v>3271</c:v>
                </c:pt>
                <c:pt idx="17">
                  <c:v>6219</c:v>
                </c:pt>
                <c:pt idx="18">
                  <c:v>10161</c:v>
                </c:pt>
                <c:pt idx="19">
                  <c:v>12479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AB-4CA4-AFB5-AAD6CE9B2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595408"/>
        <c:axId val="1267595888"/>
      </c:scatterChart>
      <c:valAx>
        <c:axId val="126759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95888"/>
        <c:crosses val="autoZero"/>
        <c:crossBetween val="midCat"/>
      </c:valAx>
      <c:valAx>
        <c:axId val="12675958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9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82</xdr:row>
      <xdr:rowOff>118110</xdr:rowOff>
    </xdr:from>
    <xdr:to>
      <xdr:col>9</xdr:col>
      <xdr:colOff>327660</xdr:colOff>
      <xdr:row>97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8A5EDA-8F7D-402B-9A22-50470752A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45720</xdr:colOff>
      <xdr:row>99</xdr:row>
      <xdr:rowOff>11430</xdr:rowOff>
    </xdr:from>
    <xdr:to>
      <xdr:col>9</xdr:col>
      <xdr:colOff>350520</xdr:colOff>
      <xdr:row>114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9E2CC4-CFE7-4528-A04D-590B56979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82</xdr:row>
      <xdr:rowOff>0</xdr:rowOff>
    </xdr:from>
    <xdr:to>
      <xdr:col>17</xdr:col>
      <xdr:colOff>304800</xdr:colOff>
      <xdr:row>97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D26853-D07E-43D3-A97D-37DE8269F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120</xdr:row>
      <xdr:rowOff>0</xdr:rowOff>
    </xdr:from>
    <xdr:to>
      <xdr:col>9</xdr:col>
      <xdr:colOff>304800</xdr:colOff>
      <xdr:row>135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81B774-CD46-48FD-9BF4-8C52C30A4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23812</xdr:colOff>
      <xdr:row>201</xdr:row>
      <xdr:rowOff>185737</xdr:rowOff>
    </xdr:from>
    <xdr:to>
      <xdr:col>18</xdr:col>
      <xdr:colOff>233362</xdr:colOff>
      <xdr:row>216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583063-AADA-4985-9A8F-E4D3A91CC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576262</xdr:colOff>
      <xdr:row>223</xdr:row>
      <xdr:rowOff>23812</xdr:rowOff>
    </xdr:from>
    <xdr:to>
      <xdr:col>17</xdr:col>
      <xdr:colOff>176212</xdr:colOff>
      <xdr:row>237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B89E92-5F4C-4CE0-A660-1B6F72138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223</xdr:row>
      <xdr:rowOff>0</xdr:rowOff>
    </xdr:from>
    <xdr:to>
      <xdr:col>8</xdr:col>
      <xdr:colOff>311293</xdr:colOff>
      <xdr:row>237</xdr:row>
      <xdr:rowOff>88631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D911A67-DC1A-4C3E-BFC9-6C8CFA210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42510075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8</xdr:col>
      <xdr:colOff>311293</xdr:colOff>
      <xdr:row>257</xdr:row>
      <xdr:rowOff>88631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0044342-2DC8-4B85-8C54-4047A6DE3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6320075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243</xdr:row>
      <xdr:rowOff>0</xdr:rowOff>
    </xdr:from>
    <xdr:to>
      <xdr:col>17</xdr:col>
      <xdr:colOff>216043</xdr:colOff>
      <xdr:row>257</xdr:row>
      <xdr:rowOff>88631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19D811F-EBE2-4D40-AAE4-DE5CC6BB3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0" y="46320075"/>
          <a:ext cx="4578493" cy="27556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4RevisedData\ORGFinalSpreadsheets\Raft.xlsx" TargetMode="External"/><Relationship Id="rId1" Type="http://schemas.openxmlformats.org/officeDocument/2006/relationships/externalLinkPath" Target="/Alec&amp;BarbsFiles/Alec/AlecScience/SalmonPrize/2024RevisedData/ORGFinalSpreadsheets/Raf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5Prize\fraser\Fraser2025.xlsx" TargetMode="External"/><Relationship Id="rId1" Type="http://schemas.openxmlformats.org/officeDocument/2006/relationships/externalLinkPath" Target="/Alec&amp;BarbsFiles/Alec/AlecScience/SalmonPrize/2025Prize/fraser/Fraser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ft"/>
    </sheetNames>
    <sheetDataSet>
      <sheetData sheetId="0">
        <row r="5">
          <cell r="B5">
            <v>1952</v>
          </cell>
          <cell r="C5">
            <v>62653</v>
          </cell>
        </row>
        <row r="6">
          <cell r="B6">
            <v>1953</v>
          </cell>
          <cell r="C6">
            <v>37449</v>
          </cell>
        </row>
        <row r="7">
          <cell r="B7">
            <v>1954</v>
          </cell>
          <cell r="C7">
            <v>42435</v>
          </cell>
        </row>
        <row r="8">
          <cell r="B8">
            <v>1955</v>
          </cell>
          <cell r="C8">
            <v>40631</v>
          </cell>
        </row>
        <row r="9">
          <cell r="B9">
            <v>1956</v>
          </cell>
          <cell r="C9">
            <v>59176</v>
          </cell>
        </row>
        <row r="10">
          <cell r="B10">
            <v>1957</v>
          </cell>
          <cell r="C10">
            <v>35526</v>
          </cell>
        </row>
        <row r="11">
          <cell r="B11">
            <v>1958</v>
          </cell>
          <cell r="C11">
            <v>40810</v>
          </cell>
        </row>
        <row r="12">
          <cell r="B12">
            <v>1959</v>
          </cell>
          <cell r="C12">
            <v>63790</v>
          </cell>
        </row>
        <row r="13">
          <cell r="B13">
            <v>1960</v>
          </cell>
          <cell r="C13">
            <v>25425</v>
          </cell>
        </row>
        <row r="14">
          <cell r="B14">
            <v>1961</v>
          </cell>
          <cell r="C14">
            <v>28760</v>
          </cell>
        </row>
        <row r="15">
          <cell r="B15">
            <v>1962</v>
          </cell>
          <cell r="C15">
            <v>24602</v>
          </cell>
        </row>
        <row r="16">
          <cell r="B16">
            <v>1963</v>
          </cell>
          <cell r="C16">
            <v>21010</v>
          </cell>
        </row>
        <row r="17">
          <cell r="B17">
            <v>1964</v>
          </cell>
          <cell r="C17">
            <v>17944</v>
          </cell>
        </row>
        <row r="18">
          <cell r="B18">
            <v>1965</v>
          </cell>
          <cell r="C18">
            <v>24308</v>
          </cell>
        </row>
        <row r="19">
          <cell r="B19">
            <v>1966</v>
          </cell>
          <cell r="C19">
            <v>39740</v>
          </cell>
        </row>
        <row r="20">
          <cell r="B20">
            <v>1967</v>
          </cell>
          <cell r="C20">
            <v>12152</v>
          </cell>
        </row>
        <row r="21">
          <cell r="B21">
            <v>1968</v>
          </cell>
          <cell r="C21">
            <v>41065</v>
          </cell>
        </row>
        <row r="22">
          <cell r="B22">
            <v>1969</v>
          </cell>
          <cell r="C22">
            <v>27547</v>
          </cell>
        </row>
        <row r="23">
          <cell r="B23">
            <v>1970</v>
          </cell>
          <cell r="C23">
            <v>22206</v>
          </cell>
        </row>
        <row r="24">
          <cell r="B24">
            <v>1971</v>
          </cell>
          <cell r="C24">
            <v>11060</v>
          </cell>
        </row>
        <row r="25">
          <cell r="B25">
            <v>1972</v>
          </cell>
          <cell r="C25">
            <v>102664</v>
          </cell>
        </row>
        <row r="26">
          <cell r="B26">
            <v>1973</v>
          </cell>
          <cell r="C26">
            <v>15727</v>
          </cell>
        </row>
        <row r="27">
          <cell r="B27">
            <v>1974</v>
          </cell>
          <cell r="C27">
            <v>12043</v>
          </cell>
        </row>
        <row r="28">
          <cell r="B28">
            <v>1975</v>
          </cell>
          <cell r="C28">
            <v>10180</v>
          </cell>
        </row>
        <row r="29">
          <cell r="B29">
            <v>1976</v>
          </cell>
          <cell r="C29">
            <v>59753</v>
          </cell>
        </row>
        <row r="30">
          <cell r="B30">
            <v>1977</v>
          </cell>
          <cell r="C30">
            <v>2583</v>
          </cell>
        </row>
        <row r="31">
          <cell r="B31">
            <v>1978</v>
          </cell>
          <cell r="C31">
            <v>19271</v>
          </cell>
        </row>
        <row r="32">
          <cell r="B32">
            <v>1979</v>
          </cell>
          <cell r="C32">
            <v>6164</v>
          </cell>
        </row>
        <row r="33">
          <cell r="B33">
            <v>1980</v>
          </cell>
          <cell r="C33">
            <v>19616</v>
          </cell>
        </row>
        <row r="34">
          <cell r="B34">
            <v>1981</v>
          </cell>
          <cell r="C34">
            <v>4312</v>
          </cell>
        </row>
        <row r="35">
          <cell r="B35">
            <v>1982</v>
          </cell>
          <cell r="C35">
            <v>15077</v>
          </cell>
        </row>
        <row r="36">
          <cell r="B36">
            <v>1983</v>
          </cell>
          <cell r="C36">
            <v>8925</v>
          </cell>
        </row>
        <row r="37">
          <cell r="B37">
            <v>1984</v>
          </cell>
          <cell r="C37">
            <v>49712</v>
          </cell>
        </row>
        <row r="38">
          <cell r="B38">
            <v>1985</v>
          </cell>
          <cell r="C38">
            <v>11150</v>
          </cell>
        </row>
        <row r="39">
          <cell r="B39">
            <v>1986</v>
          </cell>
          <cell r="C39">
            <v>3791</v>
          </cell>
        </row>
        <row r="40">
          <cell r="B40">
            <v>1987</v>
          </cell>
          <cell r="C40">
            <v>4441</v>
          </cell>
        </row>
        <row r="41">
          <cell r="B41">
            <v>1988</v>
          </cell>
          <cell r="C41">
            <v>35407</v>
          </cell>
        </row>
        <row r="42">
          <cell r="B42">
            <v>1989</v>
          </cell>
          <cell r="C42">
            <v>16868</v>
          </cell>
        </row>
        <row r="43">
          <cell r="B43">
            <v>1990</v>
          </cell>
          <cell r="C43">
            <v>4606</v>
          </cell>
        </row>
        <row r="44">
          <cell r="B44">
            <v>1991</v>
          </cell>
          <cell r="C44">
            <v>1510</v>
          </cell>
        </row>
        <row r="45">
          <cell r="B45">
            <v>1992</v>
          </cell>
          <cell r="C45">
            <v>44211</v>
          </cell>
        </row>
        <row r="46">
          <cell r="B46">
            <v>1993</v>
          </cell>
          <cell r="C46">
            <v>15749</v>
          </cell>
        </row>
        <row r="47">
          <cell r="B47">
            <v>1994</v>
          </cell>
          <cell r="C47">
            <v>5855</v>
          </cell>
        </row>
        <row r="48">
          <cell r="B48">
            <v>1995</v>
          </cell>
          <cell r="C48">
            <v>1848</v>
          </cell>
        </row>
        <row r="49">
          <cell r="B49">
            <v>1996</v>
          </cell>
          <cell r="C49">
            <v>65906</v>
          </cell>
        </row>
        <row r="50">
          <cell r="B50">
            <v>1997</v>
          </cell>
          <cell r="C50">
            <v>24410</v>
          </cell>
        </row>
        <row r="51">
          <cell r="B51">
            <v>1998</v>
          </cell>
          <cell r="C51">
            <v>15571</v>
          </cell>
        </row>
        <row r="52">
          <cell r="B52">
            <v>1999</v>
          </cell>
          <cell r="C52">
            <v>47468</v>
          </cell>
        </row>
        <row r="53">
          <cell r="B53">
            <v>2000</v>
          </cell>
          <cell r="C53">
            <v>93799</v>
          </cell>
        </row>
        <row r="54">
          <cell r="B54">
            <v>2001</v>
          </cell>
          <cell r="C54">
            <v>48675</v>
          </cell>
        </row>
        <row r="55">
          <cell r="B55">
            <v>2002</v>
          </cell>
          <cell r="C55">
            <v>30278</v>
          </cell>
        </row>
        <row r="56">
          <cell r="B56">
            <v>2003</v>
          </cell>
          <cell r="C56">
            <v>37804</v>
          </cell>
        </row>
        <row r="57">
          <cell r="B57">
            <v>2004</v>
          </cell>
          <cell r="C57">
            <v>142932</v>
          </cell>
        </row>
        <row r="58">
          <cell r="B58">
            <v>2005</v>
          </cell>
          <cell r="C58">
            <v>87357</v>
          </cell>
          <cell r="D58">
            <v>11.377758449729738</v>
          </cell>
        </row>
        <row r="59">
          <cell r="B59">
            <v>2006</v>
          </cell>
          <cell r="C59">
            <v>37794</v>
          </cell>
          <cell r="D59">
            <v>10.539905638849984</v>
          </cell>
        </row>
        <row r="60">
          <cell r="B60">
            <v>2007</v>
          </cell>
          <cell r="C60">
            <v>25240</v>
          </cell>
          <cell r="D60">
            <v>10.136185316655149</v>
          </cell>
        </row>
        <row r="61">
          <cell r="B61">
            <v>2008</v>
          </cell>
          <cell r="C61">
            <v>47043</v>
          </cell>
          <cell r="D61">
            <v>10.758817356049141</v>
          </cell>
        </row>
        <row r="62">
          <cell r="B62">
            <v>2009</v>
          </cell>
          <cell r="C62">
            <v>16990</v>
          </cell>
          <cell r="D62">
            <v>9.7403802146659775</v>
          </cell>
        </row>
        <row r="63">
          <cell r="B63">
            <v>2010</v>
          </cell>
          <cell r="C63">
            <v>10805</v>
          </cell>
          <cell r="D63">
            <v>9.2877642689409861</v>
          </cell>
        </row>
        <row r="64">
          <cell r="B64">
            <v>2011</v>
          </cell>
          <cell r="C64">
            <v>16224</v>
          </cell>
          <cell r="D64">
            <v>9.6942469063909105</v>
          </cell>
        </row>
        <row r="65">
          <cell r="B65">
            <v>2012</v>
          </cell>
          <cell r="C65">
            <v>20383</v>
          </cell>
          <cell r="D65">
            <v>9.9224564990837312</v>
          </cell>
        </row>
        <row r="66">
          <cell r="B66">
            <v>2013</v>
          </cell>
          <cell r="C66">
            <v>25854</v>
          </cell>
          <cell r="D66">
            <v>10.160220606843893</v>
          </cell>
        </row>
        <row r="67">
          <cell r="B67">
            <v>2014</v>
          </cell>
          <cell r="C67">
            <v>54236</v>
          </cell>
          <cell r="D67">
            <v>10.901100173582201</v>
          </cell>
        </row>
        <row r="68">
          <cell r="B68">
            <v>2015</v>
          </cell>
          <cell r="C68">
            <v>24500</v>
          </cell>
          <cell r="D68">
            <v>10.106428396532818</v>
          </cell>
        </row>
        <row r="69">
          <cell r="B69">
            <v>2016</v>
          </cell>
          <cell r="C69">
            <v>22126</v>
          </cell>
          <cell r="D69">
            <v>10.004508666594857</v>
          </cell>
        </row>
        <row r="70">
          <cell r="B70">
            <v>2017</v>
          </cell>
          <cell r="C70">
            <v>7295</v>
          </cell>
          <cell r="D70">
            <v>8.8949444609568857</v>
          </cell>
        </row>
        <row r="71">
          <cell r="B71">
            <v>2018</v>
          </cell>
          <cell r="C71">
            <v>13715</v>
          </cell>
          <cell r="D71">
            <v>9.5262454033717034</v>
          </cell>
        </row>
        <row r="72">
          <cell r="B72">
            <v>2019</v>
          </cell>
          <cell r="C72">
            <v>1190</v>
          </cell>
          <cell r="D72">
            <v>7.0817085861055746</v>
          </cell>
        </row>
        <row r="73">
          <cell r="B73">
            <v>2020</v>
          </cell>
          <cell r="C73">
            <v>6318</v>
          </cell>
          <cell r="D73">
            <v>8.7511579813620308</v>
          </cell>
        </row>
        <row r="74">
          <cell r="B74">
            <v>2021</v>
          </cell>
          <cell r="C74">
            <v>5502</v>
          </cell>
          <cell r="D74">
            <v>8.6128669414845191</v>
          </cell>
        </row>
        <row r="75">
          <cell r="B75">
            <v>2022</v>
          </cell>
          <cell r="C75">
            <v>7133</v>
          </cell>
          <cell r="D75">
            <v>8.8724871822780376</v>
          </cell>
        </row>
        <row r="76">
          <cell r="B76">
            <v>2023</v>
          </cell>
          <cell r="C76">
            <v>12632</v>
          </cell>
          <cell r="D76">
            <v>9.4439885559354781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ficial"/>
      <sheetName val="Chilko"/>
      <sheetName val="LateStuart"/>
      <sheetName val="Quesnel"/>
      <sheetName val="Raft"/>
      <sheetName val="Stellako"/>
    </sheetNames>
    <sheetDataSet>
      <sheetData sheetId="0"/>
      <sheetData sheetId="1"/>
      <sheetData sheetId="2"/>
      <sheetData sheetId="3"/>
      <sheetData sheetId="4">
        <row r="58">
          <cell r="B58">
            <v>2005</v>
          </cell>
          <cell r="D58">
            <v>11.377758449729738</v>
          </cell>
        </row>
        <row r="59">
          <cell r="B59">
            <v>2006</v>
          </cell>
          <cell r="D59">
            <v>10.539905638849984</v>
          </cell>
        </row>
        <row r="60">
          <cell r="B60">
            <v>2007</v>
          </cell>
          <cell r="D60">
            <v>10.136185316655149</v>
          </cell>
        </row>
        <row r="61">
          <cell r="B61">
            <v>2008</v>
          </cell>
          <cell r="D61">
            <v>10.758817356049141</v>
          </cell>
        </row>
        <row r="62">
          <cell r="B62">
            <v>2009</v>
          </cell>
          <cell r="D62">
            <v>9.7403802146659775</v>
          </cell>
        </row>
        <row r="63">
          <cell r="B63">
            <v>2010</v>
          </cell>
          <cell r="D63">
            <v>9.2877642689409861</v>
          </cell>
        </row>
        <row r="64">
          <cell r="B64">
            <v>2011</v>
          </cell>
          <cell r="D64">
            <v>9.6942469063909105</v>
          </cell>
        </row>
        <row r="65">
          <cell r="B65">
            <v>2012</v>
          </cell>
          <cell r="D65">
            <v>9.9224564990837312</v>
          </cell>
        </row>
        <row r="66">
          <cell r="B66">
            <v>2013</v>
          </cell>
          <cell r="D66">
            <v>10.160220606843893</v>
          </cell>
        </row>
        <row r="67">
          <cell r="B67">
            <v>2014</v>
          </cell>
          <cell r="D67">
            <v>10.901100173582201</v>
          </cell>
        </row>
        <row r="68">
          <cell r="B68">
            <v>2015</v>
          </cell>
          <cell r="D68">
            <v>10.106428396532818</v>
          </cell>
        </row>
        <row r="69">
          <cell r="B69">
            <v>2016</v>
          </cell>
          <cell r="D69">
            <v>10.004508666594857</v>
          </cell>
        </row>
        <row r="70">
          <cell r="B70">
            <v>2017</v>
          </cell>
          <cell r="D70">
            <v>8.8949444609568857</v>
          </cell>
        </row>
        <row r="71">
          <cell r="B71">
            <v>2018</v>
          </cell>
          <cell r="D71">
            <v>9.5262454033717034</v>
          </cell>
        </row>
        <row r="72">
          <cell r="B72">
            <v>2019</v>
          </cell>
          <cell r="D72">
            <v>7.0817085861055746</v>
          </cell>
        </row>
        <row r="73">
          <cell r="B73">
            <v>2020</v>
          </cell>
          <cell r="D73">
            <v>8.7511579813620308</v>
          </cell>
        </row>
        <row r="74">
          <cell r="B74">
            <v>2021</v>
          </cell>
          <cell r="D74">
            <v>8.6128669414845191</v>
          </cell>
        </row>
        <row r="75">
          <cell r="B75">
            <v>2022</v>
          </cell>
          <cell r="D75">
            <v>8.8724871822780376</v>
          </cell>
        </row>
        <row r="76">
          <cell r="B76">
            <v>2023</v>
          </cell>
          <cell r="D76">
            <v>9.4439885559354781</v>
          </cell>
        </row>
        <row r="77">
          <cell r="B77">
            <v>2024</v>
          </cell>
          <cell r="C77">
            <v>13119</v>
          </cell>
          <cell r="D77">
            <v>9.4818168400810308</v>
          </cell>
        </row>
        <row r="197">
          <cell r="G197">
            <v>107671</v>
          </cell>
        </row>
        <row r="198">
          <cell r="D198">
            <v>2005</v>
          </cell>
          <cell r="G198">
            <v>79275</v>
          </cell>
          <cell r="H198">
            <v>7672</v>
          </cell>
        </row>
        <row r="199">
          <cell r="D199">
            <v>2006</v>
          </cell>
          <cell r="G199">
            <v>21369</v>
          </cell>
          <cell r="H199">
            <v>16425</v>
          </cell>
        </row>
        <row r="200">
          <cell r="D200">
            <v>2007</v>
          </cell>
          <cell r="G200">
            <v>2439</v>
          </cell>
          <cell r="H200">
            <v>21419</v>
          </cell>
        </row>
        <row r="201">
          <cell r="D201">
            <v>2008</v>
          </cell>
          <cell r="G201">
            <v>39136</v>
          </cell>
          <cell r="H201">
            <v>5930</v>
          </cell>
        </row>
        <row r="202">
          <cell r="D202">
            <v>2009</v>
          </cell>
          <cell r="G202">
            <v>6893</v>
          </cell>
          <cell r="H202">
            <v>9746</v>
          </cell>
        </row>
        <row r="203">
          <cell r="D203">
            <v>2010</v>
          </cell>
          <cell r="G203">
            <v>7804</v>
          </cell>
          <cell r="H203">
            <v>2677</v>
          </cell>
        </row>
        <row r="204">
          <cell r="D204">
            <v>2011</v>
          </cell>
          <cell r="G204">
            <v>6272</v>
          </cell>
          <cell r="H204">
            <v>9950</v>
          </cell>
        </row>
        <row r="205">
          <cell r="D205">
            <v>2012</v>
          </cell>
          <cell r="G205">
            <v>15504</v>
          </cell>
          <cell r="H205">
            <v>4874</v>
          </cell>
        </row>
        <row r="206">
          <cell r="D206">
            <v>2013</v>
          </cell>
          <cell r="G206">
            <v>21922</v>
          </cell>
          <cell r="H206">
            <v>3896</v>
          </cell>
        </row>
        <row r="207">
          <cell r="D207">
            <v>2014</v>
          </cell>
          <cell r="G207">
            <v>38701</v>
          </cell>
          <cell r="H207">
            <v>15492</v>
          </cell>
        </row>
        <row r="208">
          <cell r="D208">
            <v>2015</v>
          </cell>
          <cell r="G208">
            <v>18595</v>
          </cell>
          <cell r="H208">
            <v>5905</v>
          </cell>
        </row>
        <row r="209">
          <cell r="D209">
            <v>2016</v>
          </cell>
          <cell r="G209">
            <v>16984</v>
          </cell>
          <cell r="H209">
            <v>5136</v>
          </cell>
        </row>
        <row r="210">
          <cell r="D210">
            <v>2017</v>
          </cell>
          <cell r="G210">
            <v>2888</v>
          </cell>
          <cell r="H210">
            <v>4404</v>
          </cell>
        </row>
        <row r="211">
          <cell r="D211">
            <v>2018</v>
          </cell>
          <cell r="G211">
            <v>11192</v>
          </cell>
          <cell r="H211">
            <v>2523</v>
          </cell>
        </row>
        <row r="212">
          <cell r="D212">
            <v>2019</v>
          </cell>
          <cell r="G212">
            <v>525</v>
          </cell>
          <cell r="H212">
            <v>665</v>
          </cell>
        </row>
        <row r="213">
          <cell r="D213">
            <v>2020</v>
          </cell>
          <cell r="G213">
            <v>5470</v>
          </cell>
          <cell r="H213">
            <v>871</v>
          </cell>
        </row>
        <row r="214">
          <cell r="D214">
            <v>2021</v>
          </cell>
          <cell r="G214">
            <v>3271</v>
          </cell>
          <cell r="H214">
            <v>2089</v>
          </cell>
        </row>
        <row r="215">
          <cell r="D215">
            <v>2022</v>
          </cell>
          <cell r="G215">
            <v>6219</v>
          </cell>
          <cell r="H215">
            <v>879</v>
          </cell>
        </row>
        <row r="216">
          <cell r="D216">
            <v>2023</v>
          </cell>
          <cell r="G216">
            <v>10161</v>
          </cell>
          <cell r="H216">
            <v>2471</v>
          </cell>
        </row>
        <row r="217">
          <cell r="D217">
            <v>2024</v>
          </cell>
          <cell r="G217">
            <v>12479</v>
          </cell>
          <cell r="H217">
            <v>213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B71F-741B-4184-8EC3-AC90C678BFAC}">
  <dimension ref="A1:W262"/>
  <sheetViews>
    <sheetView tabSelected="1" topLeftCell="A114" workbookViewId="0">
      <selection activeCell="P67" sqref="P67"/>
    </sheetView>
  </sheetViews>
  <sheetFormatPr defaultRowHeight="15" x14ac:dyDescent="0.25"/>
  <cols>
    <col min="17" max="17" width="10.5703125" bestFit="1" customWidth="1"/>
  </cols>
  <sheetData>
    <row r="1" spans="1:19" x14ac:dyDescent="0.25">
      <c r="A1" t="s">
        <v>0</v>
      </c>
      <c r="B1" t="s">
        <v>1</v>
      </c>
    </row>
    <row r="2" spans="1:19" x14ac:dyDescent="0.25">
      <c r="B2" s="1"/>
      <c r="C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B3" s="1"/>
      <c r="C3" s="1" t="s">
        <v>2</v>
      </c>
    </row>
    <row r="4" spans="1:19" x14ac:dyDescent="0.25">
      <c r="B4" s="1" t="s">
        <v>3</v>
      </c>
      <c r="C4" s="1" t="s">
        <v>4</v>
      </c>
      <c r="D4" t="s">
        <v>5</v>
      </c>
    </row>
    <row r="5" spans="1:19" x14ac:dyDescent="0.25">
      <c r="B5">
        <v>1952</v>
      </c>
      <c r="C5">
        <v>62653</v>
      </c>
      <c r="D5">
        <f t="shared" ref="D5:D68" si="0">LN(C5)</f>
        <v>11.045366844253579</v>
      </c>
    </row>
    <row r="6" spans="1:19" x14ac:dyDescent="0.25">
      <c r="B6">
        <v>1953</v>
      </c>
      <c r="C6">
        <v>37449</v>
      </c>
      <c r="D6">
        <f t="shared" si="0"/>
        <v>10.53073528631916</v>
      </c>
    </row>
    <row r="7" spans="1:19" x14ac:dyDescent="0.25">
      <c r="B7">
        <v>1954</v>
      </c>
      <c r="C7">
        <v>42435</v>
      </c>
      <c r="D7">
        <f t="shared" si="0"/>
        <v>10.655728772403778</v>
      </c>
    </row>
    <row r="8" spans="1:19" x14ac:dyDescent="0.25">
      <c r="B8">
        <v>1955</v>
      </c>
      <c r="C8">
        <v>40631</v>
      </c>
      <c r="D8">
        <f t="shared" si="0"/>
        <v>10.612286601034295</v>
      </c>
    </row>
    <row r="9" spans="1:19" ht="15.75" thickBot="1" x14ac:dyDescent="0.3">
      <c r="B9">
        <v>1956</v>
      </c>
      <c r="C9">
        <v>59176</v>
      </c>
      <c r="D9" s="3">
        <f t="shared" si="0"/>
        <v>10.988271333267704</v>
      </c>
      <c r="E9" s="3"/>
      <c r="F9" s="3"/>
      <c r="G9" s="3"/>
      <c r="H9" s="3"/>
      <c r="I9" s="3"/>
      <c r="J9" s="3"/>
      <c r="K9" s="3"/>
    </row>
    <row r="10" spans="1:19" x14ac:dyDescent="0.25">
      <c r="B10">
        <v>1957</v>
      </c>
      <c r="C10">
        <v>35526</v>
      </c>
      <c r="D10">
        <f t="shared" si="0"/>
        <v>10.478020101759832</v>
      </c>
    </row>
    <row r="11" spans="1:19" x14ac:dyDescent="0.25">
      <c r="B11">
        <v>1958</v>
      </c>
      <c r="C11">
        <v>40810</v>
      </c>
      <c r="D11">
        <f t="shared" si="0"/>
        <v>10.616682428399852</v>
      </c>
    </row>
    <row r="12" spans="1:19" x14ac:dyDescent="0.25">
      <c r="B12">
        <v>1959</v>
      </c>
      <c r="C12">
        <v>63790</v>
      </c>
      <c r="D12">
        <f t="shared" si="0"/>
        <v>11.063351717236001</v>
      </c>
    </row>
    <row r="13" spans="1:19" x14ac:dyDescent="0.25">
      <c r="B13">
        <v>1960</v>
      </c>
      <c r="C13">
        <v>25425</v>
      </c>
      <c r="D13">
        <f t="shared" si="0"/>
        <v>10.14348822091676</v>
      </c>
    </row>
    <row r="14" spans="1:19" x14ac:dyDescent="0.25">
      <c r="B14">
        <v>1961</v>
      </c>
      <c r="C14">
        <v>28760</v>
      </c>
      <c r="D14">
        <f t="shared" si="0"/>
        <v>10.266740811834984</v>
      </c>
    </row>
    <row r="15" spans="1:19" x14ac:dyDescent="0.25">
      <c r="B15">
        <v>1962</v>
      </c>
      <c r="C15">
        <v>24602</v>
      </c>
      <c r="D15">
        <f t="shared" si="0"/>
        <v>10.110583019428731</v>
      </c>
    </row>
    <row r="16" spans="1:19" x14ac:dyDescent="0.25">
      <c r="B16">
        <v>1963</v>
      </c>
      <c r="C16">
        <v>21010</v>
      </c>
      <c r="D16">
        <f t="shared" si="0"/>
        <v>9.9527537938390456</v>
      </c>
    </row>
    <row r="17" spans="2:12" x14ac:dyDescent="0.25">
      <c r="B17">
        <v>1964</v>
      </c>
      <c r="C17">
        <v>17944</v>
      </c>
      <c r="D17">
        <f t="shared" si="0"/>
        <v>9.7950110762000442</v>
      </c>
    </row>
    <row r="18" spans="2:12" x14ac:dyDescent="0.25">
      <c r="B18">
        <v>1965</v>
      </c>
      <c r="C18">
        <v>24308</v>
      </c>
      <c r="D18">
        <f t="shared" si="0"/>
        <v>10.098560793255245</v>
      </c>
    </row>
    <row r="19" spans="2:12" x14ac:dyDescent="0.25">
      <c r="B19">
        <v>1966</v>
      </c>
      <c r="C19">
        <v>39740</v>
      </c>
      <c r="D19">
        <f t="shared" si="0"/>
        <v>10.590113516105808</v>
      </c>
    </row>
    <row r="20" spans="2:12" x14ac:dyDescent="0.25">
      <c r="B20">
        <v>1967</v>
      </c>
      <c r="C20">
        <v>12152</v>
      </c>
      <c r="D20">
        <f t="shared" si="0"/>
        <v>9.4052490442756085</v>
      </c>
    </row>
    <row r="21" spans="2:12" x14ac:dyDescent="0.25">
      <c r="B21">
        <v>1968</v>
      </c>
      <c r="C21">
        <v>41065</v>
      </c>
      <c r="D21" s="4">
        <f t="shared" si="0"/>
        <v>10.622911456174293</v>
      </c>
      <c r="E21" s="4"/>
      <c r="F21" s="4"/>
      <c r="G21" s="4"/>
      <c r="H21" s="4"/>
      <c r="I21" s="4"/>
      <c r="J21" s="4"/>
      <c r="K21" s="4"/>
      <c r="L21" s="2"/>
    </row>
    <row r="22" spans="2:12" x14ac:dyDescent="0.25">
      <c r="B22">
        <v>1969</v>
      </c>
      <c r="C22">
        <v>27547</v>
      </c>
      <c r="D22">
        <f t="shared" si="0"/>
        <v>10.223648915729836</v>
      </c>
    </row>
    <row r="23" spans="2:12" x14ac:dyDescent="0.25">
      <c r="B23">
        <v>1970</v>
      </c>
      <c r="C23">
        <v>22206</v>
      </c>
      <c r="D23">
        <f t="shared" si="0"/>
        <v>10.008117801614212</v>
      </c>
    </row>
    <row r="24" spans="2:12" x14ac:dyDescent="0.25">
      <c r="B24">
        <v>1971</v>
      </c>
      <c r="C24">
        <v>11060</v>
      </c>
      <c r="D24">
        <f t="shared" si="0"/>
        <v>9.3110902750763263</v>
      </c>
    </row>
    <row r="25" spans="2:12" x14ac:dyDescent="0.25">
      <c r="B25">
        <v>1972</v>
      </c>
      <c r="C25">
        <v>102664</v>
      </c>
      <c r="D25">
        <f t="shared" si="0"/>
        <v>11.539216798924297</v>
      </c>
    </row>
    <row r="26" spans="2:12" x14ac:dyDescent="0.25">
      <c r="B26">
        <v>1973</v>
      </c>
      <c r="C26">
        <v>15727</v>
      </c>
      <c r="D26">
        <f t="shared" si="0"/>
        <v>9.6631342594907252</v>
      </c>
    </row>
    <row r="27" spans="2:12" x14ac:dyDescent="0.25">
      <c r="B27">
        <v>1974</v>
      </c>
      <c r="C27">
        <v>12043</v>
      </c>
      <c r="D27">
        <f t="shared" si="0"/>
        <v>9.3962388572604798</v>
      </c>
    </row>
    <row r="28" spans="2:12" x14ac:dyDescent="0.25">
      <c r="B28">
        <v>1975</v>
      </c>
      <c r="C28">
        <v>10180</v>
      </c>
      <c r="D28">
        <f t="shared" si="0"/>
        <v>9.2281802901045129</v>
      </c>
    </row>
    <row r="29" spans="2:12" x14ac:dyDescent="0.25">
      <c r="B29">
        <v>1976</v>
      </c>
      <c r="C29">
        <v>59753</v>
      </c>
      <c r="D29">
        <f t="shared" si="0"/>
        <v>10.997974677738338</v>
      </c>
    </row>
    <row r="30" spans="2:12" x14ac:dyDescent="0.25">
      <c r="B30">
        <v>1977</v>
      </c>
      <c r="C30">
        <v>2583</v>
      </c>
      <c r="D30">
        <f t="shared" si="0"/>
        <v>7.8567067930958405</v>
      </c>
    </row>
    <row r="31" spans="2:12" x14ac:dyDescent="0.25">
      <c r="B31">
        <v>1978</v>
      </c>
      <c r="C31">
        <v>19271</v>
      </c>
      <c r="D31">
        <f t="shared" si="0"/>
        <v>9.8663566541979204</v>
      </c>
    </row>
    <row r="32" spans="2:12" x14ac:dyDescent="0.25">
      <c r="B32">
        <v>1979</v>
      </c>
      <c r="C32">
        <v>6164</v>
      </c>
      <c r="D32">
        <f t="shared" si="0"/>
        <v>8.7264811964400071</v>
      </c>
    </row>
    <row r="33" spans="2:4" x14ac:dyDescent="0.25">
      <c r="B33">
        <v>1980</v>
      </c>
      <c r="C33">
        <v>19616</v>
      </c>
      <c r="D33">
        <f t="shared" si="0"/>
        <v>9.8841008387359377</v>
      </c>
    </row>
    <row r="34" spans="2:4" x14ac:dyDescent="0.25">
      <c r="B34">
        <v>1981</v>
      </c>
      <c r="C34">
        <v>4312</v>
      </c>
      <c r="D34">
        <f t="shared" si="0"/>
        <v>8.3691571125888338</v>
      </c>
    </row>
    <row r="35" spans="2:4" x14ac:dyDescent="0.25">
      <c r="B35">
        <v>1982</v>
      </c>
      <c r="C35">
        <v>15077</v>
      </c>
      <c r="D35">
        <f t="shared" si="0"/>
        <v>9.6209256827789194</v>
      </c>
    </row>
    <row r="36" spans="2:4" x14ac:dyDescent="0.25">
      <c r="B36">
        <v>1983</v>
      </c>
      <c r="C36">
        <v>8925</v>
      </c>
      <c r="D36">
        <f t="shared" si="0"/>
        <v>9.0966116066478406</v>
      </c>
    </row>
    <row r="37" spans="2:4" x14ac:dyDescent="0.25">
      <c r="B37">
        <v>1984</v>
      </c>
      <c r="C37">
        <v>49712</v>
      </c>
      <c r="D37">
        <f t="shared" si="0"/>
        <v>10.814001631632829</v>
      </c>
    </row>
    <row r="38" spans="2:4" x14ac:dyDescent="0.25">
      <c r="B38">
        <v>1985</v>
      </c>
      <c r="C38">
        <v>11150</v>
      </c>
      <c r="D38">
        <f t="shared" si="0"/>
        <v>9.3191947768882653</v>
      </c>
    </row>
    <row r="39" spans="2:4" x14ac:dyDescent="0.25">
      <c r="B39">
        <v>1986</v>
      </c>
      <c r="C39">
        <v>3791</v>
      </c>
      <c r="D39">
        <f t="shared" si="0"/>
        <v>8.2403851155163341</v>
      </c>
    </row>
    <row r="40" spans="2:4" x14ac:dyDescent="0.25">
      <c r="B40">
        <v>1987</v>
      </c>
      <c r="C40">
        <v>4441</v>
      </c>
      <c r="D40">
        <f t="shared" si="0"/>
        <v>8.3986348552921015</v>
      </c>
    </row>
    <row r="41" spans="2:4" x14ac:dyDescent="0.25">
      <c r="B41">
        <v>1988</v>
      </c>
      <c r="C41">
        <v>35407</v>
      </c>
      <c r="D41">
        <f t="shared" si="0"/>
        <v>10.474664819686861</v>
      </c>
    </row>
    <row r="42" spans="2:4" x14ac:dyDescent="0.25">
      <c r="B42">
        <v>1989</v>
      </c>
      <c r="C42">
        <v>16868</v>
      </c>
      <c r="D42">
        <f t="shared" si="0"/>
        <v>9.7331736148664501</v>
      </c>
    </row>
    <row r="43" spans="2:4" x14ac:dyDescent="0.25">
      <c r="B43">
        <v>1990</v>
      </c>
      <c r="C43">
        <v>4606</v>
      </c>
      <c r="D43">
        <f t="shared" si="0"/>
        <v>8.4351150803806298</v>
      </c>
    </row>
    <row r="44" spans="2:4" x14ac:dyDescent="0.25">
      <c r="B44">
        <v>1991</v>
      </c>
      <c r="C44">
        <v>1510</v>
      </c>
      <c r="D44">
        <f t="shared" si="0"/>
        <v>7.3198649298089702</v>
      </c>
    </row>
    <row r="45" spans="2:4" x14ac:dyDescent="0.25">
      <c r="B45">
        <v>1992</v>
      </c>
      <c r="C45">
        <v>44211</v>
      </c>
      <c r="D45">
        <f t="shared" si="0"/>
        <v>10.696728905881372</v>
      </c>
    </row>
    <row r="46" spans="2:4" x14ac:dyDescent="0.25">
      <c r="B46">
        <v>1993</v>
      </c>
      <c r="C46">
        <v>15749</v>
      </c>
      <c r="D46">
        <f t="shared" si="0"/>
        <v>9.6645321501745816</v>
      </c>
    </row>
    <row r="47" spans="2:4" x14ac:dyDescent="0.25">
      <c r="B47">
        <v>1994</v>
      </c>
      <c r="C47">
        <v>5855</v>
      </c>
      <c r="D47">
        <f t="shared" si="0"/>
        <v>8.6750512760318177</v>
      </c>
    </row>
    <row r="48" spans="2:4" x14ac:dyDescent="0.25">
      <c r="B48">
        <v>1995</v>
      </c>
      <c r="C48">
        <v>1848</v>
      </c>
      <c r="D48">
        <f t="shared" si="0"/>
        <v>7.5218592522016294</v>
      </c>
    </row>
    <row r="49" spans="2:4" x14ac:dyDescent="0.25">
      <c r="B49">
        <v>1996</v>
      </c>
      <c r="C49">
        <v>65906</v>
      </c>
      <c r="D49">
        <f t="shared" si="0"/>
        <v>11.09598476338704</v>
      </c>
    </row>
    <row r="50" spans="2:4" x14ac:dyDescent="0.25">
      <c r="B50">
        <v>1997</v>
      </c>
      <c r="C50">
        <v>24410</v>
      </c>
      <c r="D50">
        <f t="shared" si="0"/>
        <v>10.102748163387005</v>
      </c>
    </row>
    <row r="51" spans="2:4" x14ac:dyDescent="0.25">
      <c r="B51">
        <v>1998</v>
      </c>
      <c r="C51">
        <v>15571</v>
      </c>
      <c r="D51">
        <f t="shared" si="0"/>
        <v>9.6531654888414256</v>
      </c>
    </row>
    <row r="52" spans="2:4" x14ac:dyDescent="0.25">
      <c r="B52">
        <v>1999</v>
      </c>
      <c r="C52">
        <v>47468</v>
      </c>
      <c r="D52">
        <f t="shared" si="0"/>
        <v>10.76781107878503</v>
      </c>
    </row>
    <row r="53" spans="2:4" x14ac:dyDescent="0.25">
      <c r="B53">
        <v>2000</v>
      </c>
      <c r="C53">
        <v>93799</v>
      </c>
      <c r="D53">
        <f t="shared" si="0"/>
        <v>11.448909473956677</v>
      </c>
    </row>
    <row r="54" spans="2:4" x14ac:dyDescent="0.25">
      <c r="B54">
        <v>2001</v>
      </c>
      <c r="C54">
        <v>48675</v>
      </c>
      <c r="D54">
        <f t="shared" si="0"/>
        <v>10.7929208302404</v>
      </c>
    </row>
    <row r="55" spans="2:4" x14ac:dyDescent="0.25">
      <c r="B55">
        <v>2002</v>
      </c>
      <c r="C55">
        <v>30278</v>
      </c>
      <c r="D55">
        <f t="shared" si="0"/>
        <v>10.318176655171824</v>
      </c>
    </row>
    <row r="56" spans="2:4" x14ac:dyDescent="0.25">
      <c r="B56">
        <v>2003</v>
      </c>
      <c r="C56">
        <v>37804</v>
      </c>
      <c r="D56">
        <f t="shared" si="0"/>
        <v>10.540170196114946</v>
      </c>
    </row>
    <row r="57" spans="2:4" x14ac:dyDescent="0.25">
      <c r="B57">
        <v>2004</v>
      </c>
      <c r="C57">
        <v>142932</v>
      </c>
      <c r="D57">
        <f t="shared" si="0"/>
        <v>11.870124271668901</v>
      </c>
    </row>
    <row r="58" spans="2:4" x14ac:dyDescent="0.25">
      <c r="B58">
        <v>2005</v>
      </c>
      <c r="C58">
        <v>87357</v>
      </c>
      <c r="D58">
        <f t="shared" si="0"/>
        <v>11.377758449729738</v>
      </c>
    </row>
    <row r="59" spans="2:4" x14ac:dyDescent="0.25">
      <c r="B59">
        <v>2006</v>
      </c>
      <c r="C59">
        <v>37794</v>
      </c>
      <c r="D59">
        <f t="shared" si="0"/>
        <v>10.539905638849984</v>
      </c>
    </row>
    <row r="60" spans="2:4" x14ac:dyDescent="0.25">
      <c r="B60">
        <v>2007</v>
      </c>
      <c r="C60">
        <v>25240</v>
      </c>
      <c r="D60">
        <f t="shared" si="0"/>
        <v>10.136185316655149</v>
      </c>
    </row>
    <row r="61" spans="2:4" x14ac:dyDescent="0.25">
      <c r="B61">
        <v>2008</v>
      </c>
      <c r="C61">
        <v>47043</v>
      </c>
      <c r="D61">
        <f t="shared" si="0"/>
        <v>10.758817356049141</v>
      </c>
    </row>
    <row r="62" spans="2:4" x14ac:dyDescent="0.25">
      <c r="B62">
        <v>2009</v>
      </c>
      <c r="C62">
        <v>16990</v>
      </c>
      <c r="D62">
        <f t="shared" si="0"/>
        <v>9.7403802146659775</v>
      </c>
    </row>
    <row r="63" spans="2:4" x14ac:dyDescent="0.25">
      <c r="B63">
        <v>2010</v>
      </c>
      <c r="C63">
        <v>10805</v>
      </c>
      <c r="D63">
        <f t="shared" si="0"/>
        <v>9.2877642689409861</v>
      </c>
    </row>
    <row r="64" spans="2:4" x14ac:dyDescent="0.25">
      <c r="B64">
        <v>2011</v>
      </c>
      <c r="C64">
        <v>16224</v>
      </c>
      <c r="D64">
        <f t="shared" si="0"/>
        <v>9.6942469063909105</v>
      </c>
    </row>
    <row r="65" spans="2:4" x14ac:dyDescent="0.25">
      <c r="B65">
        <v>2012</v>
      </c>
      <c r="C65">
        <v>20383</v>
      </c>
      <c r="D65">
        <f t="shared" si="0"/>
        <v>9.9224564990837312</v>
      </c>
    </row>
    <row r="66" spans="2:4" x14ac:dyDescent="0.25">
      <c r="B66">
        <v>2013</v>
      </c>
      <c r="C66">
        <v>25854</v>
      </c>
      <c r="D66">
        <f t="shared" si="0"/>
        <v>10.160220606843893</v>
      </c>
    </row>
    <row r="67" spans="2:4" x14ac:dyDescent="0.25">
      <c r="B67">
        <v>2014</v>
      </c>
      <c r="C67">
        <v>54236</v>
      </c>
      <c r="D67">
        <f t="shared" si="0"/>
        <v>10.901100173582201</v>
      </c>
    </row>
    <row r="68" spans="2:4" x14ac:dyDescent="0.25">
      <c r="B68">
        <v>2015</v>
      </c>
      <c r="C68">
        <v>24500</v>
      </c>
      <c r="D68">
        <f t="shared" si="0"/>
        <v>10.106428396532818</v>
      </c>
    </row>
    <row r="69" spans="2:4" s="4" customFormat="1" x14ac:dyDescent="0.25">
      <c r="B69" s="4">
        <v>2016</v>
      </c>
      <c r="C69" s="4">
        <v>22126</v>
      </c>
      <c r="D69" s="4">
        <f t="shared" ref="D69:D77" si="1">LN(C69)</f>
        <v>10.004508666594857</v>
      </c>
    </row>
    <row r="70" spans="2:4" s="4" customFormat="1" x14ac:dyDescent="0.25">
      <c r="B70" s="4">
        <v>2017</v>
      </c>
      <c r="C70" s="4">
        <v>7295</v>
      </c>
      <c r="D70" s="4">
        <f t="shared" si="1"/>
        <v>8.8949444609568857</v>
      </c>
    </row>
    <row r="71" spans="2:4" s="4" customFormat="1" x14ac:dyDescent="0.25">
      <c r="B71" s="4">
        <v>2018</v>
      </c>
      <c r="C71" s="4">
        <v>13715</v>
      </c>
      <c r="D71" s="4">
        <f t="shared" si="1"/>
        <v>9.5262454033717034</v>
      </c>
    </row>
    <row r="72" spans="2:4" s="4" customFormat="1" x14ac:dyDescent="0.25">
      <c r="B72" s="4">
        <v>2019</v>
      </c>
      <c r="C72" s="4">
        <v>1190</v>
      </c>
      <c r="D72" s="4">
        <f t="shared" si="1"/>
        <v>7.0817085861055746</v>
      </c>
    </row>
    <row r="73" spans="2:4" s="4" customFormat="1" x14ac:dyDescent="0.25">
      <c r="B73" s="4">
        <v>2020</v>
      </c>
      <c r="C73" s="4">
        <v>6318</v>
      </c>
      <c r="D73" s="4">
        <f t="shared" si="1"/>
        <v>8.7511579813620308</v>
      </c>
    </row>
    <row r="74" spans="2:4" x14ac:dyDescent="0.25">
      <c r="B74">
        <v>2021</v>
      </c>
      <c r="C74">
        <v>5502</v>
      </c>
      <c r="D74">
        <f t="shared" si="1"/>
        <v>8.6128669414845191</v>
      </c>
    </row>
    <row r="75" spans="2:4" x14ac:dyDescent="0.25">
      <c r="B75">
        <v>2022</v>
      </c>
      <c r="C75">
        <v>7133</v>
      </c>
      <c r="D75">
        <f t="shared" si="1"/>
        <v>8.8724871822780376</v>
      </c>
    </row>
    <row r="76" spans="2:4" x14ac:dyDescent="0.25">
      <c r="B76">
        <v>2023</v>
      </c>
      <c r="C76">
        <v>12632</v>
      </c>
      <c r="D76">
        <f t="shared" si="1"/>
        <v>9.4439885559354781</v>
      </c>
    </row>
    <row r="77" spans="2:4" x14ac:dyDescent="0.25">
      <c r="B77">
        <v>2024</v>
      </c>
      <c r="C77">
        <v>13119</v>
      </c>
      <c r="D77">
        <f t="shared" si="1"/>
        <v>9.4818168400810308</v>
      </c>
    </row>
    <row r="101" spans="11:20" x14ac:dyDescent="0.25">
      <c r="K101" t="s">
        <v>6</v>
      </c>
    </row>
    <row r="102" spans="11:20" x14ac:dyDescent="0.25">
      <c r="K102" t="s">
        <v>7</v>
      </c>
      <c r="N102" t="s">
        <v>8</v>
      </c>
    </row>
    <row r="103" spans="11:20" x14ac:dyDescent="0.25">
      <c r="K103" t="s">
        <v>9</v>
      </c>
    </row>
    <row r="104" spans="11:20" x14ac:dyDescent="0.25">
      <c r="K104" t="s">
        <v>10</v>
      </c>
    </row>
    <row r="105" spans="11:20" x14ac:dyDescent="0.25">
      <c r="L105" t="s">
        <v>11</v>
      </c>
    </row>
    <row r="107" spans="11:20" x14ac:dyDescent="0.25">
      <c r="K107" t="s">
        <v>12</v>
      </c>
      <c r="R107" t="s">
        <v>13</v>
      </c>
      <c r="S107" t="s">
        <v>14</v>
      </c>
    </row>
    <row r="108" spans="11:20" x14ac:dyDescent="0.25">
      <c r="L108">
        <v>9.4440000000000008</v>
      </c>
      <c r="M108">
        <v>-0.10199999999999999</v>
      </c>
      <c r="N108" t="s">
        <v>15</v>
      </c>
      <c r="O108">
        <f>SUM(L108:M108)</f>
        <v>9.3420000000000005</v>
      </c>
      <c r="P108" t="s">
        <v>16</v>
      </c>
      <c r="R108" s="5">
        <f>EXP(O108)</f>
        <v>11407.199840665271</v>
      </c>
      <c r="S108">
        <v>13119</v>
      </c>
      <c r="T108">
        <f>LN(S108)</f>
        <v>9.4818168400810308</v>
      </c>
    </row>
    <row r="109" spans="11:20" x14ac:dyDescent="0.25">
      <c r="K109" t="s">
        <v>17</v>
      </c>
      <c r="P109" s="6"/>
    </row>
    <row r="110" spans="11:20" x14ac:dyDescent="0.25">
      <c r="L110" t="s">
        <v>18</v>
      </c>
    </row>
    <row r="122" spans="11:20" x14ac:dyDescent="0.25">
      <c r="K122" t="s">
        <v>19</v>
      </c>
    </row>
    <row r="124" spans="11:20" x14ac:dyDescent="0.25">
      <c r="K124" t="s">
        <v>20</v>
      </c>
      <c r="O124" t="s">
        <v>21</v>
      </c>
    </row>
    <row r="125" spans="11:20" x14ac:dyDescent="0.25">
      <c r="K125" t="s">
        <v>22</v>
      </c>
      <c r="O125">
        <v>9.48</v>
      </c>
      <c r="P125">
        <v>-1.1100000000000001</v>
      </c>
      <c r="Q125" t="s">
        <v>15</v>
      </c>
      <c r="R125">
        <f>O125+P125</f>
        <v>8.370000000000001</v>
      </c>
      <c r="S125" s="6">
        <f>EXP(R125)</f>
        <v>4315.6360626974201</v>
      </c>
      <c r="T125" t="s">
        <v>23</v>
      </c>
    </row>
    <row r="126" spans="11:20" x14ac:dyDescent="0.25">
      <c r="T126" t="s">
        <v>24</v>
      </c>
    </row>
    <row r="127" spans="11:20" x14ac:dyDescent="0.25">
      <c r="K127" t="s">
        <v>25</v>
      </c>
    </row>
    <row r="128" spans="11:20" x14ac:dyDescent="0.25">
      <c r="L128" t="s">
        <v>26</v>
      </c>
    </row>
    <row r="129" spans="1:23" x14ac:dyDescent="0.25">
      <c r="O129">
        <v>9.48</v>
      </c>
      <c r="P129">
        <v>0.14699999999999999</v>
      </c>
      <c r="Q129" t="s">
        <v>15</v>
      </c>
      <c r="R129">
        <f>O129+P129</f>
        <v>9.6270000000000007</v>
      </c>
      <c r="S129" s="6">
        <f>EXP(R129)</f>
        <v>15168.861195310006</v>
      </c>
      <c r="U129" t="s">
        <v>27</v>
      </c>
    </row>
    <row r="131" spans="1:23" x14ac:dyDescent="0.25">
      <c r="K131" t="s">
        <v>28</v>
      </c>
    </row>
    <row r="133" spans="1:23" x14ac:dyDescent="0.25">
      <c r="K133" t="s">
        <v>29</v>
      </c>
      <c r="P133">
        <v>10.010999999999999</v>
      </c>
    </row>
    <row r="134" spans="1:23" x14ac:dyDescent="0.25">
      <c r="K134" t="s">
        <v>30</v>
      </c>
      <c r="P134">
        <v>9.032</v>
      </c>
    </row>
    <row r="135" spans="1:23" ht="15.75" thickBot="1" x14ac:dyDescent="0.3"/>
    <row r="136" spans="1:23" x14ac:dyDescent="0.25">
      <c r="K136" s="7" t="s">
        <v>31</v>
      </c>
      <c r="L136" s="8"/>
      <c r="M136" s="8"/>
      <c r="N136" s="8"/>
      <c r="O136" s="8"/>
      <c r="P136" s="8"/>
      <c r="Q136" s="8"/>
      <c r="R136" s="8">
        <v>9.032</v>
      </c>
      <c r="S136" s="9">
        <f>EXP(R136)</f>
        <v>8366.5760021781371</v>
      </c>
      <c r="T136" t="s">
        <v>32</v>
      </c>
      <c r="U136" t="s">
        <v>33</v>
      </c>
      <c r="W136" s="5">
        <f>AVERAGE(C76:C77)</f>
        <v>12875.5</v>
      </c>
    </row>
    <row r="137" spans="1:23" ht="15.75" thickBot="1" x14ac:dyDescent="0.3">
      <c r="C137" t="s">
        <v>34</v>
      </c>
      <c r="D137">
        <v>221.44</v>
      </c>
      <c r="E137">
        <v>-0.1051</v>
      </c>
      <c r="G137" t="s">
        <v>35</v>
      </c>
      <c r="K137" s="10"/>
      <c r="L137" s="3" t="s">
        <v>36</v>
      </c>
      <c r="M137" s="3"/>
      <c r="N137" s="3"/>
      <c r="O137" s="3"/>
      <c r="P137" s="3"/>
      <c r="Q137" s="3"/>
      <c r="R137" s="3"/>
      <c r="S137" s="11"/>
    </row>
    <row r="143" spans="1:23" x14ac:dyDescent="0.25">
      <c r="B143" t="s">
        <v>37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5</v>
      </c>
      <c r="J143" t="s">
        <v>44</v>
      </c>
    </row>
    <row r="144" spans="1:23" x14ac:dyDescent="0.25">
      <c r="A144">
        <v>223</v>
      </c>
      <c r="B144" t="s">
        <v>45</v>
      </c>
      <c r="C144" t="s">
        <v>1</v>
      </c>
      <c r="D144">
        <v>1951</v>
      </c>
      <c r="E144">
        <v>0</v>
      </c>
      <c r="F144">
        <v>0</v>
      </c>
      <c r="G144">
        <v>0</v>
      </c>
      <c r="H144">
        <v>0</v>
      </c>
    </row>
    <row r="145" spans="1:10" x14ac:dyDescent="0.25">
      <c r="A145">
        <v>224</v>
      </c>
      <c r="B145" t="s">
        <v>45</v>
      </c>
      <c r="C145" t="s">
        <v>1</v>
      </c>
      <c r="D145">
        <v>1952</v>
      </c>
      <c r="E145">
        <v>62653</v>
      </c>
      <c r="F145">
        <v>0</v>
      </c>
      <c r="G145">
        <v>62653</v>
      </c>
      <c r="H145">
        <v>0</v>
      </c>
      <c r="I145">
        <f>LN(E145)</f>
        <v>11.045366844253579</v>
      </c>
      <c r="J145" t="e">
        <f>LN(H145/G144)</f>
        <v>#DIV/0!</v>
      </c>
    </row>
    <row r="146" spans="1:10" x14ac:dyDescent="0.25">
      <c r="A146">
        <v>225</v>
      </c>
      <c r="B146" t="s">
        <v>45</v>
      </c>
      <c r="C146" t="s">
        <v>1</v>
      </c>
      <c r="D146">
        <v>1953</v>
      </c>
      <c r="E146">
        <v>37449</v>
      </c>
      <c r="F146">
        <v>17</v>
      </c>
      <c r="G146">
        <v>36748</v>
      </c>
      <c r="H146">
        <v>684</v>
      </c>
      <c r="I146">
        <f t="shared" ref="I146:I209" si="2">LN(E146)</f>
        <v>10.53073528631916</v>
      </c>
      <c r="J146">
        <f t="shared" ref="J146:J209" si="3">LN(H146/G145)</f>
        <v>-4.5174089266310284</v>
      </c>
    </row>
    <row r="147" spans="1:10" x14ac:dyDescent="0.25">
      <c r="A147">
        <v>226</v>
      </c>
      <c r="B147" t="s">
        <v>45</v>
      </c>
      <c r="C147" t="s">
        <v>1</v>
      </c>
      <c r="D147">
        <v>1954</v>
      </c>
      <c r="E147">
        <v>42435</v>
      </c>
      <c r="F147">
        <v>8</v>
      </c>
      <c r="G147">
        <v>39549</v>
      </c>
      <c r="H147">
        <v>2878</v>
      </c>
      <c r="I147">
        <f t="shared" si="2"/>
        <v>10.655728772403778</v>
      </c>
      <c r="J147">
        <f t="shared" si="3"/>
        <v>-2.5469881939440442</v>
      </c>
    </row>
    <row r="148" spans="1:10" x14ac:dyDescent="0.25">
      <c r="A148">
        <v>227</v>
      </c>
      <c r="B148" t="s">
        <v>45</v>
      </c>
      <c r="C148" t="s">
        <v>1</v>
      </c>
      <c r="D148">
        <v>1955</v>
      </c>
      <c r="E148">
        <v>40631</v>
      </c>
      <c r="F148">
        <v>5</v>
      </c>
      <c r="G148">
        <v>34636</v>
      </c>
      <c r="H148">
        <v>5990</v>
      </c>
      <c r="I148">
        <f t="shared" si="2"/>
        <v>10.612286601034295</v>
      </c>
      <c r="J148">
        <f t="shared" si="3"/>
        <v>-1.8874489973165847</v>
      </c>
    </row>
    <row r="149" spans="1:10" x14ac:dyDescent="0.25">
      <c r="A149">
        <v>228</v>
      </c>
      <c r="B149" t="s">
        <v>45</v>
      </c>
      <c r="C149" t="s">
        <v>1</v>
      </c>
      <c r="D149">
        <v>1956</v>
      </c>
      <c r="E149">
        <v>59176</v>
      </c>
      <c r="F149">
        <v>0</v>
      </c>
      <c r="G149">
        <v>46167</v>
      </c>
      <c r="H149">
        <v>13009</v>
      </c>
      <c r="I149">
        <f t="shared" si="2"/>
        <v>10.988271333267704</v>
      </c>
      <c r="J149">
        <f t="shared" si="3"/>
        <v>-0.97925217796613284</v>
      </c>
    </row>
    <row r="150" spans="1:10" x14ac:dyDescent="0.25">
      <c r="A150">
        <v>229</v>
      </c>
      <c r="B150" t="s">
        <v>45</v>
      </c>
      <c r="C150" t="s">
        <v>1</v>
      </c>
      <c r="D150">
        <v>1957</v>
      </c>
      <c r="E150">
        <v>35526</v>
      </c>
      <c r="F150">
        <v>231</v>
      </c>
      <c r="G150">
        <v>30285</v>
      </c>
      <c r="H150">
        <v>5010</v>
      </c>
      <c r="I150">
        <f t="shared" si="2"/>
        <v>10.478020101759832</v>
      </c>
      <c r="J150">
        <f t="shared" si="3"/>
        <v>-2.2208293420530509</v>
      </c>
    </row>
    <row r="151" spans="1:10" x14ac:dyDescent="0.25">
      <c r="A151">
        <v>230</v>
      </c>
      <c r="B151" t="s">
        <v>45</v>
      </c>
      <c r="C151" t="s">
        <v>1</v>
      </c>
      <c r="D151">
        <v>1958</v>
      </c>
      <c r="E151">
        <v>40810</v>
      </c>
      <c r="F151">
        <v>7</v>
      </c>
      <c r="G151">
        <v>38964</v>
      </c>
      <c r="H151">
        <v>1839</v>
      </c>
      <c r="I151">
        <f t="shared" si="2"/>
        <v>10.616682428399852</v>
      </c>
      <c r="J151">
        <f t="shared" si="3"/>
        <v>-2.8014305948107263</v>
      </c>
    </row>
    <row r="152" spans="1:10" x14ac:dyDescent="0.25">
      <c r="A152">
        <v>231</v>
      </c>
      <c r="B152" t="s">
        <v>45</v>
      </c>
      <c r="C152" t="s">
        <v>1</v>
      </c>
      <c r="D152">
        <v>1959</v>
      </c>
      <c r="E152">
        <v>63790</v>
      </c>
      <c r="F152">
        <v>0</v>
      </c>
      <c r="G152">
        <v>52497</v>
      </c>
      <c r="H152">
        <v>11293</v>
      </c>
      <c r="I152">
        <f t="shared" si="2"/>
        <v>11.063351717236001</v>
      </c>
      <c r="J152">
        <f t="shared" si="3"/>
        <v>-1.2384550781671761</v>
      </c>
    </row>
    <row r="153" spans="1:10" x14ac:dyDescent="0.25">
      <c r="A153">
        <v>232</v>
      </c>
      <c r="B153" t="s">
        <v>45</v>
      </c>
      <c r="C153" t="s">
        <v>1</v>
      </c>
      <c r="D153">
        <v>1960</v>
      </c>
      <c r="E153">
        <v>25425</v>
      </c>
      <c r="F153">
        <v>72</v>
      </c>
      <c r="G153">
        <v>17335</v>
      </c>
      <c r="H153">
        <v>7860</v>
      </c>
      <c r="I153">
        <f t="shared" si="2"/>
        <v>10.14348822091676</v>
      </c>
      <c r="J153">
        <f t="shared" si="3"/>
        <v>-1.8989694186666048</v>
      </c>
    </row>
    <row r="154" spans="1:10" x14ac:dyDescent="0.25">
      <c r="A154">
        <v>233</v>
      </c>
      <c r="B154" t="s">
        <v>45</v>
      </c>
      <c r="C154" t="s">
        <v>1</v>
      </c>
      <c r="D154">
        <v>1961</v>
      </c>
      <c r="E154">
        <v>28760</v>
      </c>
      <c r="F154">
        <v>23</v>
      </c>
      <c r="G154">
        <v>18932</v>
      </c>
      <c r="H154">
        <v>8029</v>
      </c>
      <c r="I154">
        <f t="shared" si="2"/>
        <v>10.266740811834984</v>
      </c>
      <c r="J154">
        <f t="shared" si="3"/>
        <v>-0.76966759193443979</v>
      </c>
    </row>
    <row r="155" spans="1:10" x14ac:dyDescent="0.25">
      <c r="A155">
        <v>234</v>
      </c>
      <c r="B155" t="s">
        <v>45</v>
      </c>
      <c r="C155" t="s">
        <v>1</v>
      </c>
      <c r="D155">
        <v>1962</v>
      </c>
      <c r="E155">
        <v>24602</v>
      </c>
      <c r="F155">
        <v>0</v>
      </c>
      <c r="G155">
        <v>22591</v>
      </c>
      <c r="H155">
        <v>2011</v>
      </c>
      <c r="I155">
        <f t="shared" si="2"/>
        <v>10.110583019428731</v>
      </c>
      <c r="J155">
        <f t="shared" si="3"/>
        <v>-2.2422215012534865</v>
      </c>
    </row>
    <row r="156" spans="1:10" x14ac:dyDescent="0.25">
      <c r="A156">
        <v>235</v>
      </c>
      <c r="B156" t="s">
        <v>45</v>
      </c>
      <c r="C156" t="s">
        <v>1</v>
      </c>
      <c r="D156">
        <v>1963</v>
      </c>
      <c r="E156">
        <v>21010</v>
      </c>
      <c r="F156">
        <v>64</v>
      </c>
      <c r="G156">
        <v>20417</v>
      </c>
      <c r="H156">
        <v>512</v>
      </c>
      <c r="I156">
        <f t="shared" si="2"/>
        <v>9.9527537938390456</v>
      </c>
      <c r="J156">
        <f t="shared" si="3"/>
        <v>-3.7869822508177147</v>
      </c>
    </row>
    <row r="157" spans="1:10" x14ac:dyDescent="0.25">
      <c r="A157">
        <v>236</v>
      </c>
      <c r="B157" t="s">
        <v>45</v>
      </c>
      <c r="C157" t="s">
        <v>1</v>
      </c>
      <c r="D157">
        <v>1964</v>
      </c>
      <c r="E157">
        <v>17944</v>
      </c>
      <c r="F157">
        <v>32</v>
      </c>
      <c r="G157">
        <v>14715</v>
      </c>
      <c r="H157">
        <v>3167</v>
      </c>
      <c r="I157">
        <f t="shared" si="2"/>
        <v>9.7950110762000442</v>
      </c>
      <c r="J157">
        <f t="shared" si="3"/>
        <v>-1.8635831195975598</v>
      </c>
    </row>
    <row r="158" spans="1:10" x14ac:dyDescent="0.25">
      <c r="A158">
        <v>237</v>
      </c>
      <c r="B158" t="s">
        <v>45</v>
      </c>
      <c r="C158" t="s">
        <v>1</v>
      </c>
      <c r="D158">
        <v>1965</v>
      </c>
      <c r="E158">
        <v>24308</v>
      </c>
      <c r="F158">
        <v>0</v>
      </c>
      <c r="G158">
        <v>22139</v>
      </c>
      <c r="H158">
        <v>2049</v>
      </c>
      <c r="I158">
        <f t="shared" si="2"/>
        <v>10.098560793255245</v>
      </c>
      <c r="J158">
        <f t="shared" si="3"/>
        <v>-1.9715155124286734</v>
      </c>
    </row>
    <row r="159" spans="1:10" x14ac:dyDescent="0.25">
      <c r="A159">
        <v>238</v>
      </c>
      <c r="B159" t="s">
        <v>45</v>
      </c>
      <c r="C159" t="s">
        <v>1</v>
      </c>
      <c r="D159">
        <v>1966</v>
      </c>
      <c r="E159">
        <v>39740</v>
      </c>
      <c r="F159">
        <v>18</v>
      </c>
      <c r="G159">
        <v>37568</v>
      </c>
      <c r="H159">
        <v>2154</v>
      </c>
      <c r="I159">
        <f t="shared" si="2"/>
        <v>10.590113516105808</v>
      </c>
      <c r="J159">
        <f t="shared" si="3"/>
        <v>-2.3300141804078911</v>
      </c>
    </row>
    <row r="160" spans="1:10" x14ac:dyDescent="0.25">
      <c r="A160">
        <v>239</v>
      </c>
      <c r="B160" t="s">
        <v>45</v>
      </c>
      <c r="C160" t="s">
        <v>1</v>
      </c>
      <c r="D160">
        <v>1967</v>
      </c>
      <c r="E160">
        <v>12152</v>
      </c>
      <c r="F160">
        <v>81</v>
      </c>
      <c r="G160">
        <v>9090</v>
      </c>
      <c r="H160">
        <v>2981</v>
      </c>
      <c r="I160">
        <f t="shared" si="2"/>
        <v>9.4052490442756085</v>
      </c>
      <c r="J160">
        <f t="shared" si="3"/>
        <v>-2.533893809509697</v>
      </c>
    </row>
    <row r="161" spans="1:10" x14ac:dyDescent="0.25">
      <c r="A161">
        <v>240</v>
      </c>
      <c r="B161" t="s">
        <v>45</v>
      </c>
      <c r="C161" t="s">
        <v>1</v>
      </c>
      <c r="D161">
        <v>1968</v>
      </c>
      <c r="E161">
        <v>41065</v>
      </c>
      <c r="F161">
        <v>73</v>
      </c>
      <c r="G161">
        <v>40283</v>
      </c>
      <c r="H161">
        <v>265</v>
      </c>
      <c r="I161">
        <f t="shared" si="2"/>
        <v>10.622911456174293</v>
      </c>
      <c r="J161">
        <f t="shared" si="3"/>
        <v>-3.5352003611853022</v>
      </c>
    </row>
    <row r="162" spans="1:10" x14ac:dyDescent="0.25">
      <c r="A162">
        <v>241</v>
      </c>
      <c r="B162" t="s">
        <v>45</v>
      </c>
      <c r="C162" t="s">
        <v>1</v>
      </c>
      <c r="D162">
        <v>1969</v>
      </c>
      <c r="E162">
        <v>27547</v>
      </c>
      <c r="F162">
        <v>320</v>
      </c>
      <c r="G162">
        <v>18867</v>
      </c>
      <c r="H162">
        <v>8228</v>
      </c>
      <c r="I162">
        <f t="shared" si="2"/>
        <v>10.223648915729836</v>
      </c>
      <c r="J162">
        <f t="shared" si="3"/>
        <v>-1.5883865719357078</v>
      </c>
    </row>
    <row r="163" spans="1:10" x14ac:dyDescent="0.25">
      <c r="A163">
        <v>242</v>
      </c>
      <c r="B163" t="s">
        <v>45</v>
      </c>
      <c r="C163" t="s">
        <v>1</v>
      </c>
      <c r="D163">
        <v>1970</v>
      </c>
      <c r="E163">
        <v>22206</v>
      </c>
      <c r="F163">
        <v>37</v>
      </c>
      <c r="G163">
        <v>20483</v>
      </c>
      <c r="H163">
        <v>1686</v>
      </c>
      <c r="I163">
        <f t="shared" si="2"/>
        <v>10.008117801614212</v>
      </c>
      <c r="J163">
        <f t="shared" si="3"/>
        <v>-2.4150555046498123</v>
      </c>
    </row>
    <row r="164" spans="1:10" x14ac:dyDescent="0.25">
      <c r="A164">
        <v>243</v>
      </c>
      <c r="B164" t="s">
        <v>45</v>
      </c>
      <c r="C164" t="s">
        <v>1</v>
      </c>
      <c r="D164">
        <v>1971</v>
      </c>
      <c r="E164">
        <v>11060</v>
      </c>
      <c r="F164">
        <v>98</v>
      </c>
      <c r="G164">
        <v>8226</v>
      </c>
      <c r="H164">
        <v>2736</v>
      </c>
      <c r="I164">
        <f t="shared" si="2"/>
        <v>9.3110902750763263</v>
      </c>
      <c r="J164">
        <f t="shared" si="3"/>
        <v>-2.0130982740582146</v>
      </c>
    </row>
    <row r="165" spans="1:10" x14ac:dyDescent="0.25">
      <c r="A165">
        <v>244</v>
      </c>
      <c r="B165" t="s">
        <v>45</v>
      </c>
      <c r="C165" t="s">
        <v>1</v>
      </c>
      <c r="D165">
        <v>1972</v>
      </c>
      <c r="E165">
        <v>102664</v>
      </c>
      <c r="F165">
        <v>381</v>
      </c>
      <c r="G165">
        <v>100888</v>
      </c>
      <c r="H165">
        <v>1395</v>
      </c>
      <c r="I165">
        <f t="shared" si="2"/>
        <v>11.539216798924297</v>
      </c>
      <c r="J165">
        <f t="shared" si="3"/>
        <v>-1.7744054545349035</v>
      </c>
    </row>
    <row r="166" spans="1:10" x14ac:dyDescent="0.25">
      <c r="A166">
        <v>245</v>
      </c>
      <c r="B166" t="s">
        <v>45</v>
      </c>
      <c r="C166" t="s">
        <v>1</v>
      </c>
      <c r="D166">
        <v>1973</v>
      </c>
      <c r="E166">
        <v>15727</v>
      </c>
      <c r="F166">
        <v>37</v>
      </c>
      <c r="G166">
        <v>10279</v>
      </c>
      <c r="H166">
        <v>5411</v>
      </c>
      <c r="I166">
        <f t="shared" si="2"/>
        <v>9.6631342594907252</v>
      </c>
      <c r="J166">
        <f t="shared" si="3"/>
        <v>-2.9255770719929752</v>
      </c>
    </row>
    <row r="167" spans="1:10" x14ac:dyDescent="0.25">
      <c r="A167">
        <v>246</v>
      </c>
      <c r="B167" t="s">
        <v>45</v>
      </c>
      <c r="C167" t="s">
        <v>1</v>
      </c>
      <c r="D167">
        <v>1974</v>
      </c>
      <c r="E167">
        <v>12043</v>
      </c>
      <c r="F167">
        <v>33</v>
      </c>
      <c r="G167">
        <v>8300</v>
      </c>
      <c r="H167">
        <v>3710</v>
      </c>
      <c r="I167">
        <f t="shared" si="2"/>
        <v>9.3962388572604798</v>
      </c>
      <c r="J167">
        <f t="shared" si="3"/>
        <v>-1.0190711024114412</v>
      </c>
    </row>
    <row r="168" spans="1:10" x14ac:dyDescent="0.25">
      <c r="A168">
        <v>247</v>
      </c>
      <c r="B168" t="s">
        <v>45</v>
      </c>
      <c r="C168" t="s">
        <v>1</v>
      </c>
      <c r="D168">
        <v>1975</v>
      </c>
      <c r="E168">
        <v>10180</v>
      </c>
      <c r="F168">
        <v>87</v>
      </c>
      <c r="G168">
        <v>9570</v>
      </c>
      <c r="H168">
        <v>523</v>
      </c>
      <c r="I168">
        <f t="shared" si="2"/>
        <v>9.2281802901045129</v>
      </c>
      <c r="J168">
        <f t="shared" si="3"/>
        <v>-2.7644293297197664</v>
      </c>
    </row>
    <row r="169" spans="1:10" x14ac:dyDescent="0.25">
      <c r="A169">
        <v>248</v>
      </c>
      <c r="B169" t="s">
        <v>45</v>
      </c>
      <c r="C169" t="s">
        <v>1</v>
      </c>
      <c r="D169">
        <v>1976</v>
      </c>
      <c r="E169">
        <v>59753</v>
      </c>
      <c r="F169">
        <v>22</v>
      </c>
      <c r="G169">
        <v>56973</v>
      </c>
      <c r="H169">
        <v>2116</v>
      </c>
      <c r="I169">
        <f t="shared" si="2"/>
        <v>10.997974677738338</v>
      </c>
      <c r="J169">
        <f t="shared" si="3"/>
        <v>-1.5091056914688099</v>
      </c>
    </row>
    <row r="170" spans="1:10" x14ac:dyDescent="0.25">
      <c r="A170">
        <v>249</v>
      </c>
      <c r="B170" t="s">
        <v>45</v>
      </c>
      <c r="C170" t="s">
        <v>1</v>
      </c>
      <c r="D170">
        <v>1977</v>
      </c>
      <c r="E170">
        <v>2583</v>
      </c>
      <c r="F170">
        <v>206</v>
      </c>
      <c r="G170">
        <v>1616</v>
      </c>
      <c r="H170">
        <v>761</v>
      </c>
      <c r="I170">
        <f t="shared" si="2"/>
        <v>7.8567067930958405</v>
      </c>
      <c r="J170">
        <f t="shared" si="3"/>
        <v>-4.3156993925206688</v>
      </c>
    </row>
    <row r="171" spans="1:10" x14ac:dyDescent="0.25">
      <c r="A171">
        <v>250</v>
      </c>
      <c r="B171" t="s">
        <v>45</v>
      </c>
      <c r="C171" t="s">
        <v>1</v>
      </c>
      <c r="D171">
        <v>1978</v>
      </c>
      <c r="E171">
        <v>19271</v>
      </c>
      <c r="F171">
        <v>7</v>
      </c>
      <c r="G171">
        <v>11541</v>
      </c>
      <c r="H171">
        <v>7723</v>
      </c>
      <c r="I171">
        <f t="shared" si="2"/>
        <v>9.8663566541979204</v>
      </c>
      <c r="J171">
        <f t="shared" si="3"/>
        <v>1.5642489294882231</v>
      </c>
    </row>
    <row r="172" spans="1:10" x14ac:dyDescent="0.25">
      <c r="A172">
        <v>251</v>
      </c>
      <c r="B172" t="s">
        <v>45</v>
      </c>
      <c r="C172" t="s">
        <v>1</v>
      </c>
      <c r="D172">
        <v>1979</v>
      </c>
      <c r="E172">
        <v>6164</v>
      </c>
      <c r="F172">
        <v>56</v>
      </c>
      <c r="G172">
        <v>5632</v>
      </c>
      <c r="H172">
        <v>476</v>
      </c>
      <c r="I172">
        <f t="shared" si="2"/>
        <v>8.7264811964400071</v>
      </c>
      <c r="J172">
        <f t="shared" si="3"/>
        <v>-3.1882433371889847</v>
      </c>
    </row>
    <row r="173" spans="1:10" x14ac:dyDescent="0.25">
      <c r="A173">
        <v>252</v>
      </c>
      <c r="B173" t="s">
        <v>45</v>
      </c>
      <c r="C173" t="s">
        <v>1</v>
      </c>
      <c r="D173">
        <v>1980</v>
      </c>
      <c r="E173">
        <v>19616</v>
      </c>
      <c r="F173">
        <v>0</v>
      </c>
      <c r="G173">
        <v>18539</v>
      </c>
      <c r="H173">
        <v>797</v>
      </c>
      <c r="I173">
        <f t="shared" si="2"/>
        <v>9.8841008387359377</v>
      </c>
      <c r="J173">
        <f t="shared" si="3"/>
        <v>-1.9553652190476634</v>
      </c>
    </row>
    <row r="174" spans="1:10" x14ac:dyDescent="0.25">
      <c r="A174">
        <v>253</v>
      </c>
      <c r="B174" t="s">
        <v>45</v>
      </c>
      <c r="C174" t="s">
        <v>1</v>
      </c>
      <c r="D174">
        <v>1981</v>
      </c>
      <c r="E174">
        <v>4312</v>
      </c>
      <c r="F174">
        <v>253</v>
      </c>
      <c r="G174">
        <v>2728</v>
      </c>
      <c r="H174">
        <v>1331</v>
      </c>
      <c r="I174">
        <f t="shared" si="2"/>
        <v>8.3691571125888338</v>
      </c>
      <c r="J174">
        <f t="shared" si="3"/>
        <v>-2.6339460818374807</v>
      </c>
    </row>
    <row r="175" spans="1:10" x14ac:dyDescent="0.25">
      <c r="A175">
        <v>254</v>
      </c>
      <c r="B175" t="s">
        <v>45</v>
      </c>
      <c r="C175" t="s">
        <v>1</v>
      </c>
      <c r="D175">
        <v>1982</v>
      </c>
      <c r="E175">
        <v>15077</v>
      </c>
      <c r="F175">
        <v>0</v>
      </c>
      <c r="G175">
        <v>11888</v>
      </c>
      <c r="H175">
        <v>3189</v>
      </c>
      <c r="I175">
        <f t="shared" si="2"/>
        <v>9.6209256827789194</v>
      </c>
      <c r="J175">
        <f t="shared" si="3"/>
        <v>0.15613864804670488</v>
      </c>
    </row>
    <row r="176" spans="1:10" x14ac:dyDescent="0.25">
      <c r="A176">
        <v>255</v>
      </c>
      <c r="B176" t="s">
        <v>45</v>
      </c>
      <c r="C176" t="s">
        <v>1</v>
      </c>
      <c r="D176">
        <v>1983</v>
      </c>
      <c r="E176">
        <v>8925</v>
      </c>
      <c r="F176">
        <v>112</v>
      </c>
      <c r="G176">
        <v>1183</v>
      </c>
      <c r="H176">
        <v>6562</v>
      </c>
      <c r="I176">
        <f t="shared" si="2"/>
        <v>9.0966116066478406</v>
      </c>
      <c r="J176">
        <f t="shared" si="3"/>
        <v>-0.59423405343649338</v>
      </c>
    </row>
    <row r="177" spans="1:10" x14ac:dyDescent="0.25">
      <c r="A177">
        <v>256</v>
      </c>
      <c r="B177" t="s">
        <v>45</v>
      </c>
      <c r="C177" t="s">
        <v>1</v>
      </c>
      <c r="D177">
        <v>1984</v>
      </c>
      <c r="E177">
        <v>49712</v>
      </c>
      <c r="F177">
        <v>29</v>
      </c>
      <c r="G177">
        <v>47827</v>
      </c>
      <c r="H177">
        <v>1856</v>
      </c>
      <c r="I177">
        <f t="shared" si="2"/>
        <v>10.814001631632829</v>
      </c>
      <c r="J177">
        <f t="shared" si="3"/>
        <v>0.45037004936775904</v>
      </c>
    </row>
    <row r="178" spans="1:10" x14ac:dyDescent="0.25">
      <c r="A178">
        <v>257</v>
      </c>
      <c r="B178" t="s">
        <v>45</v>
      </c>
      <c r="C178" t="s">
        <v>1</v>
      </c>
      <c r="D178">
        <v>1985</v>
      </c>
      <c r="E178">
        <v>11150</v>
      </c>
      <c r="F178">
        <v>0</v>
      </c>
      <c r="G178">
        <v>7366</v>
      </c>
      <c r="H178">
        <v>3784</v>
      </c>
      <c r="I178">
        <f t="shared" si="2"/>
        <v>9.3191947768882653</v>
      </c>
      <c r="J178">
        <f t="shared" si="3"/>
        <v>-2.5368086823945419</v>
      </c>
    </row>
    <row r="179" spans="1:10" x14ac:dyDescent="0.25">
      <c r="A179">
        <v>258</v>
      </c>
      <c r="B179" t="s">
        <v>45</v>
      </c>
      <c r="C179" t="s">
        <v>1</v>
      </c>
      <c r="D179">
        <v>1986</v>
      </c>
      <c r="E179">
        <v>3791</v>
      </c>
      <c r="F179">
        <v>38</v>
      </c>
      <c r="G179">
        <v>2509</v>
      </c>
      <c r="H179">
        <v>1244</v>
      </c>
      <c r="I179">
        <f t="shared" si="2"/>
        <v>8.2403851155163341</v>
      </c>
      <c r="J179">
        <f t="shared" si="3"/>
        <v>-1.7785428237058858</v>
      </c>
    </row>
    <row r="180" spans="1:10" x14ac:dyDescent="0.25">
      <c r="A180">
        <v>259</v>
      </c>
      <c r="B180" t="s">
        <v>45</v>
      </c>
      <c r="C180" t="s">
        <v>1</v>
      </c>
      <c r="D180">
        <v>1987</v>
      </c>
      <c r="E180">
        <v>4441</v>
      </c>
      <c r="F180">
        <v>325</v>
      </c>
      <c r="G180">
        <v>2855</v>
      </c>
      <c r="H180">
        <v>1233</v>
      </c>
      <c r="I180">
        <f t="shared" si="2"/>
        <v>8.3986348552921015</v>
      </c>
      <c r="J180">
        <f t="shared" si="3"/>
        <v>-0.71043404320207804</v>
      </c>
    </row>
    <row r="181" spans="1:10" x14ac:dyDescent="0.25">
      <c r="A181">
        <v>260</v>
      </c>
      <c r="B181" t="s">
        <v>45</v>
      </c>
      <c r="C181" t="s">
        <v>1</v>
      </c>
      <c r="D181">
        <v>1988</v>
      </c>
      <c r="E181">
        <v>35407</v>
      </c>
      <c r="F181">
        <v>7</v>
      </c>
      <c r="G181">
        <v>32692</v>
      </c>
      <c r="H181">
        <v>1196</v>
      </c>
      <c r="I181">
        <f t="shared" si="2"/>
        <v>10.474664819686861</v>
      </c>
      <c r="J181">
        <f t="shared" si="3"/>
        <v>-0.87008918757953346</v>
      </c>
    </row>
    <row r="182" spans="1:10" x14ac:dyDescent="0.25">
      <c r="A182">
        <v>261</v>
      </c>
      <c r="B182" t="s">
        <v>45</v>
      </c>
      <c r="C182" t="s">
        <v>1</v>
      </c>
      <c r="D182">
        <v>1989</v>
      </c>
      <c r="E182">
        <v>16868</v>
      </c>
      <c r="F182">
        <v>0</v>
      </c>
      <c r="G182">
        <v>2830</v>
      </c>
      <c r="H182">
        <v>14038</v>
      </c>
      <c r="I182">
        <f t="shared" si="2"/>
        <v>9.7331736148664501</v>
      </c>
      <c r="J182">
        <f t="shared" si="3"/>
        <v>-0.84536246134565352</v>
      </c>
    </row>
    <row r="183" spans="1:10" x14ac:dyDescent="0.25">
      <c r="A183">
        <v>262</v>
      </c>
      <c r="B183" t="s">
        <v>45</v>
      </c>
      <c r="C183" t="s">
        <v>1</v>
      </c>
      <c r="D183">
        <v>1990</v>
      </c>
      <c r="E183">
        <v>4606</v>
      </c>
      <c r="F183">
        <v>0</v>
      </c>
      <c r="G183">
        <v>2902</v>
      </c>
      <c r="H183">
        <v>1591</v>
      </c>
      <c r="I183">
        <f t="shared" si="2"/>
        <v>8.4351150803806298</v>
      </c>
      <c r="J183">
        <f t="shared" si="3"/>
        <v>-0.57591396229949643</v>
      </c>
    </row>
    <row r="184" spans="1:10" x14ac:dyDescent="0.25">
      <c r="A184">
        <v>263</v>
      </c>
      <c r="B184" t="s">
        <v>45</v>
      </c>
      <c r="C184" t="s">
        <v>1</v>
      </c>
      <c r="D184">
        <v>1991</v>
      </c>
      <c r="E184">
        <v>1510</v>
      </c>
      <c r="F184">
        <v>0</v>
      </c>
      <c r="G184">
        <v>1399</v>
      </c>
      <c r="H184">
        <v>111</v>
      </c>
      <c r="I184">
        <f t="shared" si="2"/>
        <v>7.3198649298089702</v>
      </c>
      <c r="J184">
        <f t="shared" si="3"/>
        <v>-3.2636252321317989</v>
      </c>
    </row>
    <row r="185" spans="1:10" x14ac:dyDescent="0.25">
      <c r="A185">
        <v>264</v>
      </c>
      <c r="B185" t="s">
        <v>45</v>
      </c>
      <c r="C185" t="s">
        <v>1</v>
      </c>
      <c r="D185">
        <v>1992</v>
      </c>
      <c r="E185">
        <v>44211</v>
      </c>
      <c r="F185">
        <v>7</v>
      </c>
      <c r="G185">
        <v>41783</v>
      </c>
      <c r="H185">
        <v>2421</v>
      </c>
      <c r="I185">
        <f t="shared" si="2"/>
        <v>10.696728905881372</v>
      </c>
      <c r="J185">
        <f t="shared" si="3"/>
        <v>0.54842298227257724</v>
      </c>
    </row>
    <row r="186" spans="1:10" x14ac:dyDescent="0.25">
      <c r="A186">
        <v>265</v>
      </c>
      <c r="B186" t="s">
        <v>45</v>
      </c>
      <c r="C186" t="s">
        <v>1</v>
      </c>
      <c r="D186">
        <v>1993</v>
      </c>
      <c r="E186">
        <v>15749</v>
      </c>
      <c r="F186">
        <v>0</v>
      </c>
      <c r="G186">
        <v>7357</v>
      </c>
      <c r="H186">
        <v>8304</v>
      </c>
      <c r="I186">
        <f t="shared" si="2"/>
        <v>9.6645321501745816</v>
      </c>
      <c r="J186">
        <f t="shared" si="3"/>
        <v>-1.6157522318182933</v>
      </c>
    </row>
    <row r="187" spans="1:10" x14ac:dyDescent="0.25">
      <c r="A187">
        <v>266</v>
      </c>
      <c r="B187" t="s">
        <v>45</v>
      </c>
      <c r="C187" t="s">
        <v>1</v>
      </c>
      <c r="D187">
        <v>1994</v>
      </c>
      <c r="E187">
        <v>5855</v>
      </c>
      <c r="F187">
        <v>0</v>
      </c>
      <c r="G187">
        <v>1610</v>
      </c>
      <c r="H187">
        <v>3935</v>
      </c>
      <c r="I187">
        <f t="shared" si="2"/>
        <v>8.6750512760318177</v>
      </c>
      <c r="J187">
        <f t="shared" si="3"/>
        <v>-0.62574135908076089</v>
      </c>
    </row>
    <row r="188" spans="1:10" x14ac:dyDescent="0.25">
      <c r="A188">
        <v>267</v>
      </c>
      <c r="B188" t="s">
        <v>45</v>
      </c>
      <c r="C188" t="s">
        <v>1</v>
      </c>
      <c r="D188">
        <v>1995</v>
      </c>
      <c r="E188">
        <v>1848</v>
      </c>
      <c r="F188">
        <v>6</v>
      </c>
      <c r="G188">
        <v>908</v>
      </c>
      <c r="H188">
        <v>934</v>
      </c>
      <c r="I188">
        <f t="shared" si="2"/>
        <v>7.5218592522016294</v>
      </c>
      <c r="J188">
        <f t="shared" si="3"/>
        <v>-0.54451301974966604</v>
      </c>
    </row>
    <row r="189" spans="1:10" x14ac:dyDescent="0.25">
      <c r="A189">
        <v>268</v>
      </c>
      <c r="B189" t="s">
        <v>45</v>
      </c>
      <c r="C189" t="s">
        <v>1</v>
      </c>
      <c r="D189">
        <v>1996</v>
      </c>
      <c r="E189">
        <v>65906</v>
      </c>
      <c r="F189">
        <v>24</v>
      </c>
      <c r="G189">
        <v>65321</v>
      </c>
      <c r="H189">
        <v>553</v>
      </c>
      <c r="I189">
        <f t="shared" si="2"/>
        <v>11.09598476338704</v>
      </c>
      <c r="J189">
        <f t="shared" si="3"/>
        <v>-0.4958863770789585</v>
      </c>
    </row>
    <row r="190" spans="1:10" x14ac:dyDescent="0.25">
      <c r="A190">
        <v>269</v>
      </c>
      <c r="B190" t="s">
        <v>45</v>
      </c>
      <c r="C190" t="s">
        <v>1</v>
      </c>
      <c r="D190">
        <v>1997</v>
      </c>
      <c r="E190">
        <v>24410</v>
      </c>
      <c r="F190">
        <v>0</v>
      </c>
      <c r="G190">
        <v>22386</v>
      </c>
      <c r="H190">
        <v>2024</v>
      </c>
      <c r="I190">
        <f t="shared" si="2"/>
        <v>10.102748163387005</v>
      </c>
      <c r="J190">
        <f t="shared" si="3"/>
        <v>-3.4742378258066449</v>
      </c>
    </row>
    <row r="191" spans="1:10" x14ac:dyDescent="0.25">
      <c r="A191">
        <v>270</v>
      </c>
      <c r="B191" t="s">
        <v>45</v>
      </c>
      <c r="C191" t="s">
        <v>1</v>
      </c>
      <c r="D191">
        <v>1998</v>
      </c>
      <c r="E191">
        <v>15571</v>
      </c>
      <c r="F191">
        <v>41</v>
      </c>
      <c r="G191">
        <v>4738</v>
      </c>
      <c r="H191">
        <v>10727</v>
      </c>
      <c r="I191">
        <f t="shared" si="2"/>
        <v>9.6531654888414256</v>
      </c>
      <c r="J191">
        <f t="shared" si="3"/>
        <v>-0.73567183585178353</v>
      </c>
    </row>
    <row r="192" spans="1:10" x14ac:dyDescent="0.25">
      <c r="A192">
        <v>271</v>
      </c>
      <c r="B192" t="s">
        <v>45</v>
      </c>
      <c r="C192" t="s">
        <v>1</v>
      </c>
      <c r="D192">
        <v>1999</v>
      </c>
      <c r="E192">
        <v>47468</v>
      </c>
      <c r="F192">
        <v>0</v>
      </c>
      <c r="G192">
        <v>22745</v>
      </c>
      <c r="H192">
        <v>22745</v>
      </c>
      <c r="I192">
        <f t="shared" si="2"/>
        <v>10.76781107878503</v>
      </c>
      <c r="J192">
        <f t="shared" si="3"/>
        <v>1.5687302352853738</v>
      </c>
    </row>
    <row r="193" spans="1:10" x14ac:dyDescent="0.25">
      <c r="A193">
        <v>272</v>
      </c>
      <c r="B193" t="s">
        <v>45</v>
      </c>
      <c r="C193" t="s">
        <v>1</v>
      </c>
      <c r="D193">
        <v>2000</v>
      </c>
      <c r="E193">
        <v>93799</v>
      </c>
      <c r="F193">
        <v>0</v>
      </c>
      <c r="G193">
        <v>89315</v>
      </c>
      <c r="H193">
        <v>4484</v>
      </c>
      <c r="I193">
        <f t="shared" si="2"/>
        <v>11.448909473956677</v>
      </c>
      <c r="J193">
        <f t="shared" si="3"/>
        <v>-1.623829835812054</v>
      </c>
    </row>
    <row r="194" spans="1:10" x14ac:dyDescent="0.25">
      <c r="A194">
        <v>273</v>
      </c>
      <c r="B194" t="s">
        <v>45</v>
      </c>
      <c r="C194" t="s">
        <v>1</v>
      </c>
      <c r="D194">
        <v>2001</v>
      </c>
      <c r="E194">
        <v>48675</v>
      </c>
      <c r="F194">
        <v>8</v>
      </c>
      <c r="G194">
        <v>25983</v>
      </c>
      <c r="H194">
        <v>22684</v>
      </c>
      <c r="I194">
        <f t="shared" si="2"/>
        <v>10.7929208302404</v>
      </c>
      <c r="J194">
        <f t="shared" si="3"/>
        <v>-1.3705096167490662</v>
      </c>
    </row>
    <row r="195" spans="1:10" x14ac:dyDescent="0.25">
      <c r="A195">
        <v>274</v>
      </c>
      <c r="B195" t="s">
        <v>45</v>
      </c>
      <c r="C195" t="s">
        <v>1</v>
      </c>
      <c r="D195">
        <v>2002</v>
      </c>
      <c r="E195">
        <v>30278</v>
      </c>
      <c r="F195">
        <v>92</v>
      </c>
      <c r="G195">
        <v>4905</v>
      </c>
      <c r="H195">
        <v>25281</v>
      </c>
      <c r="I195">
        <f t="shared" si="2"/>
        <v>10.318176655171824</v>
      </c>
      <c r="J195">
        <f t="shared" si="3"/>
        <v>-2.7389352558691391E-2</v>
      </c>
    </row>
    <row r="196" spans="1:10" x14ac:dyDescent="0.25">
      <c r="A196">
        <v>275</v>
      </c>
      <c r="B196" t="s">
        <v>45</v>
      </c>
      <c r="C196" t="s">
        <v>1</v>
      </c>
      <c r="D196">
        <v>2003</v>
      </c>
      <c r="E196">
        <v>37804</v>
      </c>
      <c r="F196">
        <v>53</v>
      </c>
      <c r="G196">
        <v>26426</v>
      </c>
      <c r="H196">
        <v>11325</v>
      </c>
      <c r="I196">
        <f t="shared" si="2"/>
        <v>10.540170196114946</v>
      </c>
      <c r="J196">
        <f t="shared" si="3"/>
        <v>0.83675757835177134</v>
      </c>
    </row>
    <row r="197" spans="1:10" x14ac:dyDescent="0.25">
      <c r="A197" s="12">
        <v>276</v>
      </c>
      <c r="B197" s="12" t="s">
        <v>45</v>
      </c>
      <c r="C197" s="12" t="s">
        <v>1</v>
      </c>
      <c r="D197" s="12">
        <v>2004</v>
      </c>
      <c r="E197" s="12">
        <v>142932</v>
      </c>
      <c r="F197" s="12">
        <v>0</v>
      </c>
      <c r="G197" s="12">
        <v>107671</v>
      </c>
      <c r="H197" s="12">
        <v>34631</v>
      </c>
      <c r="I197">
        <f t="shared" si="2"/>
        <v>11.870124271668901</v>
      </c>
      <c r="J197">
        <f t="shared" si="3"/>
        <v>0.27040086070188768</v>
      </c>
    </row>
    <row r="198" spans="1:10" x14ac:dyDescent="0.25">
      <c r="A198">
        <v>277</v>
      </c>
      <c r="B198" t="s">
        <v>45</v>
      </c>
      <c r="C198" t="s">
        <v>1</v>
      </c>
      <c r="D198">
        <v>2005</v>
      </c>
      <c r="E198">
        <v>87357</v>
      </c>
      <c r="F198">
        <v>45</v>
      </c>
      <c r="G198">
        <v>79275</v>
      </c>
      <c r="H198">
        <v>7672</v>
      </c>
      <c r="I198">
        <f t="shared" si="2"/>
        <v>11.377758449729738</v>
      </c>
      <c r="J198">
        <f>LN(H198/G197)</f>
        <v>-2.6415029438415121</v>
      </c>
    </row>
    <row r="199" spans="1:10" x14ac:dyDescent="0.25">
      <c r="A199">
        <v>278</v>
      </c>
      <c r="B199" t="s">
        <v>45</v>
      </c>
      <c r="C199" t="s">
        <v>1</v>
      </c>
      <c r="D199">
        <v>2006</v>
      </c>
      <c r="E199">
        <v>37794</v>
      </c>
      <c r="F199">
        <v>0</v>
      </c>
      <c r="G199">
        <v>21369</v>
      </c>
      <c r="H199">
        <v>16425</v>
      </c>
      <c r="I199">
        <f t="shared" si="2"/>
        <v>10.539905638849984</v>
      </c>
      <c r="J199">
        <f t="shared" si="3"/>
        <v>-1.5741182560537368</v>
      </c>
    </row>
    <row r="200" spans="1:10" x14ac:dyDescent="0.25">
      <c r="A200">
        <v>279</v>
      </c>
      <c r="B200" t="s">
        <v>45</v>
      </c>
      <c r="C200" t="s">
        <v>1</v>
      </c>
      <c r="D200">
        <v>2007</v>
      </c>
      <c r="E200">
        <v>25240</v>
      </c>
      <c r="F200">
        <v>4</v>
      </c>
      <c r="G200">
        <v>2439</v>
      </c>
      <c r="H200">
        <v>21419</v>
      </c>
      <c r="I200">
        <f t="shared" si="2"/>
        <v>10.136185316655149</v>
      </c>
      <c r="J200">
        <f t="shared" si="3"/>
        <v>2.3371049246788912E-3</v>
      </c>
    </row>
    <row r="201" spans="1:10" x14ac:dyDescent="0.25">
      <c r="A201">
        <v>280</v>
      </c>
      <c r="B201" t="s">
        <v>45</v>
      </c>
      <c r="C201" t="s">
        <v>1</v>
      </c>
      <c r="D201">
        <v>2008</v>
      </c>
      <c r="E201">
        <v>47043</v>
      </c>
      <c r="F201">
        <v>0</v>
      </c>
      <c r="G201">
        <v>39136</v>
      </c>
      <c r="H201">
        <v>5930</v>
      </c>
      <c r="I201">
        <f t="shared" si="2"/>
        <v>10.758817356049141</v>
      </c>
      <c r="J201">
        <f t="shared" si="3"/>
        <v>0.88843609377585087</v>
      </c>
    </row>
    <row r="202" spans="1:10" x14ac:dyDescent="0.25">
      <c r="A202">
        <v>281</v>
      </c>
      <c r="B202" t="s">
        <v>45</v>
      </c>
      <c r="C202" t="s">
        <v>1</v>
      </c>
      <c r="D202">
        <v>2009</v>
      </c>
      <c r="E202">
        <v>16990</v>
      </c>
      <c r="F202">
        <v>0</v>
      </c>
      <c r="G202">
        <v>6893</v>
      </c>
      <c r="H202">
        <v>9746</v>
      </c>
      <c r="I202">
        <f t="shared" si="2"/>
        <v>9.7403802146659775</v>
      </c>
      <c r="J202">
        <f t="shared" si="3"/>
        <v>-1.3901858150834474</v>
      </c>
    </row>
    <row r="203" spans="1:10" x14ac:dyDescent="0.25">
      <c r="A203">
        <v>282</v>
      </c>
      <c r="B203" t="s">
        <v>45</v>
      </c>
      <c r="C203" t="s">
        <v>1</v>
      </c>
      <c r="D203">
        <v>2010</v>
      </c>
      <c r="E203">
        <v>10805</v>
      </c>
      <c r="F203">
        <v>0</v>
      </c>
      <c r="G203">
        <v>7804</v>
      </c>
      <c r="H203">
        <v>2677</v>
      </c>
      <c r="I203">
        <f t="shared" si="2"/>
        <v>9.2877642689409861</v>
      </c>
      <c r="J203">
        <f t="shared" si="3"/>
        <v>-0.94580963936529938</v>
      </c>
    </row>
    <row r="204" spans="1:10" x14ac:dyDescent="0.25">
      <c r="A204">
        <v>283</v>
      </c>
      <c r="B204" t="s">
        <v>45</v>
      </c>
      <c r="C204" t="s">
        <v>1</v>
      </c>
      <c r="D204">
        <v>2011</v>
      </c>
      <c r="E204">
        <v>16224</v>
      </c>
      <c r="F204">
        <v>2</v>
      </c>
      <c r="G204">
        <v>6272</v>
      </c>
      <c r="H204">
        <v>9950</v>
      </c>
      <c r="I204">
        <f t="shared" si="2"/>
        <v>9.6942469063909105</v>
      </c>
      <c r="J204">
        <f t="shared" si="3"/>
        <v>0.24293612840963669</v>
      </c>
    </row>
    <row r="205" spans="1:10" x14ac:dyDescent="0.25">
      <c r="A205">
        <v>284</v>
      </c>
      <c r="B205" t="s">
        <v>45</v>
      </c>
      <c r="C205" t="s">
        <v>1</v>
      </c>
      <c r="D205">
        <v>2012</v>
      </c>
      <c r="E205">
        <v>20383</v>
      </c>
      <c r="F205">
        <v>5</v>
      </c>
      <c r="G205">
        <v>15504</v>
      </c>
      <c r="H205">
        <v>4874</v>
      </c>
      <c r="I205">
        <f t="shared" si="2"/>
        <v>9.9224564990837312</v>
      </c>
      <c r="J205">
        <f t="shared" si="3"/>
        <v>-0.25218032784509214</v>
      </c>
    </row>
    <row r="206" spans="1:10" x14ac:dyDescent="0.25">
      <c r="A206">
        <v>285</v>
      </c>
      <c r="B206" t="s">
        <v>45</v>
      </c>
      <c r="C206" t="s">
        <v>1</v>
      </c>
      <c r="D206">
        <v>2013</v>
      </c>
      <c r="E206">
        <v>25854</v>
      </c>
      <c r="F206">
        <v>36</v>
      </c>
      <c r="G206">
        <v>21922</v>
      </c>
      <c r="H206">
        <v>3896</v>
      </c>
      <c r="I206">
        <f t="shared" si="2"/>
        <v>10.160220606843893</v>
      </c>
      <c r="J206">
        <f t="shared" si="3"/>
        <v>-1.3811476693681219</v>
      </c>
    </row>
    <row r="207" spans="1:10" x14ac:dyDescent="0.25">
      <c r="A207">
        <v>286</v>
      </c>
      <c r="B207" t="s">
        <v>45</v>
      </c>
      <c r="C207" t="s">
        <v>1</v>
      </c>
      <c r="D207">
        <v>2014</v>
      </c>
      <c r="E207">
        <v>54236</v>
      </c>
      <c r="F207">
        <v>43</v>
      </c>
      <c r="G207">
        <v>38701</v>
      </c>
      <c r="H207">
        <v>15492</v>
      </c>
      <c r="I207">
        <f t="shared" si="2"/>
        <v>10.901100173582201</v>
      </c>
      <c r="J207">
        <f t="shared" si="3"/>
        <v>-0.34716693714102587</v>
      </c>
    </row>
    <row r="208" spans="1:10" x14ac:dyDescent="0.25">
      <c r="A208">
        <v>287</v>
      </c>
      <c r="B208" t="s">
        <v>45</v>
      </c>
      <c r="C208" t="s">
        <v>1</v>
      </c>
      <c r="D208">
        <v>2015</v>
      </c>
      <c r="E208">
        <v>24500</v>
      </c>
      <c r="F208">
        <v>0</v>
      </c>
      <c r="G208">
        <v>18595</v>
      </c>
      <c r="H208">
        <v>5905</v>
      </c>
      <c r="I208">
        <f t="shared" si="2"/>
        <v>10.106428396532818</v>
      </c>
      <c r="J208">
        <f t="shared" si="3"/>
        <v>-1.8800659898458503</v>
      </c>
    </row>
    <row r="209" spans="1:16" x14ac:dyDescent="0.25">
      <c r="A209">
        <v>288</v>
      </c>
      <c r="B209" t="s">
        <v>45</v>
      </c>
      <c r="C209" t="s">
        <v>1</v>
      </c>
      <c r="D209">
        <v>2016</v>
      </c>
      <c r="E209">
        <v>22126</v>
      </c>
      <c r="F209">
        <v>6</v>
      </c>
      <c r="G209">
        <v>16984</v>
      </c>
      <c r="H209">
        <v>5136</v>
      </c>
      <c r="I209">
        <f t="shared" si="2"/>
        <v>10.004508666594857</v>
      </c>
      <c r="J209">
        <f t="shared" si="3"/>
        <v>-1.2866181609893734</v>
      </c>
    </row>
    <row r="210" spans="1:16" x14ac:dyDescent="0.25">
      <c r="A210">
        <v>289</v>
      </c>
      <c r="B210" t="s">
        <v>45</v>
      </c>
      <c r="C210" t="s">
        <v>1</v>
      </c>
      <c r="D210">
        <v>2017</v>
      </c>
      <c r="E210">
        <v>7295</v>
      </c>
      <c r="F210">
        <v>3</v>
      </c>
      <c r="G210">
        <v>2888</v>
      </c>
      <c r="H210">
        <v>4404</v>
      </c>
      <c r="I210">
        <f t="shared" ref="I210:I217" si="4">LN(E210)</f>
        <v>8.8949444609568857</v>
      </c>
      <c r="J210">
        <f t="shared" ref="J210:J217" si="5">LN(H210/G209)</f>
        <v>-1.3497585055405215</v>
      </c>
    </row>
    <row r="211" spans="1:16" x14ac:dyDescent="0.25">
      <c r="A211">
        <v>290</v>
      </c>
      <c r="B211" t="s">
        <v>45</v>
      </c>
      <c r="C211" t="s">
        <v>1</v>
      </c>
      <c r="D211">
        <v>2018</v>
      </c>
      <c r="E211">
        <v>13715</v>
      </c>
      <c r="F211">
        <v>0</v>
      </c>
      <c r="G211">
        <v>11192</v>
      </c>
      <c r="H211">
        <v>2523</v>
      </c>
      <c r="I211">
        <f t="shared" si="4"/>
        <v>9.5262454033717034</v>
      </c>
      <c r="J211">
        <f t="shared" si="5"/>
        <v>-0.13511555137165909</v>
      </c>
    </row>
    <row r="212" spans="1:16" x14ac:dyDescent="0.25">
      <c r="A212">
        <v>291</v>
      </c>
      <c r="B212" t="s">
        <v>45</v>
      </c>
      <c r="C212" t="s">
        <v>1</v>
      </c>
      <c r="D212">
        <v>2019</v>
      </c>
      <c r="E212">
        <v>1190</v>
      </c>
      <c r="F212">
        <v>0</v>
      </c>
      <c r="G212">
        <v>525</v>
      </c>
      <c r="H212">
        <v>665</v>
      </c>
      <c r="I212">
        <f t="shared" si="4"/>
        <v>7.0817085861055746</v>
      </c>
      <c r="J212">
        <f t="shared" si="5"/>
        <v>-2.8231674756894631</v>
      </c>
    </row>
    <row r="213" spans="1:16" x14ac:dyDescent="0.25">
      <c r="A213">
        <v>292</v>
      </c>
      <c r="B213" t="s">
        <v>45</v>
      </c>
      <c r="C213" t="s">
        <v>1</v>
      </c>
      <c r="D213">
        <v>2020</v>
      </c>
      <c r="E213">
        <v>6341</v>
      </c>
      <c r="F213">
        <v>0</v>
      </c>
      <c r="G213">
        <v>5470</v>
      </c>
      <c r="H213">
        <v>871</v>
      </c>
      <c r="I213">
        <f t="shared" si="4"/>
        <v>8.7547917637000321</v>
      </c>
      <c r="J213">
        <f t="shared" si="5"/>
        <v>0.50624371426087911</v>
      </c>
    </row>
    <row r="214" spans="1:16" x14ac:dyDescent="0.25">
      <c r="A214">
        <v>293</v>
      </c>
      <c r="B214" t="s">
        <v>45</v>
      </c>
      <c r="C214" t="s">
        <v>1</v>
      </c>
      <c r="D214">
        <v>2021</v>
      </c>
      <c r="E214">
        <v>5502</v>
      </c>
      <c r="F214">
        <v>0</v>
      </c>
      <c r="G214">
        <v>3271</v>
      </c>
      <c r="H214">
        <v>2089</v>
      </c>
      <c r="I214">
        <f t="shared" si="4"/>
        <v>8.6128669414845191</v>
      </c>
      <c r="J214">
        <f t="shared" si="5"/>
        <v>-0.9625931338594611</v>
      </c>
    </row>
    <row r="215" spans="1:16" x14ac:dyDescent="0.25">
      <c r="A215">
        <v>294</v>
      </c>
      <c r="B215" t="s">
        <v>45</v>
      </c>
      <c r="C215" t="s">
        <v>1</v>
      </c>
      <c r="D215">
        <v>2022</v>
      </c>
      <c r="E215">
        <v>7133</v>
      </c>
      <c r="F215">
        <v>4</v>
      </c>
      <c r="G215">
        <v>6219</v>
      </c>
      <c r="H215">
        <v>879</v>
      </c>
      <c r="I215">
        <f t="shared" si="4"/>
        <v>8.8724871822780376</v>
      </c>
      <c r="J215">
        <f t="shared" si="5"/>
        <v>-1.3140661298532068</v>
      </c>
    </row>
    <row r="216" spans="1:16" x14ac:dyDescent="0.25">
      <c r="A216">
        <v>295</v>
      </c>
      <c r="B216" t="s">
        <v>45</v>
      </c>
      <c r="C216" t="s">
        <v>1</v>
      </c>
      <c r="D216">
        <v>2023</v>
      </c>
      <c r="E216">
        <v>12632</v>
      </c>
      <c r="F216">
        <v>0</v>
      </c>
      <c r="G216">
        <v>10161</v>
      </c>
      <c r="H216">
        <v>2471</v>
      </c>
      <c r="I216">
        <f t="shared" si="4"/>
        <v>9.4439885559354781</v>
      </c>
      <c r="J216">
        <f t="shared" si="5"/>
        <v>-0.92298619511527913</v>
      </c>
    </row>
    <row r="217" spans="1:16" x14ac:dyDescent="0.25">
      <c r="A217">
        <v>296</v>
      </c>
      <c r="B217" t="s">
        <v>45</v>
      </c>
      <c r="C217" t="s">
        <v>1</v>
      </c>
      <c r="D217">
        <v>2024</v>
      </c>
      <c r="E217">
        <v>13119</v>
      </c>
      <c r="F217">
        <v>0</v>
      </c>
      <c r="G217">
        <v>12479</v>
      </c>
      <c r="H217">
        <v>213</v>
      </c>
      <c r="I217">
        <f t="shared" si="4"/>
        <v>9.4818168400810308</v>
      </c>
      <c r="J217">
        <f t="shared" si="5"/>
        <v>-3.8650199757764563</v>
      </c>
    </row>
    <row r="218" spans="1:16" x14ac:dyDescent="0.25">
      <c r="K218" t="s">
        <v>46</v>
      </c>
    </row>
    <row r="219" spans="1:16" x14ac:dyDescent="0.25">
      <c r="D219" t="s">
        <v>47</v>
      </c>
      <c r="E219">
        <f>AVERAGE(E198:E217)</f>
        <v>22773.95</v>
      </c>
      <c r="F219">
        <f t="shared" ref="F219:H219" si="6">AVERAGE(F198:F217)</f>
        <v>7.4</v>
      </c>
      <c r="G219">
        <f t="shared" si="6"/>
        <v>16354.95</v>
      </c>
      <c r="H219">
        <f>AVERAGE(H198:H217)</f>
        <v>6161.85</v>
      </c>
      <c r="K219" t="s">
        <v>48</v>
      </c>
      <c r="L219">
        <v>12479</v>
      </c>
      <c r="M219" t="s">
        <v>49</v>
      </c>
      <c r="N219" s="5">
        <f>K220*L219^L220</f>
        <v>3981.0379897737253</v>
      </c>
      <c r="O219" t="s">
        <v>50</v>
      </c>
      <c r="P219" t="s">
        <v>51</v>
      </c>
    </row>
    <row r="220" spans="1:16" x14ac:dyDescent="0.25">
      <c r="D220" t="s">
        <v>52</v>
      </c>
      <c r="F220" s="13">
        <f>F219/$E$219</f>
        <v>3.2493265331661836E-4</v>
      </c>
      <c r="G220" s="13">
        <f t="shared" ref="G220:H220" si="7">G219/$E$219</f>
        <v>0.71814287815684152</v>
      </c>
      <c r="H220" s="13">
        <f t="shared" si="7"/>
        <v>0.27056571214040603</v>
      </c>
      <c r="I220" s="13"/>
      <c r="K220">
        <v>32.954000000000001</v>
      </c>
      <c r="L220">
        <v>0.50829999999999997</v>
      </c>
    </row>
    <row r="222" spans="1:16" x14ac:dyDescent="0.25">
      <c r="K222" t="s">
        <v>53</v>
      </c>
    </row>
    <row r="239" spans="2:19" x14ac:dyDescent="0.25">
      <c r="B239" t="s">
        <v>54</v>
      </c>
    </row>
    <row r="240" spans="2:19" x14ac:dyDescent="0.25">
      <c r="B240" t="s">
        <v>55</v>
      </c>
      <c r="K240" t="s">
        <v>56</v>
      </c>
      <c r="R240" s="2">
        <v>13981</v>
      </c>
      <c r="S240" t="s">
        <v>57</v>
      </c>
    </row>
    <row r="241" spans="19:19" x14ac:dyDescent="0.25">
      <c r="S241" t="s">
        <v>58</v>
      </c>
    </row>
    <row r="259" spans="2:17" x14ac:dyDescent="0.25">
      <c r="B259" t="s">
        <v>59</v>
      </c>
      <c r="K259" t="s">
        <v>60</v>
      </c>
      <c r="M259">
        <v>1.071</v>
      </c>
      <c r="N259" t="s">
        <v>61</v>
      </c>
    </row>
    <row r="260" spans="2:17" x14ac:dyDescent="0.25">
      <c r="B260" t="s">
        <v>62</v>
      </c>
      <c r="K260">
        <v>-0.31340000000000001</v>
      </c>
      <c r="L260">
        <v>0.45669999999999999</v>
      </c>
      <c r="M260" t="s">
        <v>63</v>
      </c>
      <c r="O260">
        <f>L260+K260*M259</f>
        <v>0.12104860000000001</v>
      </c>
      <c r="P260" t="s">
        <v>64</v>
      </c>
      <c r="Q260">
        <f>EXP(O260)</f>
        <v>1.1286797648709901</v>
      </c>
    </row>
    <row r="261" spans="2:17" x14ac:dyDescent="0.25">
      <c r="K261" t="s">
        <v>65</v>
      </c>
      <c r="M261">
        <v>12479</v>
      </c>
      <c r="N261" t="s">
        <v>15</v>
      </c>
      <c r="O261" s="6">
        <f>M261*Q260</f>
        <v>14084.794785825085</v>
      </c>
      <c r="P261" t="s">
        <v>50</v>
      </c>
      <c r="Q261" t="s">
        <v>66</v>
      </c>
    </row>
    <row r="262" spans="2:17" x14ac:dyDescent="0.25">
      <c r="L262" t="s">
        <v>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MacCall</dc:creator>
  <cp:lastModifiedBy>Alec MacCall</cp:lastModifiedBy>
  <dcterms:created xsi:type="dcterms:W3CDTF">2025-05-21T17:49:51Z</dcterms:created>
  <dcterms:modified xsi:type="dcterms:W3CDTF">2025-05-21T17:51:00Z</dcterms:modified>
</cp:coreProperties>
</file>