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E591765F-A4ED-45AF-8258-0914F738049B}" xr6:coauthVersionLast="47" xr6:coauthVersionMax="47" xr10:uidLastSave="{00000000-0000-0000-0000-000000000000}"/>
  <bookViews>
    <workbookView xWindow="-120" yWindow="-120" windowWidth="29040" windowHeight="15720" activeTab="1" xr2:uid="{F2506C93-5B32-4D82-B9C1-43481305A108}"/>
  </bookViews>
  <sheets>
    <sheet name="Cors" sheetId="5" r:id="rId1"/>
    <sheet name="ENVIRO" sheetId="7" r:id="rId2"/>
    <sheet name="MAINPRED" sheetId="8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3" i="8" l="1"/>
  <c r="E183" i="8" s="1"/>
  <c r="Z173" i="8"/>
  <c r="S172" i="8"/>
  <c r="T173" i="8" s="1"/>
  <c r="U173" i="8" s="1"/>
  <c r="N172" i="8"/>
  <c r="G151" i="8"/>
  <c r="F151" i="8"/>
  <c r="P150" i="8"/>
  <c r="P151" i="8" s="1"/>
  <c r="O150" i="8"/>
  <c r="O151" i="8" s="1"/>
  <c r="N150" i="8"/>
  <c r="N151" i="8" s="1"/>
  <c r="M150" i="8"/>
  <c r="M151" i="8" s="1"/>
  <c r="L150" i="8"/>
  <c r="L151" i="8" s="1"/>
  <c r="K150" i="8"/>
  <c r="K151" i="8" s="1"/>
  <c r="J150" i="8"/>
  <c r="J151" i="8" s="1"/>
  <c r="I150" i="8"/>
  <c r="I151" i="8" s="1"/>
  <c r="H150" i="8"/>
  <c r="H151" i="8" s="1"/>
  <c r="G150" i="8"/>
  <c r="F150" i="8"/>
  <c r="E150" i="8"/>
  <c r="W148" i="8"/>
  <c r="U148" i="8"/>
  <c r="T148" i="8"/>
  <c r="S148" i="8"/>
  <c r="R148" i="8"/>
  <c r="W147" i="8"/>
  <c r="U147" i="8"/>
  <c r="T147" i="8"/>
  <c r="S147" i="8"/>
  <c r="R147" i="8"/>
  <c r="W146" i="8"/>
  <c r="U146" i="8"/>
  <c r="T146" i="8"/>
  <c r="S146" i="8"/>
  <c r="R146" i="8"/>
  <c r="W145" i="8"/>
  <c r="U145" i="8"/>
  <c r="T145" i="8"/>
  <c r="S145" i="8"/>
  <c r="R145" i="8"/>
  <c r="W144" i="8"/>
  <c r="U144" i="8"/>
  <c r="T144" i="8"/>
  <c r="S144" i="8"/>
  <c r="R144" i="8"/>
  <c r="W143" i="8"/>
  <c r="U143" i="8"/>
  <c r="T143" i="8"/>
  <c r="S143" i="8"/>
  <c r="R143" i="8"/>
  <c r="W142" i="8"/>
  <c r="U142" i="8"/>
  <c r="T142" i="8"/>
  <c r="S142" i="8"/>
  <c r="R142" i="8"/>
  <c r="W141" i="8"/>
  <c r="U141" i="8"/>
  <c r="T141" i="8"/>
  <c r="S141" i="8"/>
  <c r="R141" i="8"/>
  <c r="W140" i="8"/>
  <c r="U140" i="8"/>
  <c r="T140" i="8"/>
  <c r="S140" i="8"/>
  <c r="R140" i="8"/>
  <c r="W139" i="8"/>
  <c r="U139" i="8"/>
  <c r="T139" i="8"/>
  <c r="S139" i="8"/>
  <c r="R139" i="8"/>
  <c r="W138" i="8"/>
  <c r="U138" i="8"/>
  <c r="T138" i="8"/>
  <c r="S138" i="8"/>
  <c r="R138" i="8"/>
  <c r="W137" i="8"/>
  <c r="U137" i="8"/>
  <c r="T137" i="8"/>
  <c r="S137" i="8"/>
  <c r="R137" i="8"/>
  <c r="W136" i="8"/>
  <c r="U136" i="8"/>
  <c r="T136" i="8"/>
  <c r="S136" i="8"/>
  <c r="R136" i="8"/>
  <c r="W135" i="8"/>
  <c r="U135" i="8"/>
  <c r="T135" i="8"/>
  <c r="S135" i="8"/>
  <c r="R135" i="8"/>
  <c r="W134" i="8"/>
  <c r="U134" i="8"/>
  <c r="T134" i="8"/>
  <c r="S134" i="8"/>
  <c r="R134" i="8"/>
  <c r="W133" i="8"/>
  <c r="U133" i="8"/>
  <c r="T133" i="8"/>
  <c r="S133" i="8"/>
  <c r="R133" i="8"/>
  <c r="W132" i="8"/>
  <c r="U132" i="8"/>
  <c r="T132" i="8"/>
  <c r="S132" i="8"/>
  <c r="R132" i="8"/>
  <c r="W131" i="8"/>
  <c r="U131" i="8"/>
  <c r="T131" i="8"/>
  <c r="S131" i="8"/>
  <c r="W130" i="8"/>
  <c r="U130" i="8"/>
  <c r="T130" i="8"/>
  <c r="S130" i="8"/>
  <c r="R130" i="8"/>
  <c r="W129" i="8"/>
  <c r="U129" i="8"/>
  <c r="T129" i="8"/>
  <c r="S129" i="8"/>
  <c r="R129" i="8"/>
  <c r="W128" i="8"/>
  <c r="U128" i="8"/>
  <c r="T128" i="8"/>
  <c r="S128" i="8"/>
  <c r="W127" i="8"/>
  <c r="U127" i="8"/>
  <c r="T127" i="8"/>
  <c r="S127" i="8"/>
  <c r="R127" i="8"/>
  <c r="W126" i="8"/>
  <c r="U126" i="8"/>
  <c r="T126" i="8"/>
  <c r="S126" i="8"/>
  <c r="W125" i="8"/>
  <c r="U125" i="8"/>
  <c r="T125" i="8"/>
  <c r="S125" i="8"/>
  <c r="R125" i="8"/>
  <c r="W124" i="8"/>
  <c r="U124" i="8"/>
  <c r="T124" i="8"/>
  <c r="S124" i="8"/>
  <c r="W123" i="8"/>
  <c r="U123" i="8"/>
  <c r="T123" i="8"/>
  <c r="S123" i="8"/>
  <c r="R123" i="8"/>
  <c r="W122" i="8"/>
  <c r="U122" i="8"/>
  <c r="T122" i="8"/>
  <c r="S122" i="8"/>
  <c r="R122" i="8"/>
  <c r="W121" i="8"/>
  <c r="U121" i="8"/>
  <c r="T121" i="8"/>
  <c r="S121" i="8"/>
  <c r="R121" i="8"/>
  <c r="W120" i="8"/>
  <c r="U120" i="8"/>
  <c r="T120" i="8"/>
  <c r="S120" i="8"/>
  <c r="R120" i="8"/>
  <c r="W119" i="8"/>
  <c r="U119" i="8"/>
  <c r="T119" i="8"/>
  <c r="S119" i="8"/>
  <c r="R119" i="8"/>
  <c r="W118" i="8"/>
  <c r="U118" i="8"/>
  <c r="T118" i="8"/>
  <c r="S118" i="8"/>
  <c r="R118" i="8"/>
  <c r="W117" i="8"/>
  <c r="U117" i="8"/>
  <c r="T117" i="8"/>
  <c r="S117" i="8"/>
  <c r="R117" i="8"/>
  <c r="W116" i="8"/>
  <c r="U116" i="8"/>
  <c r="T116" i="8"/>
  <c r="S116" i="8"/>
  <c r="R116" i="8"/>
  <c r="W115" i="8"/>
  <c r="U115" i="8"/>
  <c r="T115" i="8"/>
  <c r="S115" i="8"/>
  <c r="R115" i="8"/>
  <c r="W114" i="8"/>
  <c r="U114" i="8"/>
  <c r="T114" i="8"/>
  <c r="S114" i="8"/>
  <c r="R114" i="8"/>
  <c r="W113" i="8"/>
  <c r="U113" i="8"/>
  <c r="T113" i="8"/>
  <c r="S113" i="8"/>
  <c r="R113" i="8"/>
  <c r="W112" i="8"/>
  <c r="U112" i="8"/>
  <c r="T112" i="8"/>
  <c r="S112" i="8"/>
  <c r="R112" i="8"/>
  <c r="W111" i="8"/>
  <c r="U111" i="8"/>
  <c r="T111" i="8"/>
  <c r="S111" i="8"/>
  <c r="R111" i="8"/>
  <c r="W110" i="8"/>
  <c r="U110" i="8"/>
  <c r="T110" i="8"/>
  <c r="S110" i="8"/>
  <c r="R110" i="8"/>
  <c r="W109" i="8"/>
  <c r="U109" i="8"/>
  <c r="T109" i="8"/>
  <c r="S109" i="8"/>
  <c r="R109" i="8"/>
  <c r="W108" i="8"/>
  <c r="U108" i="8"/>
  <c r="T108" i="8"/>
  <c r="S108" i="8"/>
  <c r="R108" i="8"/>
  <c r="W107" i="8"/>
  <c r="U107" i="8"/>
  <c r="T107" i="8"/>
  <c r="S107" i="8"/>
  <c r="R107" i="8"/>
  <c r="W106" i="8"/>
  <c r="U106" i="8"/>
  <c r="T106" i="8"/>
  <c r="S106" i="8"/>
  <c r="R106" i="8"/>
  <c r="W105" i="8"/>
  <c r="U105" i="8"/>
  <c r="T105" i="8"/>
  <c r="S105" i="8"/>
  <c r="R105" i="8"/>
  <c r="W104" i="8"/>
  <c r="U104" i="8"/>
  <c r="T104" i="8"/>
  <c r="S104" i="8"/>
  <c r="R104" i="8"/>
  <c r="W103" i="8"/>
  <c r="U103" i="8"/>
  <c r="T103" i="8"/>
  <c r="S103" i="8"/>
  <c r="R103" i="8"/>
  <c r="W102" i="8"/>
  <c r="U102" i="8"/>
  <c r="T102" i="8"/>
  <c r="S102" i="8"/>
  <c r="R102" i="8"/>
  <c r="W101" i="8"/>
  <c r="U101" i="8"/>
  <c r="T101" i="8"/>
  <c r="S101" i="8"/>
  <c r="R101" i="8"/>
  <c r="W100" i="8"/>
  <c r="U100" i="8"/>
  <c r="T100" i="8"/>
  <c r="S100" i="8"/>
  <c r="R100" i="8"/>
  <c r="W99" i="8"/>
  <c r="U99" i="8"/>
  <c r="T99" i="8"/>
  <c r="S99" i="8"/>
  <c r="R99" i="8"/>
  <c r="W98" i="8"/>
  <c r="U98" i="8"/>
  <c r="T98" i="8"/>
  <c r="S98" i="8"/>
  <c r="R98" i="8"/>
  <c r="W97" i="8"/>
  <c r="U97" i="8"/>
  <c r="T97" i="8"/>
  <c r="S97" i="8"/>
  <c r="R97" i="8"/>
  <c r="W96" i="8"/>
  <c r="U96" i="8"/>
  <c r="T96" i="8"/>
  <c r="S96" i="8"/>
  <c r="R96" i="8"/>
  <c r="W95" i="8"/>
  <c r="U95" i="8"/>
  <c r="T95" i="8"/>
  <c r="S95" i="8"/>
  <c r="R95" i="8"/>
  <c r="W94" i="8"/>
  <c r="U94" i="8"/>
  <c r="T94" i="8"/>
  <c r="S94" i="8"/>
  <c r="R94" i="8"/>
  <c r="W93" i="8"/>
  <c r="U93" i="8"/>
  <c r="T93" i="8"/>
  <c r="S93" i="8"/>
  <c r="R93" i="8"/>
  <c r="W92" i="8"/>
  <c r="U92" i="8"/>
  <c r="T92" i="8"/>
  <c r="S92" i="8"/>
  <c r="R92" i="8"/>
  <c r="W91" i="8"/>
  <c r="U91" i="8"/>
  <c r="T91" i="8"/>
  <c r="S91" i="8"/>
  <c r="R91" i="8"/>
  <c r="W90" i="8"/>
  <c r="U90" i="8"/>
  <c r="T90" i="8"/>
  <c r="S90" i="8"/>
  <c r="R90" i="8"/>
  <c r="W89" i="8"/>
  <c r="U89" i="8"/>
  <c r="T89" i="8"/>
  <c r="S89" i="8"/>
  <c r="R89" i="8"/>
  <c r="W88" i="8"/>
  <c r="U88" i="8"/>
  <c r="T88" i="8"/>
  <c r="S88" i="8"/>
  <c r="R88" i="8"/>
  <c r="W87" i="8"/>
  <c r="T87" i="8"/>
  <c r="S87" i="8"/>
  <c r="R87" i="8"/>
  <c r="P84" i="8"/>
  <c r="S84" i="8" s="1"/>
  <c r="D65" i="8"/>
  <c r="E65" i="8" s="1"/>
  <c r="D64" i="8"/>
  <c r="E64" i="8" s="1"/>
  <c r="D63" i="8"/>
  <c r="E63" i="8" s="1"/>
  <c r="D62" i="8"/>
  <c r="E62" i="8" s="1"/>
  <c r="D61" i="8"/>
  <c r="E61" i="8" s="1"/>
  <c r="D60" i="8"/>
  <c r="E60" i="8" s="1"/>
  <c r="D59" i="8"/>
  <c r="E59" i="8" s="1"/>
  <c r="D58" i="8"/>
  <c r="E58" i="8" s="1"/>
  <c r="D57" i="8"/>
  <c r="E57" i="8" s="1"/>
  <c r="D56" i="8"/>
  <c r="E56" i="8" s="1"/>
  <c r="D55" i="8"/>
  <c r="E55" i="8" s="1"/>
  <c r="D54" i="8"/>
  <c r="E54" i="8" s="1"/>
  <c r="D53" i="8"/>
  <c r="E53" i="8" s="1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4" i="8"/>
  <c r="N80" i="7"/>
  <c r="M80" i="7"/>
  <c r="N61" i="7"/>
  <c r="M61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Y49" i="7" s="1"/>
  <c r="X27" i="7"/>
  <c r="S150" i="8" l="1"/>
  <c r="R42" i="7"/>
  <c r="AC21" i="7"/>
  <c r="O40" i="7" l="1"/>
  <c r="P40" i="7" s="1"/>
  <c r="X20" i="7"/>
  <c r="Y20" i="7" s="1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H4" i="5" l="1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G4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</calcChain>
</file>

<file path=xl/sharedStrings.xml><?xml version="1.0" encoding="utf-8"?>
<sst xmlns="http://schemas.openxmlformats.org/spreadsheetml/2006/main" count="286" uniqueCount="146">
  <si>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</si>
  <si>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</si>
  <si>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</si>
  <si>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</si>
  <si>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</si>
  <si>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</si>
  <si>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</si>
  <si>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</si>
  <si>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</si>
  <si>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Nushagak</t>
  </si>
  <si>
    <t>blue is before 1999, red is after 1999--major change in pattern</t>
  </si>
  <si>
    <t>which gives</t>
  </si>
  <si>
    <t>predicted run for 2025</t>
  </si>
  <si>
    <t>thePC1 prediction would have been even lower for 2024!</t>
  </si>
  <si>
    <t>extreme upper right point was 2024! But 1.2s pooped out, so extra 1.1s helped a lot</t>
  </si>
  <si>
    <t>fairly ordinary</t>
  </si>
  <si>
    <t xml:space="preserve">pred for 2025 is </t>
  </si>
  <si>
    <t>Correlations at -12 and -24 (broad) for post-1999</t>
  </si>
  <si>
    <t>Naknek</t>
  </si>
  <si>
    <t>The value needed to predict 2025 is not available from PACEA</t>
  </si>
  <si>
    <t>cann't make use of this</t>
  </si>
  <si>
    <t>The 2025 value of PC1(T-24) is</t>
  </si>
  <si>
    <t>in middle of cloud</t>
  </si>
  <si>
    <t xml:space="preserve"> lower than official 3.66m</t>
  </si>
  <si>
    <t>ln 1.1s</t>
  </si>
  <si>
    <t>ln 1.2s</t>
  </si>
  <si>
    <t>LN 1.3S</t>
  </si>
  <si>
    <t>LN RATIO FROM 1.2S</t>
  </si>
  <si>
    <t>LN 2.2</t>
  </si>
  <si>
    <t>ReturnYear</t>
  </si>
  <si>
    <t>ln 1.1s have no useful correlations. -36 is too early</t>
  </si>
  <si>
    <t xml:space="preserve">ln 1.2s </t>
  </si>
  <si>
    <t xml:space="preserve">PC1(-24) for 2024 is </t>
  </si>
  <si>
    <t>predicted  1.2s for 2025</t>
  </si>
  <si>
    <t>official is 0.78 , a bit lower</t>
  </si>
  <si>
    <t>multiple regression for 1.2s</t>
  </si>
  <si>
    <t>ln 1.2</t>
  </si>
  <si>
    <t>ln prev1.1</t>
  </si>
  <si>
    <t>PC1-24</t>
  </si>
  <si>
    <t>year</t>
  </si>
  <si>
    <t>delete years with zero 1.1s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</si>
  <si>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</si>
  <si>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</si>
  <si>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</si>
  <si>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</si>
  <si>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</si>
  <si>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</si>
  <si>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</si>
  <si>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</si>
  <si>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</si>
  <si>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</si>
  <si>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</si>
  <si>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</si>
  <si>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</si>
  <si>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</si>
  <si>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</si>
  <si>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</si>
  <si>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</si>
  <si>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</si>
  <si>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</si>
  <si>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</si>
  <si>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</si>
  <si>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</si>
  <si>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</si>
  <si>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</si>
  <si>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</si>
  <si>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</si>
  <si>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both are significant</t>
  </si>
  <si>
    <t>pred</t>
  </si>
  <si>
    <t>prediction is red dot--at edge of clound but a similar case happened in 2002</t>
  </si>
  <si>
    <t>looks reasonable, even if imprecise</t>
  </si>
  <si>
    <t>only large recent correlation is at T-36</t>
  </si>
  <si>
    <t>Looks like a usable prediction of 1.3s</t>
  </si>
  <si>
    <t xml:space="preserve">for 2025 PC1(T-36) is </t>
  </si>
  <si>
    <t>at right side of cloud</t>
  </si>
  <si>
    <t>gives</t>
  </si>
  <si>
    <t>1.3s</t>
  </si>
  <si>
    <t>correlation structure show major change with regime</t>
  </si>
  <si>
    <t>this is a useful regression, but 2025 T-36</t>
  </si>
  <si>
    <t xml:space="preserve"> is at right edge of cloud</t>
  </si>
  <si>
    <t>2.2s</t>
  </si>
  <si>
    <t>Case:</t>
  </si>
  <si>
    <t>observations</t>
  </si>
  <si>
    <t>Year</t>
  </si>
  <si>
    <t>Xt</t>
  </si>
  <si>
    <t>ln Rects</t>
  </si>
  <si>
    <t>deltaLnR</t>
  </si>
  <si>
    <t>Comments</t>
  </si>
  <si>
    <t>2015 and 2016 seems to show no special relationship, suggesting no substantial El Nino effect.</t>
  </si>
  <si>
    <t>use data since 1999</t>
  </si>
  <si>
    <t>Trend since 2006 (linearized logs) gives 2024 value of</t>
  </si>
  <si>
    <t>which antilogs to</t>
  </si>
  <si>
    <t>actual came in at half that!</t>
  </si>
  <si>
    <t>BEGIN WORK ON 2025 PREDICTION, INCLUDING BROOD TABLE</t>
  </si>
  <si>
    <t>System</t>
  </si>
  <si>
    <t>River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</si>
  <si>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</si>
  <si>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</si>
  <si>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</si>
  <si>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</si>
  <si>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</si>
  <si>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</si>
  <si>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</si>
  <si>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</si>
  <si>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AC_2.4</t>
  </si>
  <si>
    <t>AC_3.1</t>
  </si>
  <si>
    <t>AC_3.2</t>
  </si>
  <si>
    <t>AC_3.3</t>
  </si>
  <si>
    <t>Bristol Bay</t>
  </si>
  <si>
    <t>since 99</t>
  </si>
  <si>
    <t>avg</t>
  </si>
  <si>
    <t>other</t>
  </si>
  <si>
    <t>percent</t>
  </si>
  <si>
    <t>official pred was</t>
  </si>
  <si>
    <t>also much too high</t>
  </si>
  <si>
    <t>mostly 1.2s and 1.3s</t>
  </si>
  <si>
    <t>rare large 2.2s and 2.3s, but small contribution on average</t>
  </si>
  <si>
    <t>1.3s came in very weak, at about 1/3 of normal--previous year's 1.2s were also weak</t>
  </si>
  <si>
    <t>ln1.2s forn ln 1.1s previous</t>
  </si>
  <si>
    <t>log-log relationship is poor, low r square, influenced by single outlier</t>
  </si>
  <si>
    <t xml:space="preserve">we had </t>
  </si>
  <si>
    <t>2.2s in 2024</t>
  </si>
  <si>
    <t>1.2s are weakly predictable from 1.1s (log-log with zeros omitted)</t>
  </si>
  <si>
    <t>2024 was at the center bottom, surprising</t>
  </si>
  <si>
    <t>would give</t>
  </si>
  <si>
    <t>1.1s in 2024 (far left edge of cloud)</t>
  </si>
  <si>
    <t>1.2s</t>
  </si>
  <si>
    <t>compares with official 0.78m</t>
  </si>
  <si>
    <r>
      <t xml:space="preserve">Multiple regression gives </t>
    </r>
    <r>
      <rPr>
        <sz val="11"/>
        <color rgb="FFFF0000"/>
        <rFont val="Aptos Narrow"/>
        <family val="2"/>
        <scheme val="minor"/>
      </rPr>
      <t>636860</t>
    </r>
  </si>
  <si>
    <t>best est</t>
  </si>
  <si>
    <t>top left graphof total run shows</t>
  </si>
  <si>
    <t>IF WE USE ENVIRONMENTAL EFFECT FROM PC1</t>
  </si>
  <si>
    <t>OFFICIAL PRED(m)</t>
  </si>
  <si>
    <t>It looks like 3 out of 4 (or 4 out of 5) historical dips have at least double-low values</t>
  </si>
  <si>
    <t>from Mult reg (1.1s and PC1-24)</t>
  </si>
  <si>
    <t>Use historical pattern to predict 2025 will be about the same as 24</t>
  </si>
  <si>
    <t>from PC1</t>
  </si>
  <si>
    <t>mine is much higher, but much lower thn average</t>
  </si>
  <si>
    <t>predict</t>
  </si>
  <si>
    <t>on the basis of pattern --similar to official pred of 3.66</t>
  </si>
  <si>
    <t>mine is much smaller</t>
  </si>
  <si>
    <t>regression on 2.2s</t>
  </si>
  <si>
    <t>total</t>
  </si>
  <si>
    <t>SIMILAR TOTAL, DIFFERENT COMPS!</t>
  </si>
  <si>
    <t>THIS IS CLOSE TO THE SAME AS THE HISTORICAL PATTERN OF DOUBLE-BOTTOMS WOULD GIVE</t>
  </si>
  <si>
    <t>AND FAR BELOW THE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</si>
</sst>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2" borderId="0" xfId="0" applyFill="1"/>
    <xf numFmtId="0" fontId="0" fillId="2" borderId="1" xfId="0" applyFill="1" applyBorder="1"/>
    <xf numFmtId="0" fontId="5" fillId="0" borderId="0" xfId="0" applyFont="1"/>
    <xf numFmtId="0" fontId="6" fillId="0" borderId="0" xfId="0" applyFont="1"/>
    <xf numFmtId="1" fontId="0" fillId="0" borderId="0" xfId="0" applyNumberFormat="1"/>
    <xf numFmtId="165" fontId="0" fillId="0" borderId="0" xfId="0" applyNumberFormat="1"/>
    <xf numFmtId="1" fontId="5" fillId="0" borderId="0" xfId="0" applyNumberFormat="1" applyFont="1"/>
    <xf numFmtId="0" fontId="0" fillId="0" borderId="3" xfId="0" applyBorder="1"/>
    <xf numFmtId="1" fontId="0" fillId="0" borderId="3" xfId="0" applyNumberFormat="1" applyBorder="1"/>
    <xf numFmtId="166" fontId="0" fillId="0" borderId="0" xfId="1" applyNumberFormat="1" applyFont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2.2s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early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0.21483579660596899</c:v>
                </c:pt>
                <c:pt idx="1">
                  <c:v>0.29619357674160868</c:v>
                </c:pt>
                <c:pt idx="2">
                  <c:v>0.22009157400692667</c:v>
                </c:pt>
                <c:pt idx="3">
                  <c:v>0.26911626011252715</c:v>
                </c:pt>
                <c:pt idx="4">
                  <c:v>0.19560749227453175</c:v>
                </c:pt>
                <c:pt idx="5">
                  <c:v>0.41227172980604049</c:v>
                </c:pt>
                <c:pt idx="6">
                  <c:v>0.31039811973672526</c:v>
                </c:pt>
                <c:pt idx="7">
                  <c:v>0.16603185690543912</c:v>
                </c:pt>
                <c:pt idx="8">
                  <c:v>0.32461625878394634</c:v>
                </c:pt>
                <c:pt idx="9">
                  <c:v>0.15014301652996606</c:v>
                </c:pt>
                <c:pt idx="10">
                  <c:v>0.22654820655496868</c:v>
                </c:pt>
                <c:pt idx="11">
                  <c:v>0.21588429616721933</c:v>
                </c:pt>
                <c:pt idx="12">
                  <c:v>0.15564408841721522</c:v>
                </c:pt>
                <c:pt idx="13">
                  <c:v>0.13457339874210925</c:v>
                </c:pt>
                <c:pt idx="14">
                  <c:v>0.17047684361914409</c:v>
                </c:pt>
                <c:pt idx="15">
                  <c:v>0.25863595858680966</c:v>
                </c:pt>
                <c:pt idx="16">
                  <c:v>0.42111834124986552</c:v>
                </c:pt>
                <c:pt idx="17">
                  <c:v>0.27251791528889779</c:v>
                </c:pt>
                <c:pt idx="18">
                  <c:v>-0.12048191734345964</c:v>
                </c:pt>
                <c:pt idx="19">
                  <c:v>4.7255415018891564E-2</c:v>
                </c:pt>
                <c:pt idx="20">
                  <c:v>7.8275451606262356E-2</c:v>
                </c:pt>
                <c:pt idx="21">
                  <c:v>-0.21586940014773742</c:v>
                </c:pt>
                <c:pt idx="22">
                  <c:v>-0.12349982429656016</c:v>
                </c:pt>
                <c:pt idx="23">
                  <c:v>-0.41209720944348438</c:v>
                </c:pt>
                <c:pt idx="24">
                  <c:v>-0.23268259568541005</c:v>
                </c:pt>
                <c:pt idx="25">
                  <c:v>-0.25213637040643799</c:v>
                </c:pt>
                <c:pt idx="26">
                  <c:v>-0.28675436047689429</c:v>
                </c:pt>
                <c:pt idx="27">
                  <c:v>-0.14650680422290471</c:v>
                </c:pt>
                <c:pt idx="28">
                  <c:v>-8.1507760390881426E-3</c:v>
                </c:pt>
                <c:pt idx="29">
                  <c:v>-0.1345141066972308</c:v>
                </c:pt>
                <c:pt idx="30">
                  <c:v>-0.29445065662619518</c:v>
                </c:pt>
                <c:pt idx="31">
                  <c:v>5.9892288852952599E-3</c:v>
                </c:pt>
                <c:pt idx="32">
                  <c:v>-1.4219542920011773E-2</c:v>
                </c:pt>
                <c:pt idx="33">
                  <c:v>-5.7030018140918924E-2</c:v>
                </c:pt>
                <c:pt idx="34">
                  <c:v>-0.12812979501599561</c:v>
                </c:pt>
                <c:pt idx="35">
                  <c:v>-0.15135670064079623</c:v>
                </c:pt>
                <c:pt idx="36">
                  <c:v>0.14776501470966774</c:v>
                </c:pt>
                <c:pt idx="37">
                  <c:v>5.0247635914399208E-2</c:v>
                </c:pt>
                <c:pt idx="38">
                  <c:v>8.9901575766900815E-3</c:v>
                </c:pt>
                <c:pt idx="39">
                  <c:v>-0.2081591752562795</c:v>
                </c:pt>
                <c:pt idx="40">
                  <c:v>-0.20762354106225667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B-464D-8D48-6B9340721D4C}"/>
            </c:ext>
          </c:extLst>
        </c:ser>
        <c:ser>
          <c:idx val="0"/>
          <c:order val="1"/>
          <c:tx>
            <c:v>recent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-0.1637437659826172</c:v>
                </c:pt>
                <c:pt idx="1">
                  <c:v>-0.16664268231274601</c:v>
                </c:pt>
                <c:pt idx="2">
                  <c:v>-0.13875896408496555</c:v>
                </c:pt>
                <c:pt idx="3">
                  <c:v>-0.2442651115733698</c:v>
                </c:pt>
                <c:pt idx="4">
                  <c:v>-0.25380293855128033</c:v>
                </c:pt>
                <c:pt idx="5">
                  <c:v>-5.782347810709821E-2</c:v>
                </c:pt>
                <c:pt idx="6">
                  <c:v>-0.17098897400242527</c:v>
                </c:pt>
                <c:pt idx="7">
                  <c:v>-0.237256423338367</c:v>
                </c:pt>
                <c:pt idx="8">
                  <c:v>-0.20614995506523565</c:v>
                </c:pt>
                <c:pt idx="9">
                  <c:v>-0.18489202075132199</c:v>
                </c:pt>
                <c:pt idx="10">
                  <c:v>-0.18157716574360311</c:v>
                </c:pt>
                <c:pt idx="11">
                  <c:v>-0.2422986922601805</c:v>
                </c:pt>
                <c:pt idx="12">
                  <c:v>-0.28276010867350987</c:v>
                </c:pt>
                <c:pt idx="13">
                  <c:v>-0.16591568608244717</c:v>
                </c:pt>
                <c:pt idx="14">
                  <c:v>-0.12333162599944893</c:v>
                </c:pt>
                <c:pt idx="15">
                  <c:v>-0.15759508072160919</c:v>
                </c:pt>
                <c:pt idx="16">
                  <c:v>-0.44666766667954683</c:v>
                </c:pt>
                <c:pt idx="17">
                  <c:v>-0.33340991012507998</c:v>
                </c:pt>
                <c:pt idx="18">
                  <c:v>-0.281781709428718</c:v>
                </c:pt>
                <c:pt idx="19">
                  <c:v>-0.27820719771938418</c:v>
                </c:pt>
                <c:pt idx="20">
                  <c:v>-0.31762126901990667</c:v>
                </c:pt>
                <c:pt idx="21">
                  <c:v>-0.24907599248601234</c:v>
                </c:pt>
                <c:pt idx="22">
                  <c:v>-0.28596166679272089</c:v>
                </c:pt>
                <c:pt idx="23">
                  <c:v>-9.7954395451142692E-2</c:v>
                </c:pt>
                <c:pt idx="24">
                  <c:v>-1.2784446208805405E-2</c:v>
                </c:pt>
                <c:pt idx="25">
                  <c:v>5.3746767863791907E-2</c:v>
                </c:pt>
                <c:pt idx="26">
                  <c:v>0.20590408220486078</c:v>
                </c:pt>
                <c:pt idx="27">
                  <c:v>0.18553087170507082</c:v>
                </c:pt>
                <c:pt idx="28">
                  <c:v>0.19705536563819931</c:v>
                </c:pt>
                <c:pt idx="29">
                  <c:v>6.522418644706561E-2</c:v>
                </c:pt>
                <c:pt idx="30">
                  <c:v>9.4125337663778716E-2</c:v>
                </c:pt>
                <c:pt idx="31">
                  <c:v>0.12912935628531044</c:v>
                </c:pt>
                <c:pt idx="32">
                  <c:v>0.19175235827886167</c:v>
                </c:pt>
                <c:pt idx="33">
                  <c:v>0.17245653269565275</c:v>
                </c:pt>
                <c:pt idx="34">
                  <c:v>0.20796006828354865</c:v>
                </c:pt>
                <c:pt idx="35">
                  <c:v>0.48578082680212364</c:v>
                </c:pt>
                <c:pt idx="36">
                  <c:v>0.66632630542938531</c:v>
                </c:pt>
                <c:pt idx="37">
                  <c:v>0.55076255689923959</c:v>
                </c:pt>
                <c:pt idx="38">
                  <c:v>0.54999200708070939</c:v>
                </c:pt>
                <c:pt idx="39">
                  <c:v>0.64940220689447581</c:v>
                </c:pt>
                <c:pt idx="40">
                  <c:v>0.60925530391432503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E-4B16-9AA6-1221DB6C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2.2 vs PC1(T-36)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589479440069992"/>
                  <c:y val="0.269592811315252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Cors!$AQ$27:$AQ$52</c:f>
              <c:numCache>
                <c:formatCode>0.000</c:formatCode>
                <c:ptCount val="26"/>
                <c:pt idx="0">
                  <c:v>0.93481068946924495</c:v>
                </c:pt>
                <c:pt idx="1">
                  <c:v>-1.0207669603507683</c:v>
                </c:pt>
                <c:pt idx="2">
                  <c:v>0.36530161782924503</c:v>
                </c:pt>
                <c:pt idx="3">
                  <c:v>4.2896200438692365</c:v>
                </c:pt>
                <c:pt idx="4">
                  <c:v>3.5373226747692317</c:v>
                </c:pt>
                <c:pt idx="5">
                  <c:v>2.8748315578692294</c:v>
                </c:pt>
                <c:pt idx="6">
                  <c:v>1.9076068417692387</c:v>
                </c:pt>
                <c:pt idx="7">
                  <c:v>2.2880968023692252</c:v>
                </c:pt>
                <c:pt idx="8">
                  <c:v>1.3046613783592229</c:v>
                </c:pt>
                <c:pt idx="9">
                  <c:v>-0.5079246517307725</c:v>
                </c:pt>
                <c:pt idx="10">
                  <c:v>2.1628221249392339</c:v>
                </c:pt>
                <c:pt idx="11">
                  <c:v>2.2741382218892316</c:v>
                </c:pt>
                <c:pt idx="12">
                  <c:v>3.1445083440692292</c:v>
                </c:pt>
                <c:pt idx="13">
                  <c:v>2.8559780762592273</c:v>
                </c:pt>
                <c:pt idx="14">
                  <c:v>2.1367981933692386</c:v>
                </c:pt>
                <c:pt idx="15">
                  <c:v>2.994733051169236</c:v>
                </c:pt>
                <c:pt idx="16">
                  <c:v>3.3148665312692316</c:v>
                </c:pt>
                <c:pt idx="17">
                  <c:v>2.6100064923692252</c:v>
                </c:pt>
                <c:pt idx="18">
                  <c:v>1.4034630548992453</c:v>
                </c:pt>
                <c:pt idx="19">
                  <c:v>-3.0684870940772491E-2</c:v>
                </c:pt>
                <c:pt idx="20">
                  <c:v>-3.6238594620772724E-2</c:v>
                </c:pt>
                <c:pt idx="21">
                  <c:v>0.6355308827592252</c:v>
                </c:pt>
                <c:pt idx="22">
                  <c:v>2.0574152523692271</c:v>
                </c:pt>
                <c:pt idx="23">
                  <c:v>0.16846339816923617</c:v>
                </c:pt>
                <c:pt idx="24">
                  <c:v>0.94188844476923839</c:v>
                </c:pt>
                <c:pt idx="25">
                  <c:v>3.013470621229243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13.501784038595371</c:v>
                </c:pt>
                <c:pt idx="1">
                  <c:v>11.676352977456308</c:v>
                </c:pt>
                <c:pt idx="2">
                  <c:v>10.812838087418044</c:v>
                </c:pt>
                <c:pt idx="3">
                  <c:v>13.623744392256096</c:v>
                </c:pt>
                <c:pt idx="4">
                  <c:v>13.224567665947617</c:v>
                </c:pt>
                <c:pt idx="5">
                  <c:v>13.470152933311814</c:v>
                </c:pt>
                <c:pt idx="6">
                  <c:v>13.025625362414097</c:v>
                </c:pt>
                <c:pt idx="7">
                  <c:v>12.889773823313828</c:v>
                </c:pt>
                <c:pt idx="8">
                  <c:v>12.431966171943071</c:v>
                </c:pt>
                <c:pt idx="9">
                  <c:v>12.417884989670689</c:v>
                </c:pt>
                <c:pt idx="10">
                  <c:v>13.794351466530339</c:v>
                </c:pt>
                <c:pt idx="11">
                  <c:v>13.594149402096543</c:v>
                </c:pt>
                <c:pt idx="12">
                  <c:v>13.48376661801206</c:v>
                </c:pt>
                <c:pt idx="13">
                  <c:v>13.377585581387612</c:v>
                </c:pt>
                <c:pt idx="14">
                  <c:v>12.79594360357313</c:v>
                </c:pt>
                <c:pt idx="15">
                  <c:v>12.890521506676725</c:v>
                </c:pt>
                <c:pt idx="16">
                  <c:v>14.131595402342031</c:v>
                </c:pt>
                <c:pt idx="17">
                  <c:v>13.669410953845441</c:v>
                </c:pt>
                <c:pt idx="18">
                  <c:v>13.331861791617634</c:v>
                </c:pt>
                <c:pt idx="19">
                  <c:v>12.338730353078276</c:v>
                </c:pt>
                <c:pt idx="20">
                  <c:v>12.390620984587249</c:v>
                </c:pt>
                <c:pt idx="21">
                  <c:v>12.549971171947359</c:v>
                </c:pt>
                <c:pt idx="22">
                  <c:v>12.95529356595536</c:v>
                </c:pt>
                <c:pt idx="23">
                  <c:v>13.571533001626717</c:v>
                </c:pt>
                <c:pt idx="24">
                  <c:v>12.400117793889724</c:v>
                </c:pt>
                <c:pt idx="25">
                  <c:v>12.957841533817243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E-43BB-A05C-6A41026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3919"/>
        <c:axId val="55015359"/>
      </c:scatterChart>
      <c:valAx>
        <c:axId val="5501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5359"/>
        <c:crosses val="autoZero"/>
        <c:crossBetween val="midCat"/>
      </c:valAx>
      <c:valAx>
        <c:axId val="55015359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 1.2s from mult reg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21653543307086"/>
                  <c:y val="0.323265893846602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ENVIRO!$X$27:$X$48</c:f>
              <c:numCache>
                <c:formatCode>General</c:formatCode>
                <c:ptCount val="22"/>
                <c:pt idx="0">
                  <c:v>14.700099271010295</c:v>
                </c:pt>
                <c:pt idx="1">
                  <c:v>13.964564730123318</c:v>
                </c:pt>
                <c:pt idx="2">
                  <c:v>13.320286854118885</c:v>
                </c:pt>
                <c:pt idx="3">
                  <c:v>13.885605625869349</c:v>
                </c:pt>
                <c:pt idx="4">
                  <c:v>14.731785878703608</c:v>
                </c:pt>
                <c:pt idx="5">
                  <c:v>14.614163357132208</c:v>
                </c:pt>
                <c:pt idx="6">
                  <c:v>14.482070117548224</c:v>
                </c:pt>
                <c:pt idx="7">
                  <c:v>14.408402231127091</c:v>
                </c:pt>
                <c:pt idx="8">
                  <c:v>14.18225706212808</c:v>
                </c:pt>
                <c:pt idx="9">
                  <c:v>14.384982280876224</c:v>
                </c:pt>
                <c:pt idx="10">
                  <c:v>13.847314036724217</c:v>
                </c:pt>
                <c:pt idx="11">
                  <c:v>14.551830229342906</c:v>
                </c:pt>
                <c:pt idx="12">
                  <c:v>14.634703718447653</c:v>
                </c:pt>
                <c:pt idx="13">
                  <c:v>14.339695704137865</c:v>
                </c:pt>
                <c:pt idx="14">
                  <c:v>15.035391539077448</c:v>
                </c:pt>
                <c:pt idx="15">
                  <c:v>14.871461802261493</c:v>
                </c:pt>
                <c:pt idx="16">
                  <c:v>14.793166130571613</c:v>
                </c:pt>
                <c:pt idx="17">
                  <c:v>13.62103548502243</c:v>
                </c:pt>
                <c:pt idx="18">
                  <c:v>14.980486223719449</c:v>
                </c:pt>
                <c:pt idx="19">
                  <c:v>14.648571309542531</c:v>
                </c:pt>
                <c:pt idx="20">
                  <c:v>13.643766677116787</c:v>
                </c:pt>
                <c:pt idx="21">
                  <c:v>14.083221695363394</c:v>
                </c:pt>
              </c:numCache>
            </c:numRef>
          </c:xVal>
          <c:yVal>
            <c:numRef>
              <c:f>ENVIRO!$U$27:$U$48</c:f>
              <c:numCache>
                <c:formatCode>General</c:formatCode>
                <c:ptCount val="22"/>
                <c:pt idx="0">
                  <c:v>14.701447437473176</c:v>
                </c:pt>
                <c:pt idx="1">
                  <c:v>12.738565527978336</c:v>
                </c:pt>
                <c:pt idx="2">
                  <c:v>13.297395598571367</c:v>
                </c:pt>
                <c:pt idx="3">
                  <c:v>14.003672414254584</c:v>
                </c:pt>
                <c:pt idx="4">
                  <c:v>14.201524746855402</c:v>
                </c:pt>
                <c:pt idx="5">
                  <c:v>15.121688948374045</c:v>
                </c:pt>
                <c:pt idx="6">
                  <c:v>14.080122119277158</c:v>
                </c:pt>
                <c:pt idx="7">
                  <c:v>14.320663086631512</c:v>
                </c:pt>
                <c:pt idx="8">
                  <c:v>14.437105214931968</c:v>
                </c:pt>
                <c:pt idx="9">
                  <c:v>13.271247653090485</c:v>
                </c:pt>
                <c:pt idx="10">
                  <c:v>13.033493365732111</c:v>
                </c:pt>
                <c:pt idx="11">
                  <c:v>14.9851666658057</c:v>
                </c:pt>
                <c:pt idx="12">
                  <c:v>14.611096177334328</c:v>
                </c:pt>
                <c:pt idx="13">
                  <c:v>14.687446686988523</c:v>
                </c:pt>
                <c:pt idx="14">
                  <c:v>14.824232933290597</c:v>
                </c:pt>
                <c:pt idx="15">
                  <c:v>14.899055906788035</c:v>
                </c:pt>
                <c:pt idx="16">
                  <c:v>15.475960231894964</c:v>
                </c:pt>
                <c:pt idx="17">
                  <c:v>14.768983384783255</c:v>
                </c:pt>
                <c:pt idx="18">
                  <c:v>15.247286674924156</c:v>
                </c:pt>
                <c:pt idx="19">
                  <c:v>14.808685506864565</c:v>
                </c:pt>
                <c:pt idx="20">
                  <c:v>13.967601744433978</c:v>
                </c:pt>
                <c:pt idx="21">
                  <c:v>14.242419933686856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6-4080-8F7B-B98F15E557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ENVIRO!$X$49</c:f>
              <c:numCache>
                <c:formatCode>General</c:formatCode>
                <c:ptCount val="1"/>
                <c:pt idx="0">
                  <c:v>13.364304467009314</c:v>
                </c:pt>
              </c:numCache>
            </c:numRef>
          </c:xVal>
          <c:yVal>
            <c:numRef>
              <c:f>ENVIRO!$X$49</c:f>
              <c:numCache>
                <c:formatCode>General</c:formatCode>
                <c:ptCount val="1"/>
                <c:pt idx="0">
                  <c:v>13.364304467009314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6-4080-8F7B-B98F15E55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79327"/>
        <c:axId val="742358815"/>
      </c:scatterChart>
      <c:valAx>
        <c:axId val="742379327"/>
        <c:scaling>
          <c:orientation val="minMax"/>
          <c:max val="16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58815"/>
        <c:crosses val="autoZero"/>
        <c:crossBetween val="midCat"/>
      </c:valAx>
      <c:valAx>
        <c:axId val="742358815"/>
        <c:scaling>
          <c:orientation val="minMax"/>
          <c:max val="16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7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[2]Naknek!$B$4:$B$65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[2]Naknek!$C$4:$C$65</c:f>
              <c:numCache>
                <c:formatCode>General</c:formatCode>
                <c:ptCount val="62"/>
                <c:pt idx="0">
                  <c:v>1796531.0083455001</c:v>
                </c:pt>
                <c:pt idx="1">
                  <c:v>1943395.1764118101</c:v>
                </c:pt>
                <c:pt idx="2">
                  <c:v>1222067.36441122</c:v>
                </c:pt>
                <c:pt idx="3">
                  <c:v>2884786.4943990102</c:v>
                </c:pt>
                <c:pt idx="4">
                  <c:v>1555050.91378771</c:v>
                </c:pt>
                <c:pt idx="5">
                  <c:v>1822083.2542699999</c:v>
                </c:pt>
                <c:pt idx="6">
                  <c:v>2641101.3201660099</c:v>
                </c:pt>
                <c:pt idx="7">
                  <c:v>2689519.0939190099</c:v>
                </c:pt>
                <c:pt idx="8">
                  <c:v>3658033.5732610598</c:v>
                </c:pt>
                <c:pt idx="9">
                  <c:v>1468384.3368623799</c:v>
                </c:pt>
                <c:pt idx="10">
                  <c:v>684258.61732342502</c:v>
                </c:pt>
                <c:pt idx="11">
                  <c:v>1474643.4770442001</c:v>
                </c:pt>
                <c:pt idx="12">
                  <c:v>3211149.7630650098</c:v>
                </c:pt>
                <c:pt idx="13">
                  <c:v>3200600.0848300098</c:v>
                </c:pt>
                <c:pt idx="14">
                  <c:v>2912820.4222806999</c:v>
                </c:pt>
                <c:pt idx="15">
                  <c:v>2256809.7992380098</c:v>
                </c:pt>
                <c:pt idx="16">
                  <c:v>2826605.6335040098</c:v>
                </c:pt>
                <c:pt idx="17">
                  <c:v>5080050.2974157203</c:v>
                </c:pt>
                <c:pt idx="18">
                  <c:v>8756831.2381839994</c:v>
                </c:pt>
                <c:pt idx="19">
                  <c:v>4660805.7869950002</c:v>
                </c:pt>
                <c:pt idx="20">
                  <c:v>3308264.2483293102</c:v>
                </c:pt>
                <c:pt idx="21">
                  <c:v>3876353.2648734101</c:v>
                </c:pt>
                <c:pt idx="22">
                  <c:v>4237309.7451430103</c:v>
                </c:pt>
                <c:pt idx="23">
                  <c:v>3991315.6486640102</c:v>
                </c:pt>
                <c:pt idx="24">
                  <c:v>2319010.07678321</c:v>
                </c:pt>
                <c:pt idx="25">
                  <c:v>1962972.6338520099</c:v>
                </c:pt>
                <c:pt idx="26">
                  <c:v>3669831.29577502</c:v>
                </c:pt>
                <c:pt idx="27">
                  <c:v>8300331.6001780201</c:v>
                </c:pt>
                <c:pt idx="28">
                  <c:v>9754424.6321010198</c:v>
                </c:pt>
                <c:pt idx="29">
                  <c:v>5222906.7848190097</c:v>
                </c:pt>
                <c:pt idx="30">
                  <c:v>5577184.7625029199</c:v>
                </c:pt>
                <c:pt idx="31">
                  <c:v>3700808.24124602</c:v>
                </c:pt>
                <c:pt idx="32">
                  <c:v>3440141.6438730299</c:v>
                </c:pt>
                <c:pt idx="33">
                  <c:v>4662460.9266880099</c:v>
                </c:pt>
                <c:pt idx="34">
                  <c:v>1910810.1956946701</c:v>
                </c:pt>
                <c:pt idx="35">
                  <c:v>2365116.317756</c:v>
                </c:pt>
                <c:pt idx="36">
                  <c:v>4701483.5908614099</c:v>
                </c:pt>
                <c:pt idx="37">
                  <c:v>3967486.1081528999</c:v>
                </c:pt>
                <c:pt idx="38">
                  <c:v>5991184.9410420097</c:v>
                </c:pt>
                <c:pt idx="39">
                  <c:v>2813597.6574756</c:v>
                </c:pt>
                <c:pt idx="40">
                  <c:v>4861853.1156590004</c:v>
                </c:pt>
                <c:pt idx="41">
                  <c:v>4066709.70364501</c:v>
                </c:pt>
                <c:pt idx="42">
                  <c:v>8765371.0064671095</c:v>
                </c:pt>
                <c:pt idx="43">
                  <c:v>5342241.0852720002</c:v>
                </c:pt>
                <c:pt idx="44">
                  <c:v>8438491.6736100093</c:v>
                </c:pt>
                <c:pt idx="45">
                  <c:v>9129940.8834930193</c:v>
                </c:pt>
                <c:pt idx="46">
                  <c:v>4912919.8609469999</c:v>
                </c:pt>
                <c:pt idx="47">
                  <c:v>5436897.9001610102</c:v>
                </c:pt>
                <c:pt idx="48">
                  <c:v>5520113.2301130099</c:v>
                </c:pt>
                <c:pt idx="49">
                  <c:v>3322918.2408336001</c:v>
                </c:pt>
                <c:pt idx="50">
                  <c:v>3074881.6220356901</c:v>
                </c:pt>
                <c:pt idx="51">
                  <c:v>5323139.5860894704</c:v>
                </c:pt>
                <c:pt idx="52">
                  <c:v>6090439.2314824397</c:v>
                </c:pt>
                <c:pt idx="53">
                  <c:v>5037024.1275040098</c:v>
                </c:pt>
                <c:pt idx="54">
                  <c:v>5975665.3717357498</c:v>
                </c:pt>
                <c:pt idx="55">
                  <c:v>6926059.9819393205</c:v>
                </c:pt>
                <c:pt idx="56">
                  <c:v>8824530.4354587495</c:v>
                </c:pt>
                <c:pt idx="57">
                  <c:v>10102211.95616</c:v>
                </c:pt>
                <c:pt idx="58">
                  <c:v>7180305.8734784704</c:v>
                </c:pt>
                <c:pt idx="59">
                  <c:v>6455406.8033160903</c:v>
                </c:pt>
                <c:pt idx="60">
                  <c:v>6895356.0309782596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A-426C-AF9D-B9FC7EA5781F}"/>
            </c:ext>
          </c:extLst>
        </c:ser>
        <c:ser>
          <c:idx val="1"/>
          <c:order val="1"/>
          <c:xVal>
            <c:numRef>
              <c:f>[3]Naknek!$B$65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[3]Naknek!$C$65</c:f>
              <c:numCache>
                <c:formatCode>General</c:formatCode>
                <c:ptCount val="1"/>
                <c:pt idx="0">
                  <c:v>3160468.8105251598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2A-426C-AF9D-B9FC7EA5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60704"/>
        <c:axId val="233619840"/>
      </c:scatterChart>
      <c:valAx>
        <c:axId val="207960704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3619840"/>
        <c:crosses val="autoZero"/>
        <c:crossBetween val="midCat"/>
      </c:valAx>
      <c:valAx>
        <c:axId val="23361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60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[2]Naknek!$B$4:$B$65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[2]Naknek!$C$4:$C$65</c:f>
              <c:numCache>
                <c:formatCode>General</c:formatCode>
                <c:ptCount val="62"/>
                <c:pt idx="0">
                  <c:v>1796531.0083455001</c:v>
                </c:pt>
                <c:pt idx="1">
                  <c:v>1943395.1764118101</c:v>
                </c:pt>
                <c:pt idx="2">
                  <c:v>1222067.36441122</c:v>
                </c:pt>
                <c:pt idx="3">
                  <c:v>2884786.4943990102</c:v>
                </c:pt>
                <c:pt idx="4">
                  <c:v>1555050.91378771</c:v>
                </c:pt>
                <c:pt idx="5">
                  <c:v>1822083.2542699999</c:v>
                </c:pt>
                <c:pt idx="6">
                  <c:v>2641101.3201660099</c:v>
                </c:pt>
                <c:pt idx="7">
                  <c:v>2689519.0939190099</c:v>
                </c:pt>
                <c:pt idx="8">
                  <c:v>3658033.5732610598</c:v>
                </c:pt>
                <c:pt idx="9">
                  <c:v>1468384.3368623799</c:v>
                </c:pt>
                <c:pt idx="10">
                  <c:v>684258.61732342502</c:v>
                </c:pt>
                <c:pt idx="11">
                  <c:v>1474643.4770442001</c:v>
                </c:pt>
                <c:pt idx="12">
                  <c:v>3211149.7630650098</c:v>
                </c:pt>
                <c:pt idx="13">
                  <c:v>3200600.0848300098</c:v>
                </c:pt>
                <c:pt idx="14">
                  <c:v>2912820.4222806999</c:v>
                </c:pt>
                <c:pt idx="15">
                  <c:v>2256809.7992380098</c:v>
                </c:pt>
                <c:pt idx="16">
                  <c:v>2826605.6335040098</c:v>
                </c:pt>
                <c:pt idx="17">
                  <c:v>5080050.2974157203</c:v>
                </c:pt>
                <c:pt idx="18">
                  <c:v>8756831.2381839994</c:v>
                </c:pt>
                <c:pt idx="19">
                  <c:v>4660805.7869950002</c:v>
                </c:pt>
                <c:pt idx="20">
                  <c:v>3308264.2483293102</c:v>
                </c:pt>
                <c:pt idx="21">
                  <c:v>3876353.2648734101</c:v>
                </c:pt>
                <c:pt idx="22">
                  <c:v>4237309.7451430103</c:v>
                </c:pt>
                <c:pt idx="23">
                  <c:v>3991315.6486640102</c:v>
                </c:pt>
                <c:pt idx="24">
                  <c:v>2319010.07678321</c:v>
                </c:pt>
                <c:pt idx="25">
                  <c:v>1962972.6338520099</c:v>
                </c:pt>
                <c:pt idx="26">
                  <c:v>3669831.29577502</c:v>
                </c:pt>
                <c:pt idx="27">
                  <c:v>8300331.6001780201</c:v>
                </c:pt>
                <c:pt idx="28">
                  <c:v>9754424.6321010198</c:v>
                </c:pt>
                <c:pt idx="29">
                  <c:v>5222906.7848190097</c:v>
                </c:pt>
                <c:pt idx="30">
                  <c:v>5577184.7625029199</c:v>
                </c:pt>
                <c:pt idx="31">
                  <c:v>3700808.24124602</c:v>
                </c:pt>
                <c:pt idx="32">
                  <c:v>3440141.6438730299</c:v>
                </c:pt>
                <c:pt idx="33">
                  <c:v>4662460.9266880099</c:v>
                </c:pt>
                <c:pt idx="34">
                  <c:v>1910810.1956946701</c:v>
                </c:pt>
                <c:pt idx="35">
                  <c:v>2365116.317756</c:v>
                </c:pt>
                <c:pt idx="36">
                  <c:v>4701483.5908614099</c:v>
                </c:pt>
                <c:pt idx="37">
                  <c:v>3967486.1081528999</c:v>
                </c:pt>
                <c:pt idx="38">
                  <c:v>5991184.9410420097</c:v>
                </c:pt>
                <c:pt idx="39">
                  <c:v>2813597.6574756</c:v>
                </c:pt>
                <c:pt idx="40">
                  <c:v>4861853.1156590004</c:v>
                </c:pt>
                <c:pt idx="41">
                  <c:v>4066709.70364501</c:v>
                </c:pt>
                <c:pt idx="42">
                  <c:v>8765371.0064671095</c:v>
                </c:pt>
                <c:pt idx="43">
                  <c:v>5342241.0852720002</c:v>
                </c:pt>
                <c:pt idx="44">
                  <c:v>8438491.6736100093</c:v>
                </c:pt>
                <c:pt idx="45">
                  <c:v>9129940.8834930193</c:v>
                </c:pt>
                <c:pt idx="46">
                  <c:v>4912919.8609469999</c:v>
                </c:pt>
                <c:pt idx="47">
                  <c:v>5436897.9001610102</c:v>
                </c:pt>
                <c:pt idx="48">
                  <c:v>5520113.2301130099</c:v>
                </c:pt>
                <c:pt idx="49">
                  <c:v>3322918.2408336001</c:v>
                </c:pt>
                <c:pt idx="50">
                  <c:v>3074881.6220356901</c:v>
                </c:pt>
                <c:pt idx="51">
                  <c:v>5323139.5860894704</c:v>
                </c:pt>
                <c:pt idx="52">
                  <c:v>6090439.2314824397</c:v>
                </c:pt>
                <c:pt idx="53">
                  <c:v>5037024.1275040098</c:v>
                </c:pt>
                <c:pt idx="54">
                  <c:v>5975665.3717357498</c:v>
                </c:pt>
                <c:pt idx="55">
                  <c:v>6926059.9819393205</c:v>
                </c:pt>
                <c:pt idx="56">
                  <c:v>8824530.4354587495</c:v>
                </c:pt>
                <c:pt idx="57">
                  <c:v>10102211.95616</c:v>
                </c:pt>
                <c:pt idx="58">
                  <c:v>7180305.8734784704</c:v>
                </c:pt>
                <c:pt idx="59">
                  <c:v>6455406.8033160903</c:v>
                </c:pt>
                <c:pt idx="60">
                  <c:v>6895356.0309782596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A-43CA-AB88-A9C2E12AA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480960"/>
        <c:axId val="233482496"/>
      </c:scatterChart>
      <c:valAx>
        <c:axId val="23348096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3482496"/>
        <c:crosses val="autoZero"/>
        <c:crossBetween val="midCat"/>
      </c:valAx>
      <c:valAx>
        <c:axId val="233482496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480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Naknek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3.8713488788178006E-2"/>
                  <c:y val="0.41894903762029745"/>
                </c:manualLayout>
              </c:layout>
              <c:numFmt formatCode="General" sourceLinked="0"/>
            </c:trendlineLbl>
          </c:trendline>
          <c:xVal>
            <c:numRef>
              <c:f>[2]Naknek!$B$40:$B$64</c:f>
              <c:numCache>
                <c:formatCode>General</c:formatCode>
                <c:ptCount val="25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</c:numCache>
            </c:numRef>
          </c:xVal>
          <c:yVal>
            <c:numRef>
              <c:f>[2]Naknek!$D$40:$D$65</c:f>
              <c:numCache>
                <c:formatCode>General</c:formatCode>
                <c:ptCount val="26"/>
                <c:pt idx="0">
                  <c:v>15.363388674500985</c:v>
                </c:pt>
                <c:pt idx="1">
                  <c:v>15.193643229965835</c:v>
                </c:pt>
                <c:pt idx="2">
                  <c:v>15.605799770401319</c:v>
                </c:pt>
                <c:pt idx="3">
                  <c:v>14.849974527569627</c:v>
                </c:pt>
                <c:pt idx="4">
                  <c:v>15.396930222718801</c:v>
                </c:pt>
                <c:pt idx="5">
                  <c:v>15.218344803842903</c:v>
                </c:pt>
                <c:pt idx="6">
                  <c:v>15.98631940361817</c:v>
                </c:pt>
                <c:pt idx="7">
                  <c:v>15.491155801785711</c:v>
                </c:pt>
                <c:pt idx="8">
                  <c:v>15.948314138943728</c:v>
                </c:pt>
                <c:pt idx="9">
                  <c:v>16.027069777576806</c:v>
                </c:pt>
                <c:pt idx="10">
                  <c:v>15.407378999384735</c:v>
                </c:pt>
                <c:pt idx="11">
                  <c:v>15.508719217243074</c:v>
                </c:pt>
                <c:pt idx="12">
                  <c:v>15.523908930744527</c:v>
                </c:pt>
                <c:pt idx="13">
                  <c:v>15.016353943011659</c:v>
                </c:pt>
                <c:pt idx="14">
                  <c:v>14.938776961582768</c:v>
                </c:pt>
                <c:pt idx="15">
                  <c:v>15.487573835010297</c:v>
                </c:pt>
                <c:pt idx="16">
                  <c:v>15.622230760481443</c:v>
                </c:pt>
                <c:pt idx="17">
                  <c:v>15.432326014770714</c:v>
                </c:pt>
                <c:pt idx="18">
                  <c:v>15.603206008868181</c:v>
                </c:pt>
                <c:pt idx="19">
                  <c:v>15.750801664308291</c:v>
                </c:pt>
                <c:pt idx="20">
                  <c:v>15.993045950921415</c:v>
                </c:pt>
                <c:pt idx="21">
                  <c:v>16.128264963393669</c:v>
                </c:pt>
                <c:pt idx="22">
                  <c:v>15.786852540880039</c:v>
                </c:pt>
                <c:pt idx="23">
                  <c:v>15.680428601704858</c:v>
                </c:pt>
                <c:pt idx="24">
                  <c:v>15.746358703986413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8-443B-9C71-EDF08B88BA73}"/>
            </c:ext>
          </c:extLst>
        </c:ser>
        <c:ser>
          <c:idx val="1"/>
          <c:order val="1"/>
          <c:xVal>
            <c:numRef>
              <c:f>[3]Naknek!$B$65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[3]Naknek!$D$65</c:f>
              <c:numCache>
                <c:formatCode>General</c:formatCode>
                <c:ptCount val="1"/>
                <c:pt idx="0">
                  <c:v>14.966230932320297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B8-443B-9C71-EDF08B88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401792"/>
        <c:axId val="256403328"/>
      </c:scatterChart>
      <c:valAx>
        <c:axId val="256401792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56403328"/>
        <c:crosses val="autoZero"/>
        <c:crossBetween val="midCat"/>
      </c:valAx>
      <c:valAx>
        <c:axId val="256403328"/>
        <c:scaling>
          <c:orientation val="minMax"/>
          <c:min val="1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6401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 1.3s from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6900699912510937E-2"/>
                  <c:y val="0.32540718868474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[3]Naknek!$G$122:$G$147</c:f>
              <c:numCache>
                <c:formatCode>0</c:formatCode>
                <c:ptCount val="26"/>
                <c:pt idx="0">
                  <c:v>504530.82753853098</c:v>
                </c:pt>
                <c:pt idx="1">
                  <c:v>2425255.4996235399</c:v>
                </c:pt>
                <c:pt idx="2">
                  <c:v>340634.56610331603</c:v>
                </c:pt>
                <c:pt idx="3">
                  <c:v>97471.497438125807</c:v>
                </c:pt>
                <c:pt idx="4">
                  <c:v>595642.30028703599</c:v>
                </c:pt>
                <c:pt idx="5">
                  <c:v>713059.888060236</c:v>
                </c:pt>
                <c:pt idx="6">
                  <c:v>1207028.8647542601</c:v>
                </c:pt>
                <c:pt idx="7">
                  <c:v>484233.35531632201</c:v>
                </c:pt>
                <c:pt idx="8">
                  <c:v>1471105.54402306</c:v>
                </c:pt>
                <c:pt idx="9">
                  <c:v>3692037.1925430899</c:v>
                </c:pt>
                <c:pt idx="10">
                  <c:v>986911.33689931803</c:v>
                </c:pt>
                <c:pt idx="11">
                  <c:v>1302924.7710825</c:v>
                </c:pt>
                <c:pt idx="12">
                  <c:v>1657238.2775297801</c:v>
                </c:pt>
                <c:pt idx="13">
                  <c:v>1861894.7592203</c:v>
                </c:pt>
                <c:pt idx="14">
                  <c:v>580269.33944772405</c:v>
                </c:pt>
                <c:pt idx="15">
                  <c:v>457482.25027506601</c:v>
                </c:pt>
                <c:pt idx="16">
                  <c:v>3220884.8110226402</c:v>
                </c:pt>
                <c:pt idx="17">
                  <c:v>2215738.1961411</c:v>
                </c:pt>
                <c:pt idx="18">
                  <c:v>2391536.6975765098</c:v>
                </c:pt>
                <c:pt idx="19">
                  <c:v>2742095.4073183602</c:v>
                </c:pt>
                <c:pt idx="20">
                  <c:v>2955137.9957106798</c:v>
                </c:pt>
                <c:pt idx="21">
                  <c:v>5261676.3512405502</c:v>
                </c:pt>
                <c:pt idx="22">
                  <c:v>2594704.9917419599</c:v>
                </c:pt>
                <c:pt idx="23">
                  <c:v>4186127.6453765398</c:v>
                </c:pt>
                <c:pt idx="24">
                  <c:v>2699792.5828704401</c:v>
                </c:pt>
                <c:pt idx="25">
                  <c:v>1164266.39693437</c:v>
                </c:pt>
              </c:numCache>
            </c:numRef>
          </c:xVal>
          <c:yVal>
            <c:numRef>
              <c:f>[3]Naknek!$H$123:$H$148</c:f>
              <c:numCache>
                <c:formatCode>0</c:formatCode>
                <c:ptCount val="26"/>
                <c:pt idx="0">
                  <c:v>758141.95257232699</c:v>
                </c:pt>
                <c:pt idx="1">
                  <c:v>3130745.3281190102</c:v>
                </c:pt>
                <c:pt idx="2">
                  <c:v>5591154.3375817696</c:v>
                </c:pt>
                <c:pt idx="3">
                  <c:v>899635.54032314406</c:v>
                </c:pt>
                <c:pt idx="4">
                  <c:v>1957153.56816868</c:v>
                </c:pt>
                <c:pt idx="5">
                  <c:v>1388588.2159808499</c:v>
                </c:pt>
                <c:pt idx="6">
                  <c:v>6824908.7778572896</c:v>
                </c:pt>
                <c:pt idx="7">
                  <c:v>2926493.29707033</c:v>
                </c:pt>
                <c:pt idx="8">
                  <c:v>3683675.6780987601</c:v>
                </c:pt>
                <c:pt idx="9">
                  <c:v>7549811.97513243</c:v>
                </c:pt>
                <c:pt idx="10">
                  <c:v>1652172.7924814799</c:v>
                </c:pt>
                <c:pt idx="11">
                  <c:v>2255794.84990553</c:v>
                </c:pt>
                <c:pt idx="12">
                  <c:v>1928248.1182961001</c:v>
                </c:pt>
                <c:pt idx="13">
                  <c:v>1539525.3050987299</c:v>
                </c:pt>
                <c:pt idx="14">
                  <c:v>1595287.0977614301</c:v>
                </c:pt>
                <c:pt idx="15">
                  <c:v>889893.76093709795</c:v>
                </c:pt>
                <c:pt idx="16">
                  <c:v>2291356.3215908301</c:v>
                </c:pt>
                <c:pt idx="17">
                  <c:v>1311129.43620946</c:v>
                </c:pt>
                <c:pt idx="18">
                  <c:v>2012814.04076256</c:v>
                </c:pt>
                <c:pt idx="19">
                  <c:v>3315114.7347389301</c:v>
                </c:pt>
                <c:pt idx="20">
                  <c:v>3159370.4546624399</c:v>
                </c:pt>
                <c:pt idx="21">
                  <c:v>7055600.9866127102</c:v>
                </c:pt>
                <c:pt idx="22">
                  <c:v>2014709.36927467</c:v>
                </c:pt>
                <c:pt idx="23">
                  <c:v>2634429.6361697102</c:v>
                </c:pt>
                <c:pt idx="24">
                  <c:v>4610666.9596486399</c:v>
                </c:pt>
                <c:pt idx="25">
                  <c:v>926915.42404317297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0F-4E83-BDC4-40D652A9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25936"/>
        <c:axId val="165236976"/>
      </c:scatterChart>
      <c:valAx>
        <c:axId val="165225936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6976"/>
        <c:crosses val="autoZero"/>
        <c:crossBetween val="midCat"/>
      </c:valAx>
      <c:valAx>
        <c:axId val="165236976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 2.3s from 2.2s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837204724409448"/>
                  <c:y val="0.189840890578332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[3]Naknek!$K$122:$K$147</c:f>
              <c:numCache>
                <c:formatCode>0</c:formatCode>
                <c:ptCount val="26"/>
                <c:pt idx="0">
                  <c:v>430638.54402284703</c:v>
                </c:pt>
                <c:pt idx="1">
                  <c:v>730718.838285128</c:v>
                </c:pt>
                <c:pt idx="2">
                  <c:v>117753.99951469</c:v>
                </c:pt>
                <c:pt idx="3">
                  <c:v>49654.191527873198</c:v>
                </c:pt>
                <c:pt idx="4">
                  <c:v>825499.87610383204</c:v>
                </c:pt>
                <c:pt idx="5">
                  <c:v>553804.86029673705</c:v>
                </c:pt>
                <c:pt idx="6">
                  <c:v>707967.12169368705</c:v>
                </c:pt>
                <c:pt idx="7">
                  <c:v>453896.90167534899</c:v>
                </c:pt>
                <c:pt idx="8">
                  <c:v>396239.388226401</c:v>
                </c:pt>
                <c:pt idx="9">
                  <c:v>250688.43993716099</c:v>
                </c:pt>
                <c:pt idx="10">
                  <c:v>247183.18728972401</c:v>
                </c:pt>
                <c:pt idx="11">
                  <c:v>979063.191611649</c:v>
                </c:pt>
                <c:pt idx="12">
                  <c:v>801427.18788593705</c:v>
                </c:pt>
                <c:pt idx="13">
                  <c:v>717671.06621628196</c:v>
                </c:pt>
                <c:pt idx="14">
                  <c:v>645374.19922285003</c:v>
                </c:pt>
                <c:pt idx="15">
                  <c:v>360751.12804429099</c:v>
                </c:pt>
                <c:pt idx="16">
                  <c:v>396535.76060724503</c:v>
                </c:pt>
                <c:pt idx="17">
                  <c:v>1371746.6356786201</c:v>
                </c:pt>
                <c:pt idx="18">
                  <c:v>864071.633804588</c:v>
                </c:pt>
                <c:pt idx="19">
                  <c:v>616529.70987002598</c:v>
                </c:pt>
                <c:pt idx="20">
                  <c:v>228371.81633720201</c:v>
                </c:pt>
                <c:pt idx="21">
                  <c:v>240535.02321217</c:v>
                </c:pt>
                <c:pt idx="22">
                  <c:v>282087.10126034601</c:v>
                </c:pt>
                <c:pt idx="23">
                  <c:v>423070.26948909601</c:v>
                </c:pt>
                <c:pt idx="24">
                  <c:v>783505.21879218402</c:v>
                </c:pt>
                <c:pt idx="25">
                  <c:v>242830.21972983101</c:v>
                </c:pt>
              </c:numCache>
            </c:numRef>
          </c:xVal>
          <c:yVal>
            <c:numRef>
              <c:f>[3]Naknek!$L$123:$L$148</c:f>
              <c:numCache>
                <c:formatCode>0</c:formatCode>
                <c:ptCount val="26"/>
                <c:pt idx="0">
                  <c:v>761444.59298550501</c:v>
                </c:pt>
                <c:pt idx="1">
                  <c:v>376373.315808193</c:v>
                </c:pt>
                <c:pt idx="2">
                  <c:v>172127.94577070899</c:v>
                </c:pt>
                <c:pt idx="3">
                  <c:v>379239.65467022202</c:v>
                </c:pt>
                <c:pt idx="4">
                  <c:v>1604686.5529708001</c:v>
                </c:pt>
                <c:pt idx="5">
                  <c:v>742520.17293670203</c:v>
                </c:pt>
                <c:pt idx="6">
                  <c:v>927938.72717468196</c:v>
                </c:pt>
                <c:pt idx="7">
                  <c:v>454432.11769895302</c:v>
                </c:pt>
                <c:pt idx="8">
                  <c:v>761311.63062437705</c:v>
                </c:pt>
                <c:pt idx="9">
                  <c:v>209237.616578944</c:v>
                </c:pt>
                <c:pt idx="10">
                  <c:v>615269.01427387202</c:v>
                </c:pt>
                <c:pt idx="11">
                  <c:v>665454.38078784896</c:v>
                </c:pt>
                <c:pt idx="12">
                  <c:v>947784.83686040703</c:v>
                </c:pt>
                <c:pt idx="13">
                  <c:v>499064.36153670901</c:v>
                </c:pt>
                <c:pt idx="14">
                  <c:v>524183.91149545502</c:v>
                </c:pt>
                <c:pt idx="15">
                  <c:v>688888.40569972002</c:v>
                </c:pt>
                <c:pt idx="16">
                  <c:v>157949.86210266201</c:v>
                </c:pt>
                <c:pt idx="17">
                  <c:v>399926.54296178301</c:v>
                </c:pt>
                <c:pt idx="18">
                  <c:v>571249.20154918695</c:v>
                </c:pt>
                <c:pt idx="19">
                  <c:v>369747.82455905201</c:v>
                </c:pt>
                <c:pt idx="20">
                  <c:v>157853.499999327</c:v>
                </c:pt>
                <c:pt idx="21">
                  <c:v>112679.166248016</c:v>
                </c:pt>
                <c:pt idx="22">
                  <c:v>437104.72217669</c:v>
                </c:pt>
                <c:pt idx="23">
                  <c:v>325060.98370174097</c:v>
                </c:pt>
                <c:pt idx="24">
                  <c:v>754343.91038111597</c:v>
                </c:pt>
                <c:pt idx="25">
                  <c:v>236366.55531382101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F-45D6-B7F8-49E10BC98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25936"/>
        <c:axId val="165236976"/>
      </c:scatterChart>
      <c:valAx>
        <c:axId val="165225936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6976"/>
        <c:crosses val="autoZero"/>
        <c:crossBetween val="midCat"/>
      </c:valAx>
      <c:valAx>
        <c:axId val="165236976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10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9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11</xdr:row>
      <xdr:rowOff>119062</xdr:rowOff>
    </xdr:from>
    <xdr:to>
      <xdr:col>18</xdr:col>
      <xdr:colOff>342900</xdr:colOff>
      <xdr:row>26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66675</xdr:colOff>
      <xdr:row>28</xdr:row>
      <xdr:rowOff>42862</xdr:rowOff>
    </xdr:from>
    <xdr:to>
      <xdr:col>18</xdr:col>
      <xdr:colOff>371475</xdr:colOff>
      <xdr:row>42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AE699A-DE12-3A06-61D2-47B22E516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311293</xdr:colOff>
      <xdr:row>36</xdr:row>
      <xdr:rowOff>88631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F43E6A-32F3-94F7-93FC-F71C4AF7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9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317389</xdr:colOff>
      <xdr:row>16</xdr:row>
      <xdr:rowOff>88631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C598C6-06B3-C162-BA40-B7E15DD6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81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26</xdr:col>
      <xdr:colOff>317389</xdr:colOff>
      <xdr:row>16</xdr:row>
      <xdr:rowOff>88631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757A34-BCBC-7E42-B4BB-07DB5ED2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381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19050</xdr:rowOff>
    </xdr:from>
    <xdr:to>
      <xdr:col>8</xdr:col>
      <xdr:colOff>311293</xdr:colOff>
      <xdr:row>16</xdr:row>
      <xdr:rowOff>107681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A835DDD-DF09-767A-0A2F-DE530791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0005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17</xdr:col>
      <xdr:colOff>317389</xdr:colOff>
      <xdr:row>36</xdr:row>
      <xdr:rowOff>88631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4C611B0-B37E-488A-8B78-8EC1432E8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191000"/>
          <a:ext cx="4584589" cy="2755631"/>
        </a:xfrm>
        <a:prstGeom prst="rect">
          <a:avLst/>
        </a:prstGeom>
      </xdr:spPr>
    </xdr:pic>
    <xdr:clientData/>
  </xdr:twoCellAnchor>
  <xdr:twoCellAnchor>
    <xdr:from>
      <xdr:col>18</xdr:col>
      <xdr:colOff>95250</xdr:colOff>
      <xdr:row>72</xdr:row>
      <xdr:rowOff>185737</xdr:rowOff>
    </xdr:from>
    <xdr:to>
      <xdr:col>25</xdr:col>
      <xdr:colOff>400050</xdr:colOff>
      <xdr:row>87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83AB-088B-DB05-23AA-73193929C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317389</xdr:colOff>
      <xdr:row>57</xdr:row>
      <xdr:rowOff>79106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92FD0D-3725-16CA-416F-7006D27E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81915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16</xdr:col>
      <xdr:colOff>317389</xdr:colOff>
      <xdr:row>57</xdr:row>
      <xdr:rowOff>79106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FEF1DC-2C68-8DDD-AE26-2806C1B9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81915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8</xdr:col>
      <xdr:colOff>317389</xdr:colOff>
      <xdr:row>77</xdr:row>
      <xdr:rowOff>60056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7F0165-B26B-74EC-4171-41CA5E83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20300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16</xdr:col>
      <xdr:colOff>317389</xdr:colOff>
      <xdr:row>77</xdr:row>
      <xdr:rowOff>60056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9EBB3D8-4450-330A-14F1-B27C2FE8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2030075"/>
          <a:ext cx="4584589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66</xdr:row>
      <xdr:rowOff>118110</xdr:rowOff>
    </xdr:from>
    <xdr:to>
      <xdr:col>8</xdr:col>
      <xdr:colOff>327660</xdr:colOff>
      <xdr:row>81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86194-EBEB-4F22-AE81-C2A9F72C8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CE863-615D-45C5-AA9A-B2A3B21B7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104D221D-3915-44DF-97D9-95EF3ABCF6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34E6F4E7-0177-4AE8-9431-CD7C9E316D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0</xdr:rowOff>
    </xdr:from>
    <xdr:to>
      <xdr:col>24</xdr:col>
      <xdr:colOff>472440</xdr:colOff>
      <xdr:row>81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C125B4-F70D-4505-873F-97EA9A33E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142875</xdr:colOff>
      <xdr:row>155</xdr:row>
      <xdr:rowOff>42862</xdr:rowOff>
    </xdr:from>
    <xdr:to>
      <xdr:col>7</xdr:col>
      <xdr:colOff>266700</xdr:colOff>
      <xdr:row>169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883C3E-99AD-4501-9B90-17041B845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155</xdr:row>
      <xdr:rowOff>0</xdr:rowOff>
    </xdr:from>
    <xdr:to>
      <xdr:col>15</xdr:col>
      <xdr:colOff>19050</xdr:colOff>
      <xdr:row>169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8C8F80-8F92-48F0-8135-002018CA6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695325</xdr:colOff>
      <xdr:row>155</xdr:row>
      <xdr:rowOff>28575</xdr:rowOff>
    </xdr:from>
    <xdr:to>
      <xdr:col>23</xdr:col>
      <xdr:colOff>35068</xdr:colOff>
      <xdr:row>169</xdr:row>
      <xdr:rowOff>117206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FAD1CB-93E6-4907-BCE4-C9BAD7CB5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15575" y="295656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151</xdr:row>
      <xdr:rowOff>0</xdr:rowOff>
    </xdr:from>
    <xdr:to>
      <xdr:col>31</xdr:col>
      <xdr:colOff>311293</xdr:colOff>
      <xdr:row>165</xdr:row>
      <xdr:rowOff>88631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BC6647-79D7-48CC-8907-F909BA9C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68600" y="28775025"/>
          <a:ext cx="4578493" cy="2755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Naknek.xlsx" TargetMode="External"/><Relationship Id="rId1" Type="http://schemas.openxmlformats.org/officeDocument/2006/relationships/externalLinkPath" Target="/Alec&amp;BarbsFiles/Alec/AlecScience/SalmonPrize/2024RevisedData/ORGFinalSpreadsheets/Nakne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knek"/>
    </sheetNames>
    <sheetDataSet>
      <sheetData sheetId="0">
        <row r="4">
          <cell r="B4">
            <v>1963</v>
          </cell>
          <cell r="C4">
            <v>1796531.0083455001</v>
          </cell>
        </row>
        <row r="5">
          <cell r="B5">
            <v>1964</v>
          </cell>
          <cell r="C5">
            <v>1943395.1764118101</v>
          </cell>
        </row>
        <row r="6">
          <cell r="B6">
            <v>1965</v>
          </cell>
          <cell r="C6">
            <v>1222067.36441122</v>
          </cell>
        </row>
        <row r="7">
          <cell r="B7">
            <v>1966</v>
          </cell>
          <cell r="C7">
            <v>2884786.4943990102</v>
          </cell>
        </row>
        <row r="8">
          <cell r="B8">
            <v>1967</v>
          </cell>
          <cell r="C8">
            <v>1555050.91378771</v>
          </cell>
        </row>
        <row r="9">
          <cell r="B9">
            <v>1968</v>
          </cell>
          <cell r="C9">
            <v>1822083.2542699999</v>
          </cell>
        </row>
        <row r="10">
          <cell r="B10">
            <v>1969</v>
          </cell>
          <cell r="C10">
            <v>2641101.3201660099</v>
          </cell>
        </row>
        <row r="11">
          <cell r="B11">
            <v>1970</v>
          </cell>
          <cell r="C11">
            <v>2689519.0939190099</v>
          </cell>
        </row>
        <row r="12">
          <cell r="B12">
            <v>1971</v>
          </cell>
          <cell r="C12">
            <v>3658033.5732610598</v>
          </cell>
        </row>
        <row r="13">
          <cell r="B13">
            <v>1972</v>
          </cell>
          <cell r="C13">
            <v>1468384.3368623799</v>
          </cell>
        </row>
        <row r="14">
          <cell r="B14">
            <v>1973</v>
          </cell>
          <cell r="C14">
            <v>684258.61732342502</v>
          </cell>
        </row>
        <row r="15">
          <cell r="B15">
            <v>1974</v>
          </cell>
          <cell r="C15">
            <v>1474643.4770442001</v>
          </cell>
        </row>
        <row r="16">
          <cell r="B16">
            <v>1975</v>
          </cell>
          <cell r="C16">
            <v>3211149.7630650098</v>
          </cell>
        </row>
        <row r="17">
          <cell r="B17">
            <v>1976</v>
          </cell>
          <cell r="C17">
            <v>3200600.0848300098</v>
          </cell>
        </row>
        <row r="18">
          <cell r="B18">
            <v>1977</v>
          </cell>
          <cell r="C18">
            <v>2912820.4222806999</v>
          </cell>
        </row>
        <row r="19">
          <cell r="B19">
            <v>1978</v>
          </cell>
          <cell r="C19">
            <v>2256809.7992380098</v>
          </cell>
        </row>
        <row r="20">
          <cell r="B20">
            <v>1979</v>
          </cell>
          <cell r="C20">
            <v>2826605.6335040098</v>
          </cell>
        </row>
        <row r="21">
          <cell r="B21">
            <v>1980</v>
          </cell>
          <cell r="C21">
            <v>5080050.2974157203</v>
          </cell>
        </row>
        <row r="22">
          <cell r="B22">
            <v>1981</v>
          </cell>
          <cell r="C22">
            <v>8756831.2381839994</v>
          </cell>
        </row>
        <row r="23">
          <cell r="B23">
            <v>1982</v>
          </cell>
          <cell r="C23">
            <v>4660805.7869950002</v>
          </cell>
        </row>
        <row r="24">
          <cell r="B24">
            <v>1983</v>
          </cell>
          <cell r="C24">
            <v>3308264.2483293102</v>
          </cell>
        </row>
        <row r="25">
          <cell r="B25">
            <v>1984</v>
          </cell>
          <cell r="C25">
            <v>3876353.2648734101</v>
          </cell>
        </row>
        <row r="26">
          <cell r="B26">
            <v>1985</v>
          </cell>
          <cell r="C26">
            <v>4237309.7451430103</v>
          </cell>
        </row>
        <row r="27">
          <cell r="B27">
            <v>1986</v>
          </cell>
          <cell r="C27">
            <v>3991315.6486640102</v>
          </cell>
        </row>
        <row r="28">
          <cell r="B28">
            <v>1987</v>
          </cell>
          <cell r="C28">
            <v>2319010.07678321</v>
          </cell>
        </row>
        <row r="29">
          <cell r="B29">
            <v>1988</v>
          </cell>
          <cell r="C29">
            <v>1962972.6338520099</v>
          </cell>
        </row>
        <row r="30">
          <cell r="B30">
            <v>1989</v>
          </cell>
          <cell r="C30">
            <v>3669831.29577502</v>
          </cell>
        </row>
        <row r="31">
          <cell r="B31">
            <v>1990</v>
          </cell>
          <cell r="C31">
            <v>8300331.6001780201</v>
          </cell>
        </row>
        <row r="32">
          <cell r="B32">
            <v>1991</v>
          </cell>
          <cell r="C32">
            <v>9754424.6321010198</v>
          </cell>
        </row>
        <row r="33">
          <cell r="B33">
            <v>1992</v>
          </cell>
          <cell r="C33">
            <v>5222906.7848190097</v>
          </cell>
        </row>
        <row r="34">
          <cell r="B34">
            <v>1993</v>
          </cell>
          <cell r="C34">
            <v>5577184.7625029199</v>
          </cell>
        </row>
        <row r="35">
          <cell r="B35">
            <v>1994</v>
          </cell>
          <cell r="C35">
            <v>3700808.24124602</v>
          </cell>
        </row>
        <row r="36">
          <cell r="B36">
            <v>1995</v>
          </cell>
          <cell r="C36">
            <v>3440141.6438730299</v>
          </cell>
        </row>
        <row r="37">
          <cell r="B37">
            <v>1996</v>
          </cell>
          <cell r="C37">
            <v>4662460.9266880099</v>
          </cell>
        </row>
        <row r="38">
          <cell r="B38">
            <v>1997</v>
          </cell>
          <cell r="C38">
            <v>1910810.1956946701</v>
          </cell>
        </row>
        <row r="39">
          <cell r="B39">
            <v>1998</v>
          </cell>
          <cell r="C39">
            <v>2365116.317756</v>
          </cell>
        </row>
        <row r="40">
          <cell r="B40">
            <v>1999</v>
          </cell>
          <cell r="C40">
            <v>4701483.5908614099</v>
          </cell>
          <cell r="D40">
            <v>15.363388674500985</v>
          </cell>
        </row>
        <row r="41">
          <cell r="B41">
            <v>2000</v>
          </cell>
          <cell r="C41">
            <v>3967486.1081528999</v>
          </cell>
          <cell r="D41">
            <v>15.193643229965835</v>
          </cell>
        </row>
        <row r="42">
          <cell r="B42">
            <v>2001</v>
          </cell>
          <cell r="C42">
            <v>5991184.9410420097</v>
          </cell>
          <cell r="D42">
            <v>15.605799770401319</v>
          </cell>
        </row>
        <row r="43">
          <cell r="B43">
            <v>2002</v>
          </cell>
          <cell r="C43">
            <v>2813597.6574756</v>
          </cell>
          <cell r="D43">
            <v>14.849974527569627</v>
          </cell>
        </row>
        <row r="44">
          <cell r="B44">
            <v>2003</v>
          </cell>
          <cell r="C44">
            <v>4861853.1156590004</v>
          </cell>
          <cell r="D44">
            <v>15.396930222718801</v>
          </cell>
        </row>
        <row r="45">
          <cell r="B45">
            <v>2004</v>
          </cell>
          <cell r="C45">
            <v>4066709.70364501</v>
          </cell>
          <cell r="D45">
            <v>15.218344803842903</v>
          </cell>
        </row>
        <row r="46">
          <cell r="B46">
            <v>2005</v>
          </cell>
          <cell r="C46">
            <v>8765371.0064671095</v>
          </cell>
          <cell r="D46">
            <v>15.98631940361817</v>
          </cell>
        </row>
        <row r="47">
          <cell r="B47">
            <v>2006</v>
          </cell>
          <cell r="C47">
            <v>5342241.0852720002</v>
          </cell>
          <cell r="D47">
            <v>15.491155801785711</v>
          </cell>
        </row>
        <row r="48">
          <cell r="B48">
            <v>2007</v>
          </cell>
          <cell r="C48">
            <v>8438491.6736100093</v>
          </cell>
          <cell r="D48">
            <v>15.948314138943728</v>
          </cell>
        </row>
        <row r="49">
          <cell r="B49">
            <v>2008</v>
          </cell>
          <cell r="C49">
            <v>9129940.8834930193</v>
          </cell>
          <cell r="D49">
            <v>16.027069777576806</v>
          </cell>
        </row>
        <row r="50">
          <cell r="B50">
            <v>2009</v>
          </cell>
          <cell r="C50">
            <v>4912919.8609469999</v>
          </cell>
          <cell r="D50">
            <v>15.407378999384735</v>
          </cell>
        </row>
        <row r="51">
          <cell r="B51">
            <v>2010</v>
          </cell>
          <cell r="C51">
            <v>5436897.9001610102</v>
          </cell>
          <cell r="D51">
            <v>15.508719217243074</v>
          </cell>
        </row>
        <row r="52">
          <cell r="B52">
            <v>2011</v>
          </cell>
          <cell r="C52">
            <v>5520113.2301130099</v>
          </cell>
          <cell r="D52">
            <v>15.523908930744527</v>
          </cell>
        </row>
        <row r="53">
          <cell r="B53">
            <v>2012</v>
          </cell>
          <cell r="C53">
            <v>3322918.2408336001</v>
          </cell>
          <cell r="D53">
            <v>15.016353943011659</v>
          </cell>
        </row>
        <row r="54">
          <cell r="B54">
            <v>2013</v>
          </cell>
          <cell r="C54">
            <v>3074881.6220356901</v>
          </cell>
          <cell r="D54">
            <v>14.938776961582768</v>
          </cell>
        </row>
        <row r="55">
          <cell r="B55">
            <v>2014</v>
          </cell>
          <cell r="C55">
            <v>5323139.5860894704</v>
          </cell>
          <cell r="D55">
            <v>15.487573835010297</v>
          </cell>
        </row>
        <row r="56">
          <cell r="B56">
            <v>2015</v>
          </cell>
          <cell r="C56">
            <v>6090439.2314824397</v>
          </cell>
          <cell r="D56">
            <v>15.622230760481443</v>
          </cell>
        </row>
        <row r="57">
          <cell r="B57">
            <v>2016</v>
          </cell>
          <cell r="C57">
            <v>5037024.1275040098</v>
          </cell>
          <cell r="D57">
            <v>15.432326014770714</v>
          </cell>
        </row>
        <row r="58">
          <cell r="B58">
            <v>2017</v>
          </cell>
          <cell r="C58">
            <v>5975665.3717357498</v>
          </cell>
          <cell r="D58">
            <v>15.603206008868181</v>
          </cell>
        </row>
        <row r="59">
          <cell r="B59">
            <v>2018</v>
          </cell>
          <cell r="C59">
            <v>6926059.9819393205</v>
          </cell>
          <cell r="D59">
            <v>15.750801664308291</v>
          </cell>
        </row>
        <row r="60">
          <cell r="B60">
            <v>2019</v>
          </cell>
          <cell r="C60">
            <v>8824530.4354587495</v>
          </cell>
          <cell r="D60">
            <v>15.993045950921415</v>
          </cell>
        </row>
        <row r="61">
          <cell r="B61">
            <v>2020</v>
          </cell>
          <cell r="C61">
            <v>10102211.95616</v>
          </cell>
          <cell r="D61">
            <v>16.128264963393669</v>
          </cell>
        </row>
        <row r="62">
          <cell r="B62">
            <v>2021</v>
          </cell>
          <cell r="C62">
            <v>7180305.8734784704</v>
          </cell>
          <cell r="D62">
            <v>15.786852540880039</v>
          </cell>
        </row>
        <row r="63">
          <cell r="B63">
            <v>2022</v>
          </cell>
          <cell r="C63">
            <v>6455406.8033160903</v>
          </cell>
          <cell r="D63">
            <v>15.680428601704858</v>
          </cell>
        </row>
        <row r="64">
          <cell r="B64">
            <v>2023</v>
          </cell>
          <cell r="C64">
            <v>6895356.0309782596</v>
          </cell>
          <cell r="D64">
            <v>15.746358703986413</v>
          </cell>
        </row>
        <row r="65">
          <cell r="B65">
            <v>2024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2024</v>
          </cell>
          <cell r="C65">
            <v>3160468.8105251598</v>
          </cell>
          <cell r="D65">
            <v>14.966230932320297</v>
          </cell>
        </row>
        <row r="122">
          <cell r="G122">
            <v>504530.82753853098</v>
          </cell>
          <cell r="K122">
            <v>430638.54402284703</v>
          </cell>
        </row>
        <row r="123">
          <cell r="G123">
            <v>2425255.4996235399</v>
          </cell>
          <cell r="H123">
            <v>758141.95257232699</v>
          </cell>
          <cell r="K123">
            <v>730718.838285128</v>
          </cell>
          <cell r="L123">
            <v>761444.59298550501</v>
          </cell>
        </row>
        <row r="124">
          <cell r="G124">
            <v>340634.56610331603</v>
          </cell>
          <cell r="H124">
            <v>3130745.3281190102</v>
          </cell>
          <cell r="K124">
            <v>117753.99951469</v>
          </cell>
          <cell r="L124">
            <v>376373.315808193</v>
          </cell>
        </row>
        <row r="125">
          <cell r="G125">
            <v>97471.497438125807</v>
          </cell>
          <cell r="H125">
            <v>5591154.3375817696</v>
          </cell>
          <cell r="K125">
            <v>49654.191527873198</v>
          </cell>
          <cell r="L125">
            <v>172127.94577070899</v>
          </cell>
        </row>
        <row r="126">
          <cell r="G126">
            <v>595642.30028703599</v>
          </cell>
          <cell r="H126">
            <v>899635.54032314406</v>
          </cell>
          <cell r="K126">
            <v>825499.87610383204</v>
          </cell>
          <cell r="L126">
            <v>379239.65467022202</v>
          </cell>
        </row>
        <row r="127">
          <cell r="G127">
            <v>713059.888060236</v>
          </cell>
          <cell r="H127">
            <v>1957153.56816868</v>
          </cell>
          <cell r="K127">
            <v>553804.86029673705</v>
          </cell>
          <cell r="L127">
            <v>1604686.5529708001</v>
          </cell>
        </row>
        <row r="128">
          <cell r="G128">
            <v>1207028.8647542601</v>
          </cell>
          <cell r="H128">
            <v>1388588.2159808499</v>
          </cell>
          <cell r="K128">
            <v>707967.12169368705</v>
          </cell>
          <cell r="L128">
            <v>742520.17293670203</v>
          </cell>
        </row>
        <row r="129">
          <cell r="G129">
            <v>484233.35531632201</v>
          </cell>
          <cell r="H129">
            <v>6824908.7778572896</v>
          </cell>
          <cell r="K129">
            <v>453896.90167534899</v>
          </cell>
          <cell r="L129">
            <v>927938.72717468196</v>
          </cell>
        </row>
        <row r="130">
          <cell r="G130">
            <v>1471105.54402306</v>
          </cell>
          <cell r="H130">
            <v>2926493.29707033</v>
          </cell>
          <cell r="K130">
            <v>396239.388226401</v>
          </cell>
          <cell r="L130">
            <v>454432.11769895302</v>
          </cell>
        </row>
        <row r="131">
          <cell r="G131">
            <v>3692037.1925430899</v>
          </cell>
          <cell r="H131">
            <v>3683675.6780987601</v>
          </cell>
          <cell r="K131">
            <v>250688.43993716099</v>
          </cell>
          <cell r="L131">
            <v>761311.63062437705</v>
          </cell>
        </row>
        <row r="132">
          <cell r="G132">
            <v>986911.33689931803</v>
          </cell>
          <cell r="H132">
            <v>7549811.97513243</v>
          </cell>
          <cell r="K132">
            <v>247183.18728972401</v>
          </cell>
          <cell r="L132">
            <v>209237.616578944</v>
          </cell>
        </row>
        <row r="133">
          <cell r="G133">
            <v>1302924.7710825</v>
          </cell>
          <cell r="H133">
            <v>1652172.7924814799</v>
          </cell>
          <cell r="K133">
            <v>979063.191611649</v>
          </cell>
          <cell r="L133">
            <v>615269.01427387202</v>
          </cell>
        </row>
        <row r="134">
          <cell r="G134">
            <v>1657238.2775297801</v>
          </cell>
          <cell r="H134">
            <v>2255794.84990553</v>
          </cell>
          <cell r="K134">
            <v>801427.18788593705</v>
          </cell>
          <cell r="L134">
            <v>665454.38078784896</v>
          </cell>
        </row>
        <row r="135">
          <cell r="G135">
            <v>1861894.7592203</v>
          </cell>
          <cell r="H135">
            <v>1928248.1182961001</v>
          </cell>
          <cell r="K135">
            <v>717671.06621628196</v>
          </cell>
          <cell r="L135">
            <v>947784.83686040703</v>
          </cell>
        </row>
        <row r="136">
          <cell r="G136">
            <v>580269.33944772405</v>
          </cell>
          <cell r="H136">
            <v>1539525.3050987299</v>
          </cell>
          <cell r="K136">
            <v>645374.19922285003</v>
          </cell>
          <cell r="L136">
            <v>499064.36153670901</v>
          </cell>
        </row>
        <row r="137">
          <cell r="G137">
            <v>457482.25027506601</v>
          </cell>
          <cell r="H137">
            <v>1595287.0977614301</v>
          </cell>
          <cell r="K137">
            <v>360751.12804429099</v>
          </cell>
          <cell r="L137">
            <v>524183.91149545502</v>
          </cell>
        </row>
        <row r="138">
          <cell r="G138">
            <v>3220884.8110226402</v>
          </cell>
          <cell r="H138">
            <v>889893.76093709795</v>
          </cell>
          <cell r="K138">
            <v>396535.76060724503</v>
          </cell>
          <cell r="L138">
            <v>688888.40569972002</v>
          </cell>
        </row>
        <row r="139">
          <cell r="G139">
            <v>2215738.1961411</v>
          </cell>
          <cell r="H139">
            <v>2291356.3215908301</v>
          </cell>
          <cell r="K139">
            <v>1371746.6356786201</v>
          </cell>
          <cell r="L139">
            <v>157949.86210266201</v>
          </cell>
        </row>
        <row r="140">
          <cell r="G140">
            <v>2391536.6975765098</v>
          </cell>
          <cell r="H140">
            <v>1311129.43620946</v>
          </cell>
          <cell r="K140">
            <v>864071.633804588</v>
          </cell>
          <cell r="L140">
            <v>399926.54296178301</v>
          </cell>
        </row>
        <row r="141">
          <cell r="G141">
            <v>2742095.4073183602</v>
          </cell>
          <cell r="H141">
            <v>2012814.04076256</v>
          </cell>
          <cell r="K141">
            <v>616529.70987002598</v>
          </cell>
          <cell r="L141">
            <v>571249.20154918695</v>
          </cell>
        </row>
        <row r="142">
          <cell r="G142">
            <v>2955137.9957106798</v>
          </cell>
          <cell r="H142">
            <v>3315114.7347389301</v>
          </cell>
          <cell r="K142">
            <v>228371.81633720201</v>
          </cell>
          <cell r="L142">
            <v>369747.82455905201</v>
          </cell>
        </row>
        <row r="143">
          <cell r="G143">
            <v>5261676.3512405502</v>
          </cell>
          <cell r="H143">
            <v>3159370.4546624399</v>
          </cell>
          <cell r="K143">
            <v>240535.02321217</v>
          </cell>
          <cell r="L143">
            <v>157853.499999327</v>
          </cell>
        </row>
        <row r="144">
          <cell r="G144">
            <v>2594704.9917419599</v>
          </cell>
          <cell r="H144">
            <v>7055600.9866127102</v>
          </cell>
          <cell r="K144">
            <v>282087.10126034601</v>
          </cell>
          <cell r="L144">
            <v>112679.166248016</v>
          </cell>
        </row>
        <row r="145">
          <cell r="G145">
            <v>4186127.6453765398</v>
          </cell>
          <cell r="H145">
            <v>2014709.36927467</v>
          </cell>
          <cell r="K145">
            <v>423070.26948909601</v>
          </cell>
          <cell r="L145">
            <v>437104.72217669</v>
          </cell>
        </row>
        <row r="146">
          <cell r="G146">
            <v>2699792.5828704401</v>
          </cell>
          <cell r="H146">
            <v>2634429.6361697102</v>
          </cell>
          <cell r="K146">
            <v>783505.21879218402</v>
          </cell>
          <cell r="L146">
            <v>325060.98370174097</v>
          </cell>
        </row>
        <row r="147">
          <cell r="G147">
            <v>1164266.39693437</v>
          </cell>
          <cell r="H147">
            <v>4610666.9596486399</v>
          </cell>
          <cell r="K147">
            <v>242830.21972983101</v>
          </cell>
          <cell r="L147">
            <v>754343.91038111597</v>
          </cell>
        </row>
        <row r="148">
          <cell r="H148">
            <v>926915.42404317297</v>
          </cell>
          <cell r="L148">
            <v>236366.55531382101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topLeftCell="A13" workbookViewId="0">
      <selection activeCell="D10" sqref="D10:D52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3"/>
      <c r="B2" s="3"/>
      <c r="C2" s="3"/>
      <c r="D2" s="3"/>
      <c r="E2" s="3"/>
    </row>
    <row r="3" spans="1:47" x14ac:dyDescent="0.25">
      <c r="A3" s="3"/>
      <c r="B3" s="3"/>
      <c r="C3" s="3"/>
      <c r="D3" s="4"/>
      <c r="E3" s="4"/>
    </row>
    <row r="4" spans="1:47" x14ac:dyDescent="0.25">
      <c r="A4" s="3"/>
      <c r="B4" s="3"/>
      <c r="C4" s="3"/>
      <c r="D4" s="3"/>
      <c r="E4" s="3"/>
      <c r="G4">
        <f>CORREL($D$27:$D$51,G27:G51)</f>
        <v>-0.1637437659826172</v>
      </c>
      <c r="H4">
        <f t="shared" ref="H4:AU4" si="0">CORREL($D$27:$D$51,H27:H51)</f>
        <v>-0.16664268231274601</v>
      </c>
      <c r="I4">
        <f t="shared" si="0"/>
        <v>-0.13875896408496555</v>
      </c>
      <c r="J4">
        <f t="shared" si="0"/>
        <v>-0.2442651115733698</v>
      </c>
      <c r="K4">
        <f t="shared" si="0"/>
        <v>-0.25380293855128033</v>
      </c>
      <c r="L4">
        <f t="shared" si="0"/>
        <v>-5.782347810709821E-2</v>
      </c>
      <c r="M4">
        <f t="shared" si="0"/>
        <v>-0.17098897400242527</v>
      </c>
      <c r="N4">
        <f t="shared" si="0"/>
        <v>-0.237256423338367</v>
      </c>
      <c r="O4">
        <f t="shared" si="0"/>
        <v>-0.20614995506523565</v>
      </c>
      <c r="P4">
        <f t="shared" si="0"/>
        <v>-0.18489202075132199</v>
      </c>
      <c r="Q4">
        <f t="shared" si="0"/>
        <v>-0.18157716574360311</v>
      </c>
      <c r="R4">
        <f t="shared" si="0"/>
        <v>-0.2422986922601805</v>
      </c>
      <c r="S4">
        <f t="shared" si="0"/>
        <v>-0.28276010867350987</v>
      </c>
      <c r="T4">
        <f t="shared" si="0"/>
        <v>-0.16591568608244717</v>
      </c>
      <c r="U4">
        <f t="shared" si="0"/>
        <v>-0.12333162599944893</v>
      </c>
      <c r="V4">
        <f t="shared" si="0"/>
        <v>-0.15759508072160919</v>
      </c>
      <c r="W4">
        <f t="shared" si="0"/>
        <v>-0.44666766667954683</v>
      </c>
      <c r="X4">
        <f t="shared" si="0"/>
        <v>-0.33340991012507998</v>
      </c>
      <c r="Y4">
        <f t="shared" si="0"/>
        <v>-0.281781709428718</v>
      </c>
      <c r="Z4">
        <f t="shared" si="0"/>
        <v>-0.27820719771938418</v>
      </c>
      <c r="AA4">
        <f t="shared" si="0"/>
        <v>-0.31762126901990667</v>
      </c>
      <c r="AB4">
        <f t="shared" si="0"/>
        <v>-0.24907599248601234</v>
      </c>
      <c r="AC4">
        <f t="shared" si="0"/>
        <v>-0.28596166679272089</v>
      </c>
      <c r="AD4">
        <f t="shared" si="0"/>
        <v>-9.7954395451142692E-2</v>
      </c>
      <c r="AE4">
        <f t="shared" si="0"/>
        <v>-1.2784446208805405E-2</v>
      </c>
      <c r="AF4">
        <f t="shared" si="0"/>
        <v>5.3746767863791907E-2</v>
      </c>
      <c r="AG4">
        <f t="shared" si="0"/>
        <v>0.20590408220486078</v>
      </c>
      <c r="AH4">
        <f t="shared" si="0"/>
        <v>0.18553087170507082</v>
      </c>
      <c r="AI4">
        <f t="shared" si="0"/>
        <v>0.19705536563819931</v>
      </c>
      <c r="AJ4">
        <f t="shared" si="0"/>
        <v>6.522418644706561E-2</v>
      </c>
      <c r="AK4">
        <f t="shared" si="0"/>
        <v>9.4125337663778716E-2</v>
      </c>
      <c r="AL4">
        <f t="shared" si="0"/>
        <v>0.12912935628531044</v>
      </c>
      <c r="AM4">
        <f t="shared" si="0"/>
        <v>0.19175235827886167</v>
      </c>
      <c r="AN4">
        <f t="shared" si="0"/>
        <v>0.17245653269565275</v>
      </c>
      <c r="AO4">
        <f t="shared" si="0"/>
        <v>0.20796006828354865</v>
      </c>
      <c r="AP4">
        <f t="shared" si="0"/>
        <v>0.48578082680212364</v>
      </c>
      <c r="AQ4">
        <f t="shared" si="0"/>
        <v>0.66632630542938531</v>
      </c>
      <c r="AR4">
        <f t="shared" si="0"/>
        <v>0.55076255689923959</v>
      </c>
      <c r="AS4">
        <f t="shared" si="0"/>
        <v>0.54999200708070939</v>
      </c>
      <c r="AT4">
        <f t="shared" si="0"/>
        <v>0.64940220689447581</v>
      </c>
      <c r="AU4">
        <f t="shared" si="0"/>
        <v>0.60925530391432503</v>
      </c>
    </row>
    <row r="5" spans="1:47" x14ac:dyDescent="0.25">
      <c r="A5" s="3"/>
      <c r="B5" s="3"/>
      <c r="C5" s="3"/>
      <c r="D5" s="3"/>
      <c r="E5" s="3"/>
      <c r="F5" t="s">
        <v>6</v>
      </c>
      <c r="G5">
        <f>CORREL($D$10:$D$26,G10:G26)</f>
        <v>0.21483579660596899</v>
      </c>
      <c r="H5">
        <f t="shared" ref="H5:AU5" si="1">CORREL($D$10:$D$26,H10:H26)</f>
        <v>0.29619357674160868</v>
      </c>
      <c r="I5">
        <f t="shared" si="1"/>
        <v>0.22009157400692667</v>
      </c>
      <c r="J5">
        <f t="shared" si="1"/>
        <v>0.26911626011252715</v>
      </c>
      <c r="K5">
        <f t="shared" si="1"/>
        <v>0.19560749227453175</v>
      </c>
      <c r="L5">
        <f t="shared" si="1"/>
        <v>0.41227172980604049</v>
      </c>
      <c r="M5">
        <f t="shared" si="1"/>
        <v>0.31039811973672526</v>
      </c>
      <c r="N5">
        <f t="shared" si="1"/>
        <v>0.16603185690543912</v>
      </c>
      <c r="O5">
        <f t="shared" si="1"/>
        <v>0.32461625878394634</v>
      </c>
      <c r="P5">
        <f t="shared" si="1"/>
        <v>0.15014301652996606</v>
      </c>
      <c r="Q5">
        <f t="shared" si="1"/>
        <v>0.22654820655496868</v>
      </c>
      <c r="R5">
        <f t="shared" si="1"/>
        <v>0.21588429616721933</v>
      </c>
      <c r="S5">
        <f t="shared" si="1"/>
        <v>0.15564408841721522</v>
      </c>
      <c r="T5">
        <f t="shared" si="1"/>
        <v>0.13457339874210925</v>
      </c>
      <c r="U5">
        <f t="shared" si="1"/>
        <v>0.17047684361914409</v>
      </c>
      <c r="V5">
        <f t="shared" si="1"/>
        <v>0.25863595858680966</v>
      </c>
      <c r="W5">
        <f t="shared" si="1"/>
        <v>0.42111834124986552</v>
      </c>
      <c r="X5">
        <f t="shared" si="1"/>
        <v>0.27251791528889779</v>
      </c>
      <c r="Y5">
        <f t="shared" si="1"/>
        <v>-0.12048191734345964</v>
      </c>
      <c r="Z5">
        <f t="shared" si="1"/>
        <v>4.7255415018891564E-2</v>
      </c>
      <c r="AA5">
        <f t="shared" si="1"/>
        <v>7.8275451606262356E-2</v>
      </c>
      <c r="AB5">
        <f t="shared" si="1"/>
        <v>-0.21586940014773742</v>
      </c>
      <c r="AC5">
        <f t="shared" si="1"/>
        <v>-0.12349982429656016</v>
      </c>
      <c r="AD5">
        <f t="shared" si="1"/>
        <v>-0.41209720944348438</v>
      </c>
      <c r="AE5">
        <f t="shared" si="1"/>
        <v>-0.23268259568541005</v>
      </c>
      <c r="AF5">
        <f t="shared" si="1"/>
        <v>-0.25213637040643799</v>
      </c>
      <c r="AG5">
        <f t="shared" si="1"/>
        <v>-0.28675436047689429</v>
      </c>
      <c r="AH5">
        <f t="shared" si="1"/>
        <v>-0.14650680422290471</v>
      </c>
      <c r="AI5">
        <f t="shared" si="1"/>
        <v>-8.1507760390881426E-3</v>
      </c>
      <c r="AJ5">
        <f t="shared" si="1"/>
        <v>-0.1345141066972308</v>
      </c>
      <c r="AK5">
        <f t="shared" si="1"/>
        <v>-0.29445065662619518</v>
      </c>
      <c r="AL5">
        <f t="shared" si="1"/>
        <v>5.9892288852952599E-3</v>
      </c>
      <c r="AM5">
        <f t="shared" si="1"/>
        <v>-1.4219542920011773E-2</v>
      </c>
      <c r="AN5">
        <f t="shared" si="1"/>
        <v>-5.7030018140918924E-2</v>
      </c>
      <c r="AO5">
        <f t="shared" si="1"/>
        <v>-0.12812979501599561</v>
      </c>
      <c r="AP5">
        <f t="shared" si="1"/>
        <v>-0.15135670064079623</v>
      </c>
      <c r="AQ5">
        <f t="shared" si="1"/>
        <v>0.14776501470966774</v>
      </c>
      <c r="AR5">
        <f t="shared" si="1"/>
        <v>5.0247635914399208E-2</v>
      </c>
      <c r="AS5">
        <f t="shared" si="1"/>
        <v>8.9901575766900815E-3</v>
      </c>
      <c r="AT5">
        <f t="shared" si="1"/>
        <v>-0.2081591752562795</v>
      </c>
      <c r="AU5">
        <f t="shared" si="1"/>
        <v>-0.20762354106225667</v>
      </c>
    </row>
    <row r="6" spans="1:47" x14ac:dyDescent="0.25">
      <c r="A6" s="3"/>
      <c r="B6" s="3"/>
      <c r="C6" s="3"/>
      <c r="D6" s="3"/>
      <c r="E6" s="3"/>
      <c r="F6" t="s">
        <v>3</v>
      </c>
      <c r="G6">
        <f>5+G7</f>
        <v>5</v>
      </c>
      <c r="H6">
        <f t="shared" ref="H6:K6" si="2">5+H7</f>
        <v>4</v>
      </c>
      <c r="I6">
        <f t="shared" si="2"/>
        <v>3</v>
      </c>
      <c r="J6">
        <f t="shared" si="2"/>
        <v>2</v>
      </c>
      <c r="K6">
        <f t="shared" si="2"/>
        <v>1</v>
      </c>
      <c r="L6">
        <f>17+L7</f>
        <v>12</v>
      </c>
      <c r="M6">
        <f t="shared" ref="M6:W6" si="3">17+M7</f>
        <v>11</v>
      </c>
      <c r="N6">
        <f t="shared" si="3"/>
        <v>10</v>
      </c>
      <c r="O6">
        <f t="shared" si="3"/>
        <v>9</v>
      </c>
      <c r="P6">
        <f t="shared" si="3"/>
        <v>8</v>
      </c>
      <c r="Q6">
        <f t="shared" si="3"/>
        <v>7</v>
      </c>
      <c r="R6">
        <f t="shared" si="3"/>
        <v>6</v>
      </c>
      <c r="S6">
        <f t="shared" si="3"/>
        <v>5</v>
      </c>
      <c r="T6">
        <f t="shared" si="3"/>
        <v>4</v>
      </c>
      <c r="U6">
        <f t="shared" si="3"/>
        <v>3</v>
      </c>
      <c r="V6">
        <f t="shared" si="3"/>
        <v>2</v>
      </c>
      <c r="W6">
        <f t="shared" si="3"/>
        <v>1</v>
      </c>
      <c r="X6">
        <f>29+X7</f>
        <v>12</v>
      </c>
      <c r="Y6">
        <f t="shared" ref="Y6:AI6" si="4">29+Y7</f>
        <v>11</v>
      </c>
      <c r="Z6">
        <f t="shared" si="4"/>
        <v>10</v>
      </c>
      <c r="AA6">
        <f t="shared" si="4"/>
        <v>9</v>
      </c>
      <c r="AB6">
        <f t="shared" si="4"/>
        <v>8</v>
      </c>
      <c r="AC6">
        <f t="shared" si="4"/>
        <v>7</v>
      </c>
      <c r="AD6">
        <f t="shared" si="4"/>
        <v>6</v>
      </c>
      <c r="AE6">
        <f t="shared" si="4"/>
        <v>5</v>
      </c>
      <c r="AF6">
        <f t="shared" si="4"/>
        <v>4</v>
      </c>
      <c r="AG6">
        <f t="shared" si="4"/>
        <v>3</v>
      </c>
      <c r="AH6">
        <f t="shared" si="4"/>
        <v>2</v>
      </c>
      <c r="AI6">
        <f t="shared" si="4"/>
        <v>1</v>
      </c>
      <c r="AJ6">
        <f>41+AJ7</f>
        <v>12</v>
      </c>
      <c r="AK6">
        <f t="shared" ref="AK6:AU6" si="5">41+AK7</f>
        <v>11</v>
      </c>
      <c r="AL6">
        <f t="shared" si="5"/>
        <v>10</v>
      </c>
      <c r="AM6">
        <f t="shared" si="5"/>
        <v>9</v>
      </c>
      <c r="AN6">
        <f t="shared" si="5"/>
        <v>8</v>
      </c>
      <c r="AO6">
        <f t="shared" si="5"/>
        <v>7</v>
      </c>
      <c r="AP6">
        <f t="shared" si="5"/>
        <v>6</v>
      </c>
      <c r="AQ6">
        <f t="shared" si="5"/>
        <v>5</v>
      </c>
      <c r="AR6">
        <f t="shared" si="5"/>
        <v>4</v>
      </c>
      <c r="AS6">
        <f t="shared" si="5"/>
        <v>3</v>
      </c>
      <c r="AT6">
        <f t="shared" si="5"/>
        <v>2</v>
      </c>
      <c r="AU6">
        <f t="shared" si="5"/>
        <v>1</v>
      </c>
    </row>
    <row r="7" spans="1:47" x14ac:dyDescent="0.25">
      <c r="A7" s="3"/>
      <c r="B7" s="3"/>
      <c r="C7" s="3"/>
      <c r="D7" s="3" t="s">
        <v>0</v>
      </c>
      <c r="E7" s="3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3">
        <v>1.6829712080392252</v>
      </c>
      <c r="D10">
        <v>11.890291528564363</v>
      </c>
      <c r="G10" s="3">
        <v>1.6829712080392252</v>
      </c>
      <c r="H10" s="3">
        <v>2.2472897998692272</v>
      </c>
      <c r="I10" s="3">
        <v>1.5381377024192207</v>
      </c>
      <c r="J10" s="3">
        <v>0.95009040011922963</v>
      </c>
      <c r="K10" s="3">
        <v>0.16778843210923924</v>
      </c>
      <c r="L10" s="3">
        <v>-0.32820109656075358</v>
      </c>
      <c r="M10" s="3">
        <v>0.10288279560923042</v>
      </c>
      <c r="N10" s="3">
        <v>1.1606928748392318</v>
      </c>
      <c r="O10" s="3">
        <v>1.0248394490071275</v>
      </c>
      <c r="P10" s="3">
        <v>1.606789201499234</v>
      </c>
      <c r="Q10" s="3">
        <v>2.394840518709227</v>
      </c>
      <c r="R10" s="3">
        <v>1.0093508307130274</v>
      </c>
      <c r="S10" s="3">
        <v>0.70257197929922732</v>
      </c>
      <c r="T10" s="3">
        <v>0.71152544480922963</v>
      </c>
      <c r="U10" s="3">
        <v>-1.2758133939807617</v>
      </c>
      <c r="V10" s="3">
        <v>-1.1840317151307596</v>
      </c>
      <c r="W10" s="3">
        <v>-2.9731450761907507</v>
      </c>
      <c r="X10" s="3">
        <v>-0.826312025460755</v>
      </c>
      <c r="Y10" s="3">
        <v>-0.82430027525075733</v>
      </c>
      <c r="Z10" s="3">
        <v>-0.21680460930476167</v>
      </c>
      <c r="AA10" s="3">
        <v>1.2002363824092406</v>
      </c>
      <c r="AB10" s="3">
        <v>1.7415489131692448</v>
      </c>
      <c r="AC10" s="3">
        <v>1.1845717860692297</v>
      </c>
      <c r="AD10" s="3">
        <v>1.8719868955192429</v>
      </c>
      <c r="AE10" s="3">
        <v>0.19282233268922738</v>
      </c>
      <c r="AF10" s="3">
        <v>-0.41644266558675735</v>
      </c>
      <c r="AG10" s="3">
        <v>-0.7920709280307725</v>
      </c>
      <c r="AH10" s="3">
        <v>-3.1117011955307636</v>
      </c>
      <c r="AI10" s="3">
        <v>-1.754437314630755</v>
      </c>
      <c r="AJ10" s="3">
        <v>-0.6783287293607636</v>
      </c>
      <c r="AK10" s="3">
        <v>-0.13216066909075941</v>
      </c>
      <c r="AL10" s="3">
        <v>-1.2187106281307756</v>
      </c>
      <c r="AM10" s="3">
        <v>-0.23967928586077691</v>
      </c>
      <c r="AN10" s="3">
        <v>0.41425456986923609</v>
      </c>
      <c r="AO10" s="3">
        <v>1.4262948740692274</v>
      </c>
      <c r="AP10" s="3">
        <v>2.0884129651392276</v>
      </c>
      <c r="AQ10" s="3">
        <v>0.230319378419234</v>
      </c>
      <c r="AR10" s="3">
        <v>0.87058350376922755</v>
      </c>
      <c r="AS10" s="3">
        <v>-0.18409000339077064</v>
      </c>
      <c r="AT10" s="3">
        <v>1.3994548985492341</v>
      </c>
      <c r="AU10" s="3">
        <v>-1.1214605250507683</v>
      </c>
    </row>
    <row r="11" spans="1:47" x14ac:dyDescent="0.25">
      <c r="A11">
        <v>1983.375</v>
      </c>
      <c r="B11">
        <v>5</v>
      </c>
      <c r="C11" s="3">
        <v>-1.5365287291607705</v>
      </c>
      <c r="D11">
        <v>13.355284749689465</v>
      </c>
      <c r="G11" s="3">
        <v>-1.5365287291607705</v>
      </c>
      <c r="H11" s="3">
        <v>-1.6037714177007616</v>
      </c>
      <c r="I11" s="3">
        <v>-4.4186573967507705</v>
      </c>
      <c r="J11" s="3">
        <v>-5.7546631341007721</v>
      </c>
      <c r="K11" s="3">
        <v>-4.2828241200607735</v>
      </c>
      <c r="L11" s="3">
        <v>-3.318813113430755</v>
      </c>
      <c r="M11" s="3">
        <v>-2.2869922902807649</v>
      </c>
      <c r="N11" s="3">
        <v>-1.1141125145307573</v>
      </c>
      <c r="O11" s="3">
        <v>-0.85833921068075947</v>
      </c>
      <c r="P11" s="3">
        <v>0.19842168935924309</v>
      </c>
      <c r="Q11" s="3">
        <v>9.0747949279244927E-2</v>
      </c>
      <c r="R11" s="3">
        <v>0.28020932696923401</v>
      </c>
      <c r="S11" s="3">
        <v>1.6829712080392252</v>
      </c>
      <c r="T11" s="3">
        <v>2.2472897998692272</v>
      </c>
      <c r="U11" s="3">
        <v>1.5381377024192207</v>
      </c>
      <c r="V11" s="3">
        <v>0.95009040011922963</v>
      </c>
      <c r="W11" s="3">
        <v>0.16778843210923924</v>
      </c>
      <c r="X11" s="3">
        <v>-0.32820109656075358</v>
      </c>
      <c r="Y11" s="3">
        <v>0.10288279560923042</v>
      </c>
      <c r="Z11" s="3">
        <v>1.1606928748392318</v>
      </c>
      <c r="AA11" s="3">
        <v>1.0248394490071275</v>
      </c>
      <c r="AB11" s="3">
        <v>1.606789201499234</v>
      </c>
      <c r="AC11" s="3">
        <v>2.394840518709227</v>
      </c>
      <c r="AD11" s="3">
        <v>1.0093508307130274</v>
      </c>
      <c r="AE11" s="3">
        <v>0.70257197929922732</v>
      </c>
      <c r="AF11" s="3">
        <v>0.71152544480922963</v>
      </c>
      <c r="AG11" s="3">
        <v>-1.2758133939807617</v>
      </c>
      <c r="AH11" s="3">
        <v>-1.1840317151307596</v>
      </c>
      <c r="AI11" s="3">
        <v>-2.9731450761907507</v>
      </c>
      <c r="AJ11" s="3">
        <v>-0.826312025460755</v>
      </c>
      <c r="AK11" s="3">
        <v>-0.82430027525075733</v>
      </c>
      <c r="AL11" s="3">
        <v>-0.21680460930476167</v>
      </c>
      <c r="AM11" s="3">
        <v>1.2002363824092406</v>
      </c>
      <c r="AN11" s="3">
        <v>1.7415489131692448</v>
      </c>
      <c r="AO11" s="3">
        <v>1.1845717860692297</v>
      </c>
      <c r="AP11" s="3">
        <v>1.8719868955192429</v>
      </c>
      <c r="AQ11" s="3">
        <v>0.19282233268922738</v>
      </c>
      <c r="AR11" s="3">
        <v>-0.41644266558675735</v>
      </c>
      <c r="AS11" s="3">
        <v>-0.7920709280307725</v>
      </c>
      <c r="AT11" s="3">
        <v>-3.1117011955307636</v>
      </c>
      <c r="AU11" s="3">
        <v>-1.754437314630755</v>
      </c>
    </row>
    <row r="12" spans="1:47" x14ac:dyDescent="0.25">
      <c r="A12">
        <v>1984.375</v>
      </c>
      <c r="B12">
        <v>5</v>
      </c>
      <c r="C12" s="3">
        <v>1.880515014489234</v>
      </c>
      <c r="D12">
        <v>13.542624335848878</v>
      </c>
      <c r="G12" s="3">
        <v>1.880515014489234</v>
      </c>
      <c r="H12" s="3">
        <v>1.4169093568692384</v>
      </c>
      <c r="I12" s="3">
        <v>-1.459145150890766</v>
      </c>
      <c r="J12" s="3">
        <v>-0.25170846241076383</v>
      </c>
      <c r="K12" s="3">
        <v>-0.36195759964077051</v>
      </c>
      <c r="L12" s="3">
        <v>-0.47425017163075722</v>
      </c>
      <c r="M12" s="3">
        <v>-0.51962604492076825</v>
      </c>
      <c r="N12" s="3">
        <v>1.7054727707192336</v>
      </c>
      <c r="O12" s="3">
        <v>1.999494930519234</v>
      </c>
      <c r="P12" s="3">
        <v>1.7188996157552427</v>
      </c>
      <c r="Q12" s="3">
        <v>0.12128620823924474</v>
      </c>
      <c r="R12" s="3">
        <v>-1.4051694421937548</v>
      </c>
      <c r="S12" s="3">
        <v>-1.5365287291607705</v>
      </c>
      <c r="T12" s="3">
        <v>-1.6037714177007616</v>
      </c>
      <c r="U12" s="3">
        <v>-4.4186573967507705</v>
      </c>
      <c r="V12" s="3">
        <v>-5.7546631341007721</v>
      </c>
      <c r="W12" s="3">
        <v>-4.2828241200607735</v>
      </c>
      <c r="X12" s="3">
        <v>-3.318813113430755</v>
      </c>
      <c r="Y12" s="3">
        <v>-2.2869922902807649</v>
      </c>
      <c r="Z12" s="3">
        <v>-1.1141125145307573</v>
      </c>
      <c r="AA12" s="3">
        <v>-0.85833921068075947</v>
      </c>
      <c r="AB12" s="3">
        <v>0.19842168935924309</v>
      </c>
      <c r="AC12" s="3">
        <v>9.0747949279244927E-2</v>
      </c>
      <c r="AD12" s="3">
        <v>0.28020932696923401</v>
      </c>
      <c r="AE12" s="3">
        <v>1.6829712080392252</v>
      </c>
      <c r="AF12" s="3">
        <v>2.2472897998692272</v>
      </c>
      <c r="AG12" s="3">
        <v>1.5381377024192207</v>
      </c>
      <c r="AH12" s="3">
        <v>0.95009040011922963</v>
      </c>
      <c r="AI12" s="3">
        <v>0.16778843210923924</v>
      </c>
      <c r="AJ12" s="3">
        <v>-0.32820109656075358</v>
      </c>
      <c r="AK12" s="3">
        <v>0.10288279560923042</v>
      </c>
      <c r="AL12" s="3">
        <v>1.1606928748392318</v>
      </c>
      <c r="AM12" s="3">
        <v>1.0248394490071275</v>
      </c>
      <c r="AN12" s="3">
        <v>1.606789201499234</v>
      </c>
      <c r="AO12" s="3">
        <v>2.394840518709227</v>
      </c>
      <c r="AP12" s="3">
        <v>1.0093508307130274</v>
      </c>
      <c r="AQ12" s="3">
        <v>0.70257197929922732</v>
      </c>
      <c r="AR12" s="3">
        <v>0.71152544480922963</v>
      </c>
      <c r="AS12" s="3">
        <v>-1.2758133939807617</v>
      </c>
      <c r="AT12" s="3">
        <v>-1.1840317151307596</v>
      </c>
      <c r="AU12" s="3">
        <v>-2.9731450761907507</v>
      </c>
    </row>
    <row r="13" spans="1:47" x14ac:dyDescent="0.25">
      <c r="A13">
        <v>1985.375</v>
      </c>
      <c r="B13">
        <v>5</v>
      </c>
      <c r="C13" s="3">
        <v>3.018522973209234</v>
      </c>
      <c r="D13">
        <v>14.111898180894515</v>
      </c>
      <c r="G13" s="3">
        <v>3.018522973209234</v>
      </c>
      <c r="H13" s="3">
        <v>3.2037219389892342</v>
      </c>
      <c r="I13" s="3">
        <v>2.8503516876992365</v>
      </c>
      <c r="J13" s="3">
        <v>1.5492982089822276</v>
      </c>
      <c r="K13" s="3">
        <v>-1.9206002569707727</v>
      </c>
      <c r="L13" s="3">
        <v>1.132073258699223</v>
      </c>
      <c r="M13" s="3">
        <v>0.48051006084922643</v>
      </c>
      <c r="N13" s="3">
        <v>1.0633639918392426</v>
      </c>
      <c r="O13" s="3">
        <v>0.96519801415922746</v>
      </c>
      <c r="P13" s="3">
        <v>1.8375980735592425</v>
      </c>
      <c r="Q13" s="3">
        <v>2.7315166602692278</v>
      </c>
      <c r="R13" s="3">
        <v>2.1734786425192314</v>
      </c>
      <c r="S13" s="3">
        <v>1.880515014489234</v>
      </c>
      <c r="T13" s="3">
        <v>1.4169093568692384</v>
      </c>
      <c r="U13" s="3">
        <v>-1.459145150890766</v>
      </c>
      <c r="V13" s="3">
        <v>-0.25170846241076383</v>
      </c>
      <c r="W13" s="3">
        <v>-0.36195759964077051</v>
      </c>
      <c r="X13" s="3">
        <v>-0.47425017163075722</v>
      </c>
      <c r="Y13" s="3">
        <v>-0.51962604492076825</v>
      </c>
      <c r="Z13" s="3">
        <v>1.7054727707192336</v>
      </c>
      <c r="AA13" s="3">
        <v>1.999494930519234</v>
      </c>
      <c r="AB13" s="3">
        <v>1.7188996157552427</v>
      </c>
      <c r="AC13" s="3">
        <v>0.12128620823924474</v>
      </c>
      <c r="AD13" s="3">
        <v>-1.4051694421937548</v>
      </c>
      <c r="AE13" s="3">
        <v>-1.5365287291607705</v>
      </c>
      <c r="AF13" s="3">
        <v>-1.6037714177007616</v>
      </c>
      <c r="AG13" s="3">
        <v>-4.4186573967507705</v>
      </c>
      <c r="AH13" s="3">
        <v>-5.7546631341007721</v>
      </c>
      <c r="AI13" s="3">
        <v>-4.2828241200607735</v>
      </c>
      <c r="AJ13" s="3">
        <v>-3.318813113430755</v>
      </c>
      <c r="AK13" s="3">
        <v>-2.2869922902807649</v>
      </c>
      <c r="AL13" s="3">
        <v>-1.1141125145307573</v>
      </c>
      <c r="AM13" s="3">
        <v>-0.85833921068075947</v>
      </c>
      <c r="AN13" s="3">
        <v>0.19842168935924309</v>
      </c>
      <c r="AO13" s="3">
        <v>9.0747949279244927E-2</v>
      </c>
      <c r="AP13" s="3">
        <v>0.28020932696923401</v>
      </c>
      <c r="AQ13" s="3">
        <v>1.6829712080392252</v>
      </c>
      <c r="AR13" s="3">
        <v>2.2472897998692272</v>
      </c>
      <c r="AS13" s="3">
        <v>1.5381377024192207</v>
      </c>
      <c r="AT13" s="3">
        <v>0.95009040011922963</v>
      </c>
      <c r="AU13" s="3">
        <v>0.16778843210923924</v>
      </c>
    </row>
    <row r="14" spans="1:47" x14ac:dyDescent="0.25">
      <c r="A14">
        <v>1986.375</v>
      </c>
      <c r="B14">
        <v>5</v>
      </c>
      <c r="C14" s="3">
        <v>1.1785690316392319</v>
      </c>
      <c r="D14">
        <v>13.29263293364291</v>
      </c>
      <c r="G14" s="3">
        <v>1.1785690316392319</v>
      </c>
      <c r="H14" s="3">
        <v>1.7114235345992364</v>
      </c>
      <c r="I14" s="3">
        <v>-0.43541689654075511</v>
      </c>
      <c r="J14" s="3">
        <v>-2.7417317744307681</v>
      </c>
      <c r="K14" s="3">
        <v>-1.8271438100307529</v>
      </c>
      <c r="L14" s="3">
        <v>-1.8732676199307727</v>
      </c>
      <c r="M14" s="3">
        <v>0.73595420476922957</v>
      </c>
      <c r="N14" s="3">
        <v>1.5659244664692271</v>
      </c>
      <c r="O14" s="3">
        <v>1.8524098023792341</v>
      </c>
      <c r="P14" s="3">
        <v>2.4420961504492311</v>
      </c>
      <c r="Q14" s="3">
        <v>1.9535774414092228</v>
      </c>
      <c r="R14" s="3">
        <v>2.1399495708212228</v>
      </c>
      <c r="S14" s="3">
        <v>3.018522973209234</v>
      </c>
      <c r="T14" s="3">
        <v>3.2037219389892342</v>
      </c>
      <c r="U14" s="3">
        <v>2.8503516876992365</v>
      </c>
      <c r="V14" s="3">
        <v>1.5492982089822276</v>
      </c>
      <c r="W14" s="3">
        <v>-1.9206002569707727</v>
      </c>
      <c r="X14" s="3">
        <v>1.132073258699223</v>
      </c>
      <c r="Y14" s="3">
        <v>0.48051006084922643</v>
      </c>
      <c r="Z14" s="3">
        <v>1.0633639918392426</v>
      </c>
      <c r="AA14" s="3">
        <v>0.96519801415922746</v>
      </c>
      <c r="AB14" s="3">
        <v>1.8375980735592425</v>
      </c>
      <c r="AC14" s="3">
        <v>2.7315166602692278</v>
      </c>
      <c r="AD14" s="3">
        <v>2.1734786425192314</v>
      </c>
      <c r="AE14" s="3">
        <v>1.880515014489234</v>
      </c>
      <c r="AF14" s="3">
        <v>1.4169093568692384</v>
      </c>
      <c r="AG14" s="3">
        <v>-1.459145150890766</v>
      </c>
      <c r="AH14" s="3">
        <v>-0.25170846241076383</v>
      </c>
      <c r="AI14" s="3">
        <v>-0.36195759964077051</v>
      </c>
      <c r="AJ14" s="3">
        <v>-0.47425017163075722</v>
      </c>
      <c r="AK14" s="3">
        <v>-0.51962604492076825</v>
      </c>
      <c r="AL14" s="3">
        <v>1.7054727707192336</v>
      </c>
      <c r="AM14" s="3">
        <v>1.999494930519234</v>
      </c>
      <c r="AN14" s="3">
        <v>1.7188996157552427</v>
      </c>
      <c r="AO14" s="3">
        <v>0.12128620823924474</v>
      </c>
      <c r="AP14" s="3">
        <v>-1.4051694421937548</v>
      </c>
      <c r="AQ14" s="3">
        <v>-1.5365287291607705</v>
      </c>
      <c r="AR14" s="3">
        <v>-1.6037714177007616</v>
      </c>
      <c r="AS14" s="3">
        <v>-4.4186573967507705</v>
      </c>
      <c r="AT14" s="3">
        <v>-5.7546631341007721</v>
      </c>
      <c r="AU14" s="3">
        <v>-4.2828241200607735</v>
      </c>
    </row>
    <row r="15" spans="1:47" x14ac:dyDescent="0.25">
      <c r="A15">
        <v>1987.375</v>
      </c>
      <c r="B15">
        <v>5</v>
      </c>
      <c r="C15" s="3">
        <v>-0.33535354034076137</v>
      </c>
      <c r="D15">
        <v>12.327723259482729</v>
      </c>
      <c r="G15" s="3">
        <v>-0.33535354034076137</v>
      </c>
      <c r="H15" s="3">
        <v>-1.3114206938707769</v>
      </c>
      <c r="I15" s="3">
        <v>-2.4788721167707712</v>
      </c>
      <c r="J15" s="3">
        <v>-2.8403952011307547</v>
      </c>
      <c r="K15" s="3">
        <v>-3.2496489045707593</v>
      </c>
      <c r="L15" s="3">
        <v>-3.9234169669407635</v>
      </c>
      <c r="M15" s="3">
        <v>-1.1159987036507704</v>
      </c>
      <c r="N15" s="3">
        <v>-0.73488822433075951</v>
      </c>
      <c r="O15" s="3">
        <v>2.1393244769225279E-2</v>
      </c>
      <c r="P15" s="3">
        <v>0.346637390069234</v>
      </c>
      <c r="Q15" s="3">
        <v>0.912020787759243</v>
      </c>
      <c r="R15" s="3">
        <v>0.75677649209923836</v>
      </c>
      <c r="S15" s="3">
        <v>1.1785690316392319</v>
      </c>
      <c r="T15" s="3">
        <v>1.7114235345992364</v>
      </c>
      <c r="U15" s="3">
        <v>-0.43541689654075511</v>
      </c>
      <c r="V15" s="3">
        <v>-2.7417317744307681</v>
      </c>
      <c r="W15" s="3">
        <v>-1.8271438100307529</v>
      </c>
      <c r="X15" s="3">
        <v>-1.8732676199307727</v>
      </c>
      <c r="Y15" s="3">
        <v>0.73595420476922957</v>
      </c>
      <c r="Z15" s="3">
        <v>1.5659244664692271</v>
      </c>
      <c r="AA15" s="3">
        <v>1.8524098023792341</v>
      </c>
      <c r="AB15" s="3">
        <v>2.4420961504492311</v>
      </c>
      <c r="AC15" s="3">
        <v>1.9535774414092228</v>
      </c>
      <c r="AD15" s="3">
        <v>2.1399495708212228</v>
      </c>
      <c r="AE15" s="3">
        <v>3.018522973209234</v>
      </c>
      <c r="AF15" s="3">
        <v>3.2037219389892342</v>
      </c>
      <c r="AG15" s="3">
        <v>2.8503516876992365</v>
      </c>
      <c r="AH15" s="3">
        <v>1.5492982089822276</v>
      </c>
      <c r="AI15" s="3">
        <v>-1.9206002569707727</v>
      </c>
      <c r="AJ15" s="3">
        <v>1.132073258699223</v>
      </c>
      <c r="AK15" s="3">
        <v>0.48051006084922643</v>
      </c>
      <c r="AL15" s="3">
        <v>1.0633639918392426</v>
      </c>
      <c r="AM15" s="3">
        <v>0.96519801415922746</v>
      </c>
      <c r="AN15" s="3">
        <v>1.8375980735592425</v>
      </c>
      <c r="AO15" s="3">
        <v>2.7315166602692278</v>
      </c>
      <c r="AP15" s="3">
        <v>2.1734786425192314</v>
      </c>
      <c r="AQ15" s="3">
        <v>1.880515014489234</v>
      </c>
      <c r="AR15" s="3">
        <v>1.4169093568692384</v>
      </c>
      <c r="AS15" s="3">
        <v>-1.459145150890766</v>
      </c>
      <c r="AT15" s="3">
        <v>-0.25170846241076383</v>
      </c>
      <c r="AU15" s="3">
        <v>-0.36195759964077051</v>
      </c>
    </row>
    <row r="16" spans="1:47" x14ac:dyDescent="0.25">
      <c r="A16">
        <v>1988.375</v>
      </c>
      <c r="B16">
        <v>5</v>
      </c>
      <c r="C16" s="3">
        <v>1.8152388873692404</v>
      </c>
      <c r="D16">
        <v>12.768653356955276</v>
      </c>
      <c r="G16" s="3">
        <v>1.8152388873692404</v>
      </c>
      <c r="H16" s="3">
        <v>1.3004161718692424</v>
      </c>
      <c r="I16" s="3">
        <v>0.42120302822923172</v>
      </c>
      <c r="J16" s="3">
        <v>-1.738144879260775</v>
      </c>
      <c r="K16" s="3">
        <v>-1.4435084742307702</v>
      </c>
      <c r="L16" s="3">
        <v>-1.3359299806807639</v>
      </c>
      <c r="M16" s="3">
        <v>-1.46228869434076</v>
      </c>
      <c r="N16" s="3">
        <v>-1.0676690314607571</v>
      </c>
      <c r="O16" s="3">
        <v>-0.84388256081077684</v>
      </c>
      <c r="P16" s="3">
        <v>-0.98430620713077255</v>
      </c>
      <c r="Q16" s="3">
        <v>-1.0628494561707658</v>
      </c>
      <c r="R16" s="3">
        <v>-0.85776481624076351</v>
      </c>
      <c r="S16" s="3">
        <v>-0.33535354034076137</v>
      </c>
      <c r="T16" s="3">
        <v>-1.3114206938707769</v>
      </c>
      <c r="U16" s="3">
        <v>-2.4788721167707712</v>
      </c>
      <c r="V16" s="3">
        <v>-2.8403952011307547</v>
      </c>
      <c r="W16" s="3">
        <v>-3.2496489045707593</v>
      </c>
      <c r="X16" s="3">
        <v>-3.9234169669407635</v>
      </c>
      <c r="Y16" s="3">
        <v>-1.1159987036507704</v>
      </c>
      <c r="Z16" s="3">
        <v>-0.73488822433075951</v>
      </c>
      <c r="AA16" s="3">
        <v>2.1393244769225279E-2</v>
      </c>
      <c r="AB16" s="3">
        <v>0.346637390069234</v>
      </c>
      <c r="AC16" s="3">
        <v>0.912020787759243</v>
      </c>
      <c r="AD16" s="3">
        <v>0.75677649209923836</v>
      </c>
      <c r="AE16" s="3">
        <v>1.1785690316392319</v>
      </c>
      <c r="AF16" s="3">
        <v>1.7114235345992364</v>
      </c>
      <c r="AG16" s="3">
        <v>-0.43541689654075511</v>
      </c>
      <c r="AH16" s="3">
        <v>-2.7417317744307681</v>
      </c>
      <c r="AI16" s="3">
        <v>-1.8271438100307529</v>
      </c>
      <c r="AJ16" s="3">
        <v>-1.8732676199307727</v>
      </c>
      <c r="AK16" s="3">
        <v>0.73595420476922957</v>
      </c>
      <c r="AL16" s="3">
        <v>1.5659244664692271</v>
      </c>
      <c r="AM16" s="3">
        <v>1.8524098023792341</v>
      </c>
      <c r="AN16" s="3">
        <v>2.4420961504492311</v>
      </c>
      <c r="AO16" s="3">
        <v>1.9535774414092228</v>
      </c>
      <c r="AP16" s="3">
        <v>2.1399495708212228</v>
      </c>
      <c r="AQ16" s="3">
        <v>3.018522973209234</v>
      </c>
      <c r="AR16" s="3">
        <v>3.2037219389892342</v>
      </c>
      <c r="AS16" s="3">
        <v>2.8503516876992365</v>
      </c>
      <c r="AT16" s="3">
        <v>1.5492982089822276</v>
      </c>
      <c r="AU16" s="3">
        <v>-1.9206002569707727</v>
      </c>
    </row>
    <row r="17" spans="1:47" x14ac:dyDescent="0.25">
      <c r="A17">
        <v>1989.375</v>
      </c>
      <c r="B17">
        <v>5</v>
      </c>
      <c r="C17" s="3">
        <v>3.101098920829223</v>
      </c>
      <c r="D17">
        <v>14.270301333535972</v>
      </c>
      <c r="G17" s="3">
        <v>3.101098920829223</v>
      </c>
      <c r="H17" s="3">
        <v>2.9412418136592424</v>
      </c>
      <c r="I17" s="3">
        <v>3.3389959835592316</v>
      </c>
      <c r="J17" s="3">
        <v>4.0775932636092254</v>
      </c>
      <c r="K17" s="3">
        <v>3.5894435184692313</v>
      </c>
      <c r="L17" s="3">
        <v>2.3186386828592394</v>
      </c>
      <c r="M17" s="3">
        <v>2.519808289969224</v>
      </c>
      <c r="N17" s="3">
        <v>2.8509511295692231</v>
      </c>
      <c r="O17" s="3">
        <v>4.210773910769225</v>
      </c>
      <c r="P17" s="3">
        <v>3.9125285119692315</v>
      </c>
      <c r="Q17" s="3">
        <v>4.1239791073692293</v>
      </c>
      <c r="R17" s="3">
        <v>2.838481122869227</v>
      </c>
      <c r="S17" s="3">
        <v>1.8152388873692404</v>
      </c>
      <c r="T17" s="3">
        <v>1.3004161718692424</v>
      </c>
      <c r="U17" s="3">
        <v>0.42120302822923172</v>
      </c>
      <c r="V17" s="3">
        <v>-1.738144879260775</v>
      </c>
      <c r="W17" s="3">
        <v>-1.4435084742307702</v>
      </c>
      <c r="X17" s="3">
        <v>-1.3359299806807639</v>
      </c>
      <c r="Y17" s="3">
        <v>-1.46228869434076</v>
      </c>
      <c r="Z17" s="3">
        <v>-1.0676690314607571</v>
      </c>
      <c r="AA17" s="3">
        <v>-0.84388256081077684</v>
      </c>
      <c r="AB17" s="3">
        <v>-0.98430620713077255</v>
      </c>
      <c r="AC17" s="3">
        <v>-1.0628494561707658</v>
      </c>
      <c r="AD17" s="3">
        <v>-0.85776481624076351</v>
      </c>
      <c r="AE17" s="3">
        <v>-0.33535354034076137</v>
      </c>
      <c r="AF17" s="3">
        <v>-1.3114206938707769</v>
      </c>
      <c r="AG17" s="3">
        <v>-2.4788721167707712</v>
      </c>
      <c r="AH17" s="3">
        <v>-2.8403952011307547</v>
      </c>
      <c r="AI17" s="3">
        <v>-3.2496489045707593</v>
      </c>
      <c r="AJ17" s="3">
        <v>-3.9234169669407635</v>
      </c>
      <c r="AK17" s="3">
        <v>-1.1159987036507704</v>
      </c>
      <c r="AL17" s="3">
        <v>-0.73488822433075951</v>
      </c>
      <c r="AM17" s="3">
        <v>2.1393244769225279E-2</v>
      </c>
      <c r="AN17" s="3">
        <v>0.346637390069234</v>
      </c>
      <c r="AO17" s="3">
        <v>0.912020787759243</v>
      </c>
      <c r="AP17" s="3">
        <v>0.75677649209923836</v>
      </c>
      <c r="AQ17" s="3">
        <v>1.1785690316392319</v>
      </c>
      <c r="AR17" s="3">
        <v>1.7114235345992364</v>
      </c>
      <c r="AS17" s="3">
        <v>-0.43541689654075511</v>
      </c>
      <c r="AT17" s="3">
        <v>-2.7417317744307681</v>
      </c>
      <c r="AU17" s="3">
        <v>-1.8271438100307529</v>
      </c>
    </row>
    <row r="18" spans="1:47" x14ac:dyDescent="0.25">
      <c r="A18">
        <v>1990.375</v>
      </c>
      <c r="B18">
        <v>5</v>
      </c>
      <c r="C18" s="3">
        <v>1.2389727557242383</v>
      </c>
      <c r="D18">
        <v>14.293453440516007</v>
      </c>
      <c r="G18" s="3">
        <v>1.2389727557242383</v>
      </c>
      <c r="H18" s="3">
        <v>1.6186363016892316</v>
      </c>
      <c r="I18" s="3">
        <v>0.87342533512922516</v>
      </c>
      <c r="J18" s="3">
        <v>2.4928988691492382</v>
      </c>
      <c r="K18" s="3">
        <v>-6.0649675430752892E-2</v>
      </c>
      <c r="L18" s="3">
        <v>-0.80318400744077045</v>
      </c>
      <c r="M18" s="3">
        <v>1.7226007102992229</v>
      </c>
      <c r="N18" s="3">
        <v>2.123144150119245</v>
      </c>
      <c r="O18" s="3">
        <v>1.9350583343592276</v>
      </c>
      <c r="P18" s="3">
        <v>2.4970583207292276</v>
      </c>
      <c r="Q18" s="3">
        <v>3.1293092386692387</v>
      </c>
      <c r="R18" s="3">
        <v>2.5792642141692426</v>
      </c>
      <c r="S18" s="3">
        <v>3.101098920829223</v>
      </c>
      <c r="T18" s="3">
        <v>2.9412418136592424</v>
      </c>
      <c r="U18" s="3">
        <v>3.3389959835592316</v>
      </c>
      <c r="V18" s="3">
        <v>4.0775932636092254</v>
      </c>
      <c r="W18" s="3">
        <v>3.5894435184692313</v>
      </c>
      <c r="X18" s="3">
        <v>2.3186386828592394</v>
      </c>
      <c r="Y18" s="3">
        <v>2.519808289969224</v>
      </c>
      <c r="Z18" s="3">
        <v>2.8509511295692231</v>
      </c>
      <c r="AA18" s="3">
        <v>4.210773910769225</v>
      </c>
      <c r="AB18" s="3">
        <v>3.9125285119692315</v>
      </c>
      <c r="AC18" s="3">
        <v>4.1239791073692293</v>
      </c>
      <c r="AD18" s="3">
        <v>2.838481122869227</v>
      </c>
      <c r="AE18" s="3">
        <v>1.8152388873692404</v>
      </c>
      <c r="AF18" s="3">
        <v>1.3004161718692424</v>
      </c>
      <c r="AG18" s="3">
        <v>0.42120302822923172</v>
      </c>
      <c r="AH18" s="3">
        <v>-1.738144879260775</v>
      </c>
      <c r="AI18" s="3">
        <v>-1.4435084742307702</v>
      </c>
      <c r="AJ18" s="3">
        <v>-1.3359299806807639</v>
      </c>
      <c r="AK18" s="3">
        <v>-1.46228869434076</v>
      </c>
      <c r="AL18" s="3">
        <v>-1.0676690314607571</v>
      </c>
      <c r="AM18" s="3">
        <v>-0.84388256081077684</v>
      </c>
      <c r="AN18" s="3">
        <v>-0.98430620713077255</v>
      </c>
      <c r="AO18" s="3">
        <v>-1.0628494561707658</v>
      </c>
      <c r="AP18" s="3">
        <v>-0.85776481624076351</v>
      </c>
      <c r="AQ18" s="3">
        <v>-0.33535354034076137</v>
      </c>
      <c r="AR18" s="3">
        <v>-1.3114206938707769</v>
      </c>
      <c r="AS18" s="3">
        <v>-2.4788721167707712</v>
      </c>
      <c r="AT18" s="3">
        <v>-2.8403952011307547</v>
      </c>
      <c r="AU18" s="3">
        <v>-3.2496489045707593</v>
      </c>
    </row>
    <row r="19" spans="1:47" x14ac:dyDescent="0.25">
      <c r="A19">
        <v>1991.375</v>
      </c>
      <c r="B19">
        <v>5</v>
      </c>
      <c r="C19" s="3">
        <v>1.5588966751912405</v>
      </c>
      <c r="D19">
        <v>14.013840401438626</v>
      </c>
      <c r="G19" s="3">
        <v>1.5588966751912405</v>
      </c>
      <c r="H19" s="3">
        <v>1.6316906620592251</v>
      </c>
      <c r="I19" s="3">
        <v>1.2957303481892386</v>
      </c>
      <c r="J19" s="3">
        <v>-1.2335507462607638</v>
      </c>
      <c r="K19" s="3">
        <v>0.16320301782923852</v>
      </c>
      <c r="L19" s="3">
        <v>1.1043187677692341</v>
      </c>
      <c r="M19" s="3">
        <v>2.7184411626292273</v>
      </c>
      <c r="N19" s="3">
        <v>1.6554374506492406</v>
      </c>
      <c r="O19" s="3">
        <v>0.73988715803922955</v>
      </c>
      <c r="P19" s="3">
        <v>1.2394592322392297</v>
      </c>
      <c r="Q19" s="3">
        <v>1.5319094081492275</v>
      </c>
      <c r="R19" s="3">
        <v>1.4473524387232231</v>
      </c>
      <c r="S19" s="3">
        <v>1.2389727557242383</v>
      </c>
      <c r="T19" s="3">
        <v>1.6186363016892316</v>
      </c>
      <c r="U19" s="3">
        <v>0.87342533512922516</v>
      </c>
      <c r="V19" s="3">
        <v>2.4928988691492382</v>
      </c>
      <c r="W19" s="3">
        <v>-6.0649675430752892E-2</v>
      </c>
      <c r="X19" s="3">
        <v>-0.80318400744077045</v>
      </c>
      <c r="Y19" s="3">
        <v>1.7226007102992229</v>
      </c>
      <c r="Z19" s="3">
        <v>2.123144150119245</v>
      </c>
      <c r="AA19" s="3">
        <v>1.9350583343592276</v>
      </c>
      <c r="AB19" s="3">
        <v>2.4970583207292276</v>
      </c>
      <c r="AC19" s="3">
        <v>3.1293092386692387</v>
      </c>
      <c r="AD19" s="3">
        <v>2.5792642141692426</v>
      </c>
      <c r="AE19" s="3">
        <v>3.101098920829223</v>
      </c>
      <c r="AF19" s="3">
        <v>2.9412418136592424</v>
      </c>
      <c r="AG19" s="3">
        <v>3.3389959835592316</v>
      </c>
      <c r="AH19" s="3">
        <v>4.0775932636092254</v>
      </c>
      <c r="AI19" s="3">
        <v>3.5894435184692313</v>
      </c>
      <c r="AJ19" s="3">
        <v>2.3186386828592394</v>
      </c>
      <c r="AK19" s="3">
        <v>2.519808289969224</v>
      </c>
      <c r="AL19" s="3">
        <v>2.8509511295692231</v>
      </c>
      <c r="AM19" s="3">
        <v>4.210773910769225</v>
      </c>
      <c r="AN19" s="3">
        <v>3.9125285119692315</v>
      </c>
      <c r="AO19" s="3">
        <v>4.1239791073692293</v>
      </c>
      <c r="AP19" s="3">
        <v>2.838481122869227</v>
      </c>
      <c r="AQ19" s="3">
        <v>1.8152388873692404</v>
      </c>
      <c r="AR19" s="3">
        <v>1.3004161718692424</v>
      </c>
      <c r="AS19" s="3">
        <v>0.42120302822923172</v>
      </c>
      <c r="AT19" s="3">
        <v>-1.738144879260775</v>
      </c>
      <c r="AU19" s="3">
        <v>-1.4435084742307702</v>
      </c>
    </row>
    <row r="20" spans="1:47" x14ac:dyDescent="0.25">
      <c r="A20">
        <v>1992.375</v>
      </c>
      <c r="B20">
        <v>5</v>
      </c>
      <c r="C20" s="3">
        <v>-0.84115852963076165</v>
      </c>
      <c r="D20">
        <v>13.332396513333473</v>
      </c>
      <c r="G20" s="3">
        <v>-0.84115852963076165</v>
      </c>
      <c r="H20" s="3">
        <v>-1.4262157430307572</v>
      </c>
      <c r="I20" s="3">
        <v>-1.6423887356207789</v>
      </c>
      <c r="J20" s="3">
        <v>-2.3034867752407635</v>
      </c>
      <c r="K20" s="3">
        <v>-4.0346397557107512</v>
      </c>
      <c r="L20" s="3">
        <v>-1.5787000165107659</v>
      </c>
      <c r="M20" s="3">
        <v>-1.6823914399807602</v>
      </c>
      <c r="N20" s="3">
        <v>-0.45250741993075744</v>
      </c>
      <c r="O20" s="3">
        <v>-0.43909391222076166</v>
      </c>
      <c r="P20" s="3">
        <v>0.99610122664924261</v>
      </c>
      <c r="Q20" s="3">
        <v>1.3196503246692344</v>
      </c>
      <c r="R20" s="3">
        <v>1.5908299070092362</v>
      </c>
      <c r="S20" s="3">
        <v>1.5588966751912405</v>
      </c>
      <c r="T20" s="3">
        <v>1.6316906620592251</v>
      </c>
      <c r="U20" s="3">
        <v>1.2957303481892386</v>
      </c>
      <c r="V20" s="3">
        <v>-1.2335507462607638</v>
      </c>
      <c r="W20" s="3">
        <v>0.16320301782923852</v>
      </c>
      <c r="X20" s="3">
        <v>1.1043187677692341</v>
      </c>
      <c r="Y20" s="3">
        <v>2.7184411626292273</v>
      </c>
      <c r="Z20" s="3">
        <v>1.6554374506492406</v>
      </c>
      <c r="AA20" s="3">
        <v>0.73988715803922955</v>
      </c>
      <c r="AB20" s="3">
        <v>1.2394592322392297</v>
      </c>
      <c r="AC20" s="3">
        <v>1.5319094081492275</v>
      </c>
      <c r="AD20" s="3">
        <v>1.4473524387232231</v>
      </c>
      <c r="AE20" s="3">
        <v>1.2389727557242383</v>
      </c>
      <c r="AF20" s="3">
        <v>1.6186363016892316</v>
      </c>
      <c r="AG20" s="3">
        <v>0.87342533512922516</v>
      </c>
      <c r="AH20" s="3">
        <v>2.4928988691492382</v>
      </c>
      <c r="AI20" s="3">
        <v>-6.0649675430752892E-2</v>
      </c>
      <c r="AJ20" s="3">
        <v>-0.80318400744077045</v>
      </c>
      <c r="AK20" s="3">
        <v>1.7226007102992229</v>
      </c>
      <c r="AL20" s="3">
        <v>2.123144150119245</v>
      </c>
      <c r="AM20" s="3">
        <v>1.9350583343592276</v>
      </c>
      <c r="AN20" s="3">
        <v>2.4970583207292276</v>
      </c>
      <c r="AO20" s="3">
        <v>3.1293092386692387</v>
      </c>
      <c r="AP20" s="3">
        <v>2.5792642141692426</v>
      </c>
      <c r="AQ20" s="3">
        <v>3.101098920829223</v>
      </c>
      <c r="AR20" s="3">
        <v>2.9412418136592424</v>
      </c>
      <c r="AS20" s="3">
        <v>3.3389959835592316</v>
      </c>
      <c r="AT20" s="3">
        <v>4.0775932636092254</v>
      </c>
      <c r="AU20" s="3">
        <v>3.5894435184692313</v>
      </c>
    </row>
    <row r="21" spans="1:47" x14ac:dyDescent="0.25">
      <c r="A21">
        <v>1993.375</v>
      </c>
      <c r="B21">
        <v>5</v>
      </c>
      <c r="C21" s="3">
        <v>-1.7499852617307701</v>
      </c>
      <c r="D21">
        <v>13.567148462701793</v>
      </c>
      <c r="G21" s="3">
        <v>-1.7499852617307701</v>
      </c>
      <c r="H21" s="3">
        <v>-1.4652308750507557</v>
      </c>
      <c r="I21" s="3">
        <v>-1.400128325530777</v>
      </c>
      <c r="J21" s="3">
        <v>-2.5427820538307531</v>
      </c>
      <c r="K21" s="3">
        <v>-6.6647353730779207E-2</v>
      </c>
      <c r="L21" s="3">
        <v>0.2562015870692339</v>
      </c>
      <c r="M21" s="3">
        <v>-0.76324945283075885</v>
      </c>
      <c r="N21" s="3">
        <v>-0.47740350051075731</v>
      </c>
      <c r="O21" s="3">
        <v>0.67246091184924062</v>
      </c>
      <c r="P21" s="3">
        <v>0.91106123696924057</v>
      </c>
      <c r="Q21" s="3">
        <v>0.30045070326922318</v>
      </c>
      <c r="R21" s="3">
        <v>-1.121383650430777</v>
      </c>
      <c r="S21" s="3">
        <v>-0.84115852963076165</v>
      </c>
      <c r="T21" s="3">
        <v>-1.4262157430307572</v>
      </c>
      <c r="U21" s="3">
        <v>-1.6423887356207789</v>
      </c>
      <c r="V21" s="3">
        <v>-2.3034867752407635</v>
      </c>
      <c r="W21" s="3">
        <v>-4.0346397557107512</v>
      </c>
      <c r="X21" s="3">
        <v>-1.5787000165107659</v>
      </c>
      <c r="Y21" s="3">
        <v>-1.6823914399807602</v>
      </c>
      <c r="Z21" s="3">
        <v>-0.45250741993075744</v>
      </c>
      <c r="AA21" s="3">
        <v>-0.43909391222076166</v>
      </c>
      <c r="AB21" s="3">
        <v>0.99610122664924261</v>
      </c>
      <c r="AC21" s="3">
        <v>1.3196503246692344</v>
      </c>
      <c r="AD21" s="3">
        <v>1.5908299070092362</v>
      </c>
      <c r="AE21" s="3">
        <v>1.5588966751912405</v>
      </c>
      <c r="AF21" s="3">
        <v>1.6316906620592251</v>
      </c>
      <c r="AG21" s="3">
        <v>1.2957303481892386</v>
      </c>
      <c r="AH21" s="3">
        <v>-1.2335507462607638</v>
      </c>
      <c r="AI21" s="3">
        <v>0.16320301782923852</v>
      </c>
      <c r="AJ21" s="3">
        <v>1.1043187677692341</v>
      </c>
      <c r="AK21" s="3">
        <v>2.7184411626292273</v>
      </c>
      <c r="AL21" s="3">
        <v>1.6554374506492406</v>
      </c>
      <c r="AM21" s="3">
        <v>0.73988715803922955</v>
      </c>
      <c r="AN21" s="3">
        <v>1.2394592322392297</v>
      </c>
      <c r="AO21" s="3">
        <v>1.5319094081492275</v>
      </c>
      <c r="AP21" s="3">
        <v>1.4473524387232231</v>
      </c>
      <c r="AQ21" s="3">
        <v>1.2389727557242383</v>
      </c>
      <c r="AR21" s="3">
        <v>1.6186363016892316</v>
      </c>
      <c r="AS21" s="3">
        <v>0.87342533512922516</v>
      </c>
      <c r="AT21" s="3">
        <v>2.4928988691492382</v>
      </c>
      <c r="AU21" s="3">
        <v>-6.0649675430752892E-2</v>
      </c>
    </row>
    <row r="22" spans="1:47" x14ac:dyDescent="0.25">
      <c r="A22">
        <v>1994.375</v>
      </c>
      <c r="B22">
        <v>5</v>
      </c>
      <c r="C22" s="3">
        <v>0.48058693018923609</v>
      </c>
      <c r="D22">
        <v>14.156770269014023</v>
      </c>
      <c r="G22" s="3">
        <v>0.48058693018923609</v>
      </c>
      <c r="H22" s="3">
        <v>0.43658393346923852</v>
      </c>
      <c r="I22" s="3">
        <v>0.55829599056923407</v>
      </c>
      <c r="J22" s="3">
        <v>-0.26735246563077253</v>
      </c>
      <c r="K22" s="3">
        <v>-0.96840572933077751</v>
      </c>
      <c r="L22" s="3">
        <v>-1.3840851574307529</v>
      </c>
      <c r="M22" s="3">
        <v>-0.34274929363076823</v>
      </c>
      <c r="N22" s="3">
        <v>-1.003711165430766</v>
      </c>
      <c r="O22" s="3">
        <v>3.3413247869227392E-2</v>
      </c>
      <c r="P22" s="3">
        <v>-0.23892460953076178</v>
      </c>
      <c r="Q22" s="3">
        <v>-5.7858695630772616E-2</v>
      </c>
      <c r="R22" s="3">
        <v>-1.2440622765307658</v>
      </c>
      <c r="S22" s="3">
        <v>-1.7499852617307701</v>
      </c>
      <c r="T22" s="3">
        <v>-1.4652308750507557</v>
      </c>
      <c r="U22" s="3">
        <v>-1.400128325530777</v>
      </c>
      <c r="V22" s="3">
        <v>-2.5427820538307531</v>
      </c>
      <c r="W22" s="3">
        <v>-6.6647353730779207E-2</v>
      </c>
      <c r="X22" s="3">
        <v>0.2562015870692339</v>
      </c>
      <c r="Y22" s="3">
        <v>-0.76324945283075885</v>
      </c>
      <c r="Z22" s="3">
        <v>-0.47740350051075731</v>
      </c>
      <c r="AA22" s="3">
        <v>0.67246091184924062</v>
      </c>
      <c r="AB22" s="3">
        <v>0.91106123696924057</v>
      </c>
      <c r="AC22" s="3">
        <v>0.30045070326922318</v>
      </c>
      <c r="AD22" s="3">
        <v>-1.121383650430777</v>
      </c>
      <c r="AE22" s="3">
        <v>-0.84115852963076165</v>
      </c>
      <c r="AF22" s="3">
        <v>-1.4262157430307572</v>
      </c>
      <c r="AG22" s="3">
        <v>-1.6423887356207789</v>
      </c>
      <c r="AH22" s="3">
        <v>-2.3034867752407635</v>
      </c>
      <c r="AI22" s="3">
        <v>-4.0346397557107512</v>
      </c>
      <c r="AJ22" s="3">
        <v>-1.5787000165107659</v>
      </c>
      <c r="AK22" s="3">
        <v>-1.6823914399807602</v>
      </c>
      <c r="AL22" s="3">
        <v>-0.45250741993075744</v>
      </c>
      <c r="AM22" s="3">
        <v>-0.43909391222076166</v>
      </c>
      <c r="AN22" s="3">
        <v>0.99610122664924261</v>
      </c>
      <c r="AO22" s="3">
        <v>1.3196503246692344</v>
      </c>
      <c r="AP22" s="3">
        <v>1.5908299070092362</v>
      </c>
      <c r="AQ22" s="3">
        <v>1.5588966751912405</v>
      </c>
      <c r="AR22" s="3">
        <v>1.6316906620592251</v>
      </c>
      <c r="AS22" s="3">
        <v>1.2957303481892386</v>
      </c>
      <c r="AT22" s="3">
        <v>-1.2335507462607638</v>
      </c>
      <c r="AU22" s="3">
        <v>0.16320301782923852</v>
      </c>
    </row>
    <row r="23" spans="1:47" x14ac:dyDescent="0.25">
      <c r="A23">
        <v>1995.375</v>
      </c>
      <c r="B23">
        <v>5</v>
      </c>
      <c r="C23" s="3">
        <v>7.6683764169240554E-2</v>
      </c>
      <c r="D23">
        <v>14.241484880459565</v>
      </c>
      <c r="G23" s="3">
        <v>7.6683764169240554E-2</v>
      </c>
      <c r="H23" s="3">
        <v>0.10972375916922747</v>
      </c>
      <c r="I23" s="3">
        <v>-0.31761633993075511</v>
      </c>
      <c r="J23" s="3">
        <v>-1.3699783146307574</v>
      </c>
      <c r="K23" s="3">
        <v>-2.2407406892407531</v>
      </c>
      <c r="L23" s="3">
        <v>-1.0063510335307699</v>
      </c>
      <c r="M23" s="3">
        <v>1.3061153370692451</v>
      </c>
      <c r="N23" s="3">
        <v>-0.22854296843077238</v>
      </c>
      <c r="O23" s="3">
        <v>0.54970240346922294</v>
      </c>
      <c r="P23" s="3">
        <v>1.4629862816792296</v>
      </c>
      <c r="Q23" s="3">
        <v>1.3126903932192404</v>
      </c>
      <c r="R23" s="3">
        <v>1.4165573207592337</v>
      </c>
      <c r="S23" s="3">
        <v>0.48058693018923609</v>
      </c>
      <c r="T23" s="3">
        <v>0.43658393346923852</v>
      </c>
      <c r="U23" s="3">
        <v>0.55829599056923407</v>
      </c>
      <c r="V23" s="3">
        <v>-0.26735246563077253</v>
      </c>
      <c r="W23" s="3">
        <v>-0.96840572933077751</v>
      </c>
      <c r="X23" s="3">
        <v>-1.3840851574307529</v>
      </c>
      <c r="Y23" s="3">
        <v>-0.34274929363076823</v>
      </c>
      <c r="Z23" s="3">
        <v>-1.003711165430766</v>
      </c>
      <c r="AA23" s="3">
        <v>3.3413247869227392E-2</v>
      </c>
      <c r="AB23" s="3">
        <v>-0.23892460953076178</v>
      </c>
      <c r="AC23" s="3">
        <v>-5.7858695630772616E-2</v>
      </c>
      <c r="AD23" s="3">
        <v>-1.2440622765307658</v>
      </c>
      <c r="AE23" s="3">
        <v>-1.7499852617307701</v>
      </c>
      <c r="AF23" s="3">
        <v>-1.4652308750507557</v>
      </c>
      <c r="AG23" s="3">
        <v>-1.400128325530777</v>
      </c>
      <c r="AH23" s="3">
        <v>-2.5427820538307531</v>
      </c>
      <c r="AI23" s="3">
        <v>-6.6647353730779207E-2</v>
      </c>
      <c r="AJ23" s="3">
        <v>0.2562015870692339</v>
      </c>
      <c r="AK23" s="3">
        <v>-0.76324945283075885</v>
      </c>
      <c r="AL23" s="3">
        <v>-0.47740350051075731</v>
      </c>
      <c r="AM23" s="3">
        <v>0.67246091184924062</v>
      </c>
      <c r="AN23" s="3">
        <v>0.91106123696924057</v>
      </c>
      <c r="AO23" s="3">
        <v>0.30045070326922318</v>
      </c>
      <c r="AP23" s="3">
        <v>-1.121383650430777</v>
      </c>
      <c r="AQ23" s="3">
        <v>-0.84115852963076165</v>
      </c>
      <c r="AR23" s="3">
        <v>-1.4262157430307572</v>
      </c>
      <c r="AS23" s="3">
        <v>-1.6423887356207789</v>
      </c>
      <c r="AT23" s="3">
        <v>-2.3034867752407635</v>
      </c>
      <c r="AU23" s="3">
        <v>-4.0346397557107512</v>
      </c>
    </row>
    <row r="24" spans="1:47" x14ac:dyDescent="0.25">
      <c r="A24">
        <v>1996.375</v>
      </c>
      <c r="B24">
        <v>5</v>
      </c>
      <c r="C24" s="3">
        <v>0.93481068946924495</v>
      </c>
      <c r="D24">
        <v>11.843783192376973</v>
      </c>
      <c r="G24" s="3">
        <v>0.93481068946924495</v>
      </c>
      <c r="H24" s="3">
        <v>-9.6817897150762722E-2</v>
      </c>
      <c r="I24" s="3">
        <v>0.34425614486924488</v>
      </c>
      <c r="J24" s="3">
        <v>5.2294937169236277E-2</v>
      </c>
      <c r="K24" s="3">
        <v>0.12928496692922442</v>
      </c>
      <c r="L24" s="3">
        <v>-1.3773610517907746</v>
      </c>
      <c r="M24" s="3">
        <v>1.5170529866692426</v>
      </c>
      <c r="N24" s="3">
        <v>1.4887714762392252</v>
      </c>
      <c r="O24" s="3">
        <v>0.48882257341924473</v>
      </c>
      <c r="P24" s="3">
        <v>2.4735421464692338</v>
      </c>
      <c r="Q24" s="3">
        <v>1.2489220058692447</v>
      </c>
      <c r="R24" s="3">
        <v>0.55404742496924286</v>
      </c>
      <c r="S24" s="3">
        <v>7.6683764169240554E-2</v>
      </c>
      <c r="T24" s="3">
        <v>0.10972375916922747</v>
      </c>
      <c r="U24" s="3">
        <v>-0.31761633993075511</v>
      </c>
      <c r="V24" s="3">
        <v>-1.3699783146307574</v>
      </c>
      <c r="W24" s="3">
        <v>-2.2407406892407531</v>
      </c>
      <c r="X24" s="3">
        <v>-1.0063510335307699</v>
      </c>
      <c r="Y24" s="3">
        <v>1.3061153370692451</v>
      </c>
      <c r="Z24" s="3">
        <v>-0.22854296843077238</v>
      </c>
      <c r="AA24" s="3">
        <v>0.54970240346922294</v>
      </c>
      <c r="AB24" s="3">
        <v>1.4629862816792296</v>
      </c>
      <c r="AC24" s="3">
        <v>1.3126903932192404</v>
      </c>
      <c r="AD24" s="3">
        <v>1.4165573207592337</v>
      </c>
      <c r="AE24" s="3">
        <v>0.48058693018923609</v>
      </c>
      <c r="AF24" s="3">
        <v>0.43658393346923852</v>
      </c>
      <c r="AG24" s="3">
        <v>0.55829599056923407</v>
      </c>
      <c r="AH24" s="3">
        <v>-0.26735246563077253</v>
      </c>
      <c r="AI24" s="3">
        <v>-0.96840572933077751</v>
      </c>
      <c r="AJ24" s="3">
        <v>-1.3840851574307529</v>
      </c>
      <c r="AK24" s="3">
        <v>-0.34274929363076823</v>
      </c>
      <c r="AL24" s="3">
        <v>-1.003711165430766</v>
      </c>
      <c r="AM24" s="3">
        <v>3.3413247869227392E-2</v>
      </c>
      <c r="AN24" s="3">
        <v>-0.23892460953076178</v>
      </c>
      <c r="AO24" s="3">
        <v>-5.7858695630772616E-2</v>
      </c>
      <c r="AP24" s="3">
        <v>-1.2440622765307658</v>
      </c>
      <c r="AQ24" s="3">
        <v>-1.7499852617307701</v>
      </c>
      <c r="AR24" s="3">
        <v>-1.4652308750507557</v>
      </c>
      <c r="AS24" s="3">
        <v>-1.400128325530777</v>
      </c>
      <c r="AT24" s="3">
        <v>-2.5427820538307531</v>
      </c>
      <c r="AU24" s="3">
        <v>-6.6647353730779207E-2</v>
      </c>
    </row>
    <row r="25" spans="1:47" x14ac:dyDescent="0.25">
      <c r="A25">
        <v>1997.375</v>
      </c>
      <c r="B25">
        <v>5</v>
      </c>
      <c r="C25" s="3">
        <v>-1.0207669603507683</v>
      </c>
      <c r="D25">
        <v>12.551309387681645</v>
      </c>
      <c r="G25" s="3">
        <v>-1.0207669603507683</v>
      </c>
      <c r="H25" s="3">
        <v>-9.7373376630768144E-2</v>
      </c>
      <c r="I25" s="3">
        <v>1.4184623768092359</v>
      </c>
      <c r="J25" s="3">
        <v>-0.48558845493075964</v>
      </c>
      <c r="K25" s="3">
        <v>-1.4328003235307725</v>
      </c>
      <c r="L25" s="3">
        <v>0.25270418406924511</v>
      </c>
      <c r="M25" s="3">
        <v>0.81910462036922738</v>
      </c>
      <c r="N25" s="3">
        <v>1.2670931882692424</v>
      </c>
      <c r="O25" s="3">
        <v>1.252030043689234</v>
      </c>
      <c r="P25" s="3">
        <v>2.7404304538592403</v>
      </c>
      <c r="Q25" s="3">
        <v>2.3489521429392384</v>
      </c>
      <c r="R25" s="3">
        <v>1.766043151369225</v>
      </c>
      <c r="S25" s="3">
        <v>0.93481068946924495</v>
      </c>
      <c r="T25" s="3">
        <v>-9.6817897150762722E-2</v>
      </c>
      <c r="U25" s="3">
        <v>0.34425614486924488</v>
      </c>
      <c r="V25" s="3">
        <v>5.2294937169236277E-2</v>
      </c>
      <c r="W25" s="3">
        <v>0.12928496692922442</v>
      </c>
      <c r="X25" s="3">
        <v>-1.3773610517907746</v>
      </c>
      <c r="Y25" s="3">
        <v>1.5170529866692426</v>
      </c>
      <c r="Z25" s="3">
        <v>1.4887714762392252</v>
      </c>
      <c r="AA25" s="3">
        <v>0.48882257341924473</v>
      </c>
      <c r="AB25" s="3">
        <v>2.4735421464692338</v>
      </c>
      <c r="AC25" s="3">
        <v>1.2489220058692447</v>
      </c>
      <c r="AD25" s="3">
        <v>0.55404742496924286</v>
      </c>
      <c r="AE25" s="3">
        <v>7.6683764169240554E-2</v>
      </c>
      <c r="AF25" s="3">
        <v>0.10972375916922747</v>
      </c>
      <c r="AG25" s="3">
        <v>-0.31761633993075511</v>
      </c>
      <c r="AH25" s="3">
        <v>-1.3699783146307574</v>
      </c>
      <c r="AI25" s="3">
        <v>-2.2407406892407531</v>
      </c>
      <c r="AJ25" s="3">
        <v>-1.0063510335307699</v>
      </c>
      <c r="AK25" s="3">
        <v>1.3061153370692451</v>
      </c>
      <c r="AL25" s="3">
        <v>-0.22854296843077238</v>
      </c>
      <c r="AM25" s="3">
        <v>0.54970240346922294</v>
      </c>
      <c r="AN25" s="3">
        <v>1.4629862816792296</v>
      </c>
      <c r="AO25" s="3">
        <v>1.3126903932192404</v>
      </c>
      <c r="AP25" s="3">
        <v>1.4165573207592337</v>
      </c>
      <c r="AQ25" s="3">
        <v>0.48058693018923609</v>
      </c>
      <c r="AR25" s="3">
        <v>0.43658393346923852</v>
      </c>
      <c r="AS25" s="3">
        <v>0.55829599056923407</v>
      </c>
      <c r="AT25" s="3">
        <v>-0.26735246563077253</v>
      </c>
      <c r="AU25" s="3">
        <v>-0.96840572933077751</v>
      </c>
    </row>
    <row r="26" spans="1:47" x14ac:dyDescent="0.25">
      <c r="A26">
        <v>1998.375</v>
      </c>
      <c r="B26">
        <v>5</v>
      </c>
      <c r="C26" s="3">
        <v>0.36530161782924503</v>
      </c>
      <c r="D26">
        <v>12.973024372267872</v>
      </c>
      <c r="G26" s="3">
        <v>0.36530161782924503</v>
      </c>
      <c r="H26" s="3">
        <v>-0.67479155132076152</v>
      </c>
      <c r="I26" s="3">
        <v>-2.787153976350762</v>
      </c>
      <c r="J26" s="3">
        <v>-4.7932476183307555</v>
      </c>
      <c r="K26" s="3">
        <v>-5.1007095236207638</v>
      </c>
      <c r="L26" s="3">
        <v>-3.1512866676807603</v>
      </c>
      <c r="M26" s="3">
        <v>-3.1398037807207642</v>
      </c>
      <c r="N26" s="3">
        <v>-2.6304183801607746</v>
      </c>
      <c r="O26" s="3">
        <v>-2.6443173447007617</v>
      </c>
      <c r="P26" s="3">
        <v>-2.0635819996307614</v>
      </c>
      <c r="Q26" s="3">
        <v>-1.616506618360757</v>
      </c>
      <c r="R26" s="3">
        <v>-2.2607291906107592</v>
      </c>
      <c r="S26" s="3">
        <v>-1.0207669603507683</v>
      </c>
      <c r="T26" s="3">
        <v>-9.7373376630768144E-2</v>
      </c>
      <c r="U26" s="3">
        <v>1.4184623768092359</v>
      </c>
      <c r="V26" s="3">
        <v>-0.48558845493075964</v>
      </c>
      <c r="W26" s="3">
        <v>-1.4328003235307725</v>
      </c>
      <c r="X26" s="3">
        <v>0.25270418406924511</v>
      </c>
      <c r="Y26" s="3">
        <v>0.81910462036922738</v>
      </c>
      <c r="Z26" s="3">
        <v>1.2670931882692424</v>
      </c>
      <c r="AA26" s="3">
        <v>1.252030043689234</v>
      </c>
      <c r="AB26" s="3">
        <v>2.7404304538592403</v>
      </c>
      <c r="AC26" s="3">
        <v>2.3489521429392384</v>
      </c>
      <c r="AD26" s="3">
        <v>1.766043151369225</v>
      </c>
      <c r="AE26" s="3">
        <v>0.93481068946924495</v>
      </c>
      <c r="AF26" s="3">
        <v>-9.6817897150762722E-2</v>
      </c>
      <c r="AG26" s="3">
        <v>0.34425614486924488</v>
      </c>
      <c r="AH26" s="3">
        <v>5.2294937169236277E-2</v>
      </c>
      <c r="AI26" s="3">
        <v>0.12928496692922442</v>
      </c>
      <c r="AJ26" s="3">
        <v>-1.3773610517907746</v>
      </c>
      <c r="AK26" s="3">
        <v>1.5170529866692426</v>
      </c>
      <c r="AL26" s="3">
        <v>1.4887714762392252</v>
      </c>
      <c r="AM26" s="3">
        <v>0.48882257341924473</v>
      </c>
      <c r="AN26" s="3">
        <v>2.4735421464692338</v>
      </c>
      <c r="AO26" s="3">
        <v>1.2489220058692447</v>
      </c>
      <c r="AP26" s="3">
        <v>0.55404742496924286</v>
      </c>
      <c r="AQ26" s="3">
        <v>7.6683764169240554E-2</v>
      </c>
      <c r="AR26" s="3">
        <v>0.10972375916922747</v>
      </c>
      <c r="AS26" s="3">
        <v>-0.31761633993075511</v>
      </c>
      <c r="AT26" s="3">
        <v>-1.3699783146307574</v>
      </c>
      <c r="AU26" s="3">
        <v>-2.2407406892407531</v>
      </c>
    </row>
    <row r="27" spans="1:47" x14ac:dyDescent="0.25">
      <c r="A27">
        <v>1999.375</v>
      </c>
      <c r="B27">
        <v>5</v>
      </c>
      <c r="C27" s="3">
        <v>4.2896200438692365</v>
      </c>
      <c r="D27">
        <v>13.501784038595371</v>
      </c>
      <c r="G27" s="3">
        <v>4.2896200438692365</v>
      </c>
      <c r="H27" s="3">
        <v>4.2750099174692346</v>
      </c>
      <c r="I27" s="3">
        <v>2.720610813269225</v>
      </c>
      <c r="J27" s="3">
        <v>2.0505162265692274</v>
      </c>
      <c r="K27" s="3">
        <v>2.0362881506692445</v>
      </c>
      <c r="L27" s="3">
        <v>3.053984121499234</v>
      </c>
      <c r="M27" s="3">
        <v>2.044175869139242</v>
      </c>
      <c r="N27" s="3">
        <v>3.7128887155072277</v>
      </c>
      <c r="O27" s="3">
        <v>3.4363206710852405</v>
      </c>
      <c r="P27" s="3">
        <v>4.4289432049292321</v>
      </c>
      <c r="Q27" s="3">
        <v>3.8889257109492208</v>
      </c>
      <c r="R27" s="3">
        <v>2.0395898820592362</v>
      </c>
      <c r="S27" s="3">
        <v>0.36530161782924503</v>
      </c>
      <c r="T27" s="3">
        <v>-0.67479155132076152</v>
      </c>
      <c r="U27" s="3">
        <v>-2.787153976350762</v>
      </c>
      <c r="V27" s="3">
        <v>-4.7932476183307555</v>
      </c>
      <c r="W27" s="3">
        <v>-5.1007095236207638</v>
      </c>
      <c r="X27" s="3">
        <v>-3.1512866676807603</v>
      </c>
      <c r="Y27" s="3">
        <v>-3.1398037807207642</v>
      </c>
      <c r="Z27" s="3">
        <v>-2.6304183801607746</v>
      </c>
      <c r="AA27" s="3">
        <v>-2.6443173447007617</v>
      </c>
      <c r="AB27" s="3">
        <v>-2.0635819996307614</v>
      </c>
      <c r="AC27" s="3">
        <v>-1.616506618360757</v>
      </c>
      <c r="AD27" s="3">
        <v>-2.2607291906107592</v>
      </c>
      <c r="AE27" s="3">
        <v>-1.0207669603507683</v>
      </c>
      <c r="AF27" s="3">
        <v>-9.7373376630768144E-2</v>
      </c>
      <c r="AG27" s="3">
        <v>1.4184623768092359</v>
      </c>
      <c r="AH27" s="3">
        <v>-0.48558845493075964</v>
      </c>
      <c r="AI27" s="3">
        <v>-1.4328003235307725</v>
      </c>
      <c r="AJ27" s="3">
        <v>0.25270418406924511</v>
      </c>
      <c r="AK27" s="3">
        <v>0.81910462036922738</v>
      </c>
      <c r="AL27" s="3">
        <v>1.2670931882692424</v>
      </c>
      <c r="AM27" s="3">
        <v>1.252030043689234</v>
      </c>
      <c r="AN27" s="3">
        <v>2.7404304538592403</v>
      </c>
      <c r="AO27" s="3">
        <v>2.3489521429392384</v>
      </c>
      <c r="AP27" s="3">
        <v>1.766043151369225</v>
      </c>
      <c r="AQ27" s="3">
        <v>0.93481068946924495</v>
      </c>
      <c r="AR27" s="3">
        <v>-9.6817897150762722E-2</v>
      </c>
      <c r="AS27" s="3">
        <v>0.34425614486924488</v>
      </c>
      <c r="AT27" s="3">
        <v>5.2294937169236277E-2</v>
      </c>
      <c r="AU27" s="3">
        <v>0.12928496692922442</v>
      </c>
    </row>
    <row r="28" spans="1:47" x14ac:dyDescent="0.25">
      <c r="A28">
        <v>2000.375</v>
      </c>
      <c r="B28">
        <v>5</v>
      </c>
      <c r="C28" s="3">
        <v>3.5373226747692317</v>
      </c>
      <c r="D28">
        <v>11.676352977456308</v>
      </c>
      <c r="G28" s="3">
        <v>3.5373226747692317</v>
      </c>
      <c r="H28" s="3">
        <v>3.0903652242692421</v>
      </c>
      <c r="I28" s="3">
        <v>1.4600406446692253</v>
      </c>
      <c r="J28" s="3">
        <v>0.9794701684692293</v>
      </c>
      <c r="K28" s="3">
        <v>4.1817926795692255</v>
      </c>
      <c r="L28" s="3">
        <v>3.394136948569225</v>
      </c>
      <c r="M28" s="3">
        <v>3.509488163569245</v>
      </c>
      <c r="N28" s="3">
        <v>4.1367831363692362</v>
      </c>
      <c r="O28" s="3">
        <v>3.8332401099692253</v>
      </c>
      <c r="P28" s="3">
        <v>3.4883985685692318</v>
      </c>
      <c r="Q28" s="3">
        <v>4.7052333398692276</v>
      </c>
      <c r="R28" s="3">
        <v>4.0284021538692274</v>
      </c>
      <c r="S28" s="3">
        <v>4.2896200438692365</v>
      </c>
      <c r="T28" s="3">
        <v>4.2750099174692346</v>
      </c>
      <c r="U28" s="3">
        <v>2.720610813269225</v>
      </c>
      <c r="V28" s="3">
        <v>2.0505162265692274</v>
      </c>
      <c r="W28" s="3">
        <v>2.0362881506692445</v>
      </c>
      <c r="X28" s="3">
        <v>3.053984121499234</v>
      </c>
      <c r="Y28" s="3">
        <v>2.044175869139242</v>
      </c>
      <c r="Z28" s="3">
        <v>3.7128887155072277</v>
      </c>
      <c r="AA28" s="3">
        <v>3.4363206710852405</v>
      </c>
      <c r="AB28" s="3">
        <v>4.4289432049292321</v>
      </c>
      <c r="AC28" s="3">
        <v>3.8889257109492208</v>
      </c>
      <c r="AD28" s="3">
        <v>2.0395898820592362</v>
      </c>
      <c r="AE28" s="3">
        <v>0.36530161782924503</v>
      </c>
      <c r="AF28" s="3">
        <v>-0.67479155132076152</v>
      </c>
      <c r="AG28" s="3">
        <v>-2.787153976350762</v>
      </c>
      <c r="AH28" s="3">
        <v>-4.7932476183307555</v>
      </c>
      <c r="AI28" s="3">
        <v>-5.1007095236207638</v>
      </c>
      <c r="AJ28" s="3">
        <v>-3.1512866676807603</v>
      </c>
      <c r="AK28" s="3">
        <v>-3.1398037807207642</v>
      </c>
      <c r="AL28" s="3">
        <v>-2.6304183801607746</v>
      </c>
      <c r="AM28" s="3">
        <v>-2.6443173447007617</v>
      </c>
      <c r="AN28" s="3">
        <v>-2.0635819996307614</v>
      </c>
      <c r="AO28" s="3">
        <v>-1.616506618360757</v>
      </c>
      <c r="AP28" s="3">
        <v>-2.2607291906107592</v>
      </c>
      <c r="AQ28" s="3">
        <v>-1.0207669603507683</v>
      </c>
      <c r="AR28" s="3">
        <v>-9.7373376630768144E-2</v>
      </c>
      <c r="AS28" s="3">
        <v>1.4184623768092359</v>
      </c>
      <c r="AT28" s="3">
        <v>-0.48558845493075964</v>
      </c>
      <c r="AU28" s="3">
        <v>-1.4328003235307725</v>
      </c>
    </row>
    <row r="29" spans="1:47" x14ac:dyDescent="0.25">
      <c r="A29">
        <v>2001.375</v>
      </c>
      <c r="B29">
        <v>5</v>
      </c>
      <c r="C29" s="3">
        <v>2.8748315578692294</v>
      </c>
      <c r="D29">
        <v>10.812838087418044</v>
      </c>
      <c r="G29" s="3">
        <v>2.8748315578692294</v>
      </c>
      <c r="H29" s="3">
        <v>3.2092950798692228</v>
      </c>
      <c r="I29" s="3">
        <v>1.7469426557692425</v>
      </c>
      <c r="J29" s="3">
        <v>1.4616929183692422</v>
      </c>
      <c r="K29" s="3">
        <v>-0.38835567963076423</v>
      </c>
      <c r="L29" s="3">
        <v>-0.22668680423076398</v>
      </c>
      <c r="M29" s="3">
        <v>1.6595333543692334</v>
      </c>
      <c r="N29" s="3">
        <v>2.6644051674692379</v>
      </c>
      <c r="O29" s="3">
        <v>2.5123353872692271</v>
      </c>
      <c r="P29" s="3">
        <v>3.4102340611692208</v>
      </c>
      <c r="Q29" s="3">
        <v>3.4716817257692343</v>
      </c>
      <c r="R29" s="3">
        <v>3.2955469341692334</v>
      </c>
      <c r="S29" s="3">
        <v>3.5373226747692317</v>
      </c>
      <c r="T29" s="3">
        <v>3.0903652242692421</v>
      </c>
      <c r="U29" s="3">
        <v>1.4600406446692253</v>
      </c>
      <c r="V29" s="3">
        <v>0.9794701684692293</v>
      </c>
      <c r="W29" s="3">
        <v>4.1817926795692255</v>
      </c>
      <c r="X29" s="3">
        <v>3.394136948569225</v>
      </c>
      <c r="Y29" s="3">
        <v>3.509488163569245</v>
      </c>
      <c r="Z29" s="3">
        <v>4.1367831363692362</v>
      </c>
      <c r="AA29" s="3">
        <v>3.8332401099692253</v>
      </c>
      <c r="AB29" s="3">
        <v>3.4883985685692318</v>
      </c>
      <c r="AC29" s="3">
        <v>4.7052333398692276</v>
      </c>
      <c r="AD29" s="3">
        <v>4.0284021538692274</v>
      </c>
      <c r="AE29" s="3">
        <v>4.2896200438692365</v>
      </c>
      <c r="AF29" s="3">
        <v>4.2750099174692346</v>
      </c>
      <c r="AG29" s="3">
        <v>2.720610813269225</v>
      </c>
      <c r="AH29" s="3">
        <v>2.0505162265692274</v>
      </c>
      <c r="AI29" s="3">
        <v>2.0362881506692445</v>
      </c>
      <c r="AJ29" s="3">
        <v>3.053984121499234</v>
      </c>
      <c r="AK29" s="3">
        <v>2.044175869139242</v>
      </c>
      <c r="AL29" s="3">
        <v>3.7128887155072277</v>
      </c>
      <c r="AM29" s="3">
        <v>3.4363206710852405</v>
      </c>
      <c r="AN29" s="3">
        <v>4.4289432049292321</v>
      </c>
      <c r="AO29" s="3">
        <v>3.8889257109492208</v>
      </c>
      <c r="AP29" s="3">
        <v>2.0395898820592362</v>
      </c>
      <c r="AQ29" s="3">
        <v>0.36530161782924503</v>
      </c>
      <c r="AR29" s="3">
        <v>-0.67479155132076152</v>
      </c>
      <c r="AS29" s="3">
        <v>-2.787153976350762</v>
      </c>
      <c r="AT29" s="3">
        <v>-4.7932476183307555</v>
      </c>
      <c r="AU29" s="3">
        <v>-5.1007095236207638</v>
      </c>
    </row>
    <row r="30" spans="1:47" x14ac:dyDescent="0.25">
      <c r="A30">
        <v>2002.375</v>
      </c>
      <c r="B30">
        <v>5</v>
      </c>
      <c r="C30" s="3">
        <v>1.9076068417692387</v>
      </c>
      <c r="D30">
        <v>13.623744392256096</v>
      </c>
      <c r="G30" s="3">
        <v>1.9076068417692387</v>
      </c>
      <c r="H30" s="3">
        <v>3.0384176178892228</v>
      </c>
      <c r="I30" s="3">
        <v>2.3836384248692406</v>
      </c>
      <c r="J30" s="3">
        <v>1.7291000883692318</v>
      </c>
      <c r="K30" s="3">
        <v>0.57640479186923832</v>
      </c>
      <c r="L30" s="3">
        <v>0.41005423246923839</v>
      </c>
      <c r="M30" s="3">
        <v>0.95477888506922737</v>
      </c>
      <c r="N30" s="3">
        <v>2.6059359112692251</v>
      </c>
      <c r="O30" s="3">
        <v>2.3933862785692384</v>
      </c>
      <c r="P30" s="3">
        <v>2.724954240169227</v>
      </c>
      <c r="Q30" s="3">
        <v>3.197693081169227</v>
      </c>
      <c r="R30" s="3">
        <v>3.2077139517692337</v>
      </c>
      <c r="S30" s="3">
        <v>2.8748315578692294</v>
      </c>
      <c r="T30" s="3">
        <v>3.2092950798692228</v>
      </c>
      <c r="U30" s="3">
        <v>1.7469426557692425</v>
      </c>
      <c r="V30" s="3">
        <v>1.4616929183692422</v>
      </c>
      <c r="W30" s="3">
        <v>-0.38835567963076423</v>
      </c>
      <c r="X30" s="3">
        <v>-0.22668680423076398</v>
      </c>
      <c r="Y30" s="3">
        <v>1.6595333543692334</v>
      </c>
      <c r="Z30" s="3">
        <v>2.6644051674692379</v>
      </c>
      <c r="AA30" s="3">
        <v>2.5123353872692271</v>
      </c>
      <c r="AB30" s="3">
        <v>3.4102340611692208</v>
      </c>
      <c r="AC30" s="3">
        <v>3.4716817257692343</v>
      </c>
      <c r="AD30" s="3">
        <v>3.2955469341692334</v>
      </c>
      <c r="AE30" s="3">
        <v>3.5373226747692317</v>
      </c>
      <c r="AF30" s="3">
        <v>3.0903652242692421</v>
      </c>
      <c r="AG30" s="3">
        <v>1.4600406446692253</v>
      </c>
      <c r="AH30" s="3">
        <v>0.9794701684692293</v>
      </c>
      <c r="AI30" s="3">
        <v>4.1817926795692255</v>
      </c>
      <c r="AJ30" s="3">
        <v>3.394136948569225</v>
      </c>
      <c r="AK30" s="3">
        <v>3.509488163569245</v>
      </c>
      <c r="AL30" s="3">
        <v>4.1367831363692362</v>
      </c>
      <c r="AM30" s="3">
        <v>3.8332401099692253</v>
      </c>
      <c r="AN30" s="3">
        <v>3.4883985685692318</v>
      </c>
      <c r="AO30" s="3">
        <v>4.7052333398692276</v>
      </c>
      <c r="AP30" s="3">
        <v>4.0284021538692274</v>
      </c>
      <c r="AQ30" s="3">
        <v>4.2896200438692365</v>
      </c>
      <c r="AR30" s="3">
        <v>4.2750099174692346</v>
      </c>
      <c r="AS30" s="3">
        <v>2.720610813269225</v>
      </c>
      <c r="AT30" s="3">
        <v>2.0505162265692274</v>
      </c>
      <c r="AU30" s="3">
        <v>2.0362881506692445</v>
      </c>
    </row>
    <row r="31" spans="1:47" x14ac:dyDescent="0.25">
      <c r="A31">
        <v>2003.375</v>
      </c>
      <c r="B31">
        <v>5</v>
      </c>
      <c r="C31" s="3">
        <v>2.2880968023692252</v>
      </c>
      <c r="D31">
        <v>13.224567665947617</v>
      </c>
      <c r="G31" s="3">
        <v>2.2880968023692252</v>
      </c>
      <c r="H31" s="3">
        <v>1.3477316226692384</v>
      </c>
      <c r="I31" s="3">
        <v>-0.21509650943075509</v>
      </c>
      <c r="J31" s="3">
        <v>-1.3804676941707616</v>
      </c>
      <c r="K31" s="3">
        <v>-3.3722278468307572</v>
      </c>
      <c r="L31" s="3">
        <v>-2.8223534988307661</v>
      </c>
      <c r="M31" s="3">
        <v>-2.5511742228307752</v>
      </c>
      <c r="N31" s="3">
        <v>-0.85183288539076163</v>
      </c>
      <c r="O31" s="3">
        <v>0.39340332639922526</v>
      </c>
      <c r="P31" s="3">
        <v>0.59083584561924296</v>
      </c>
      <c r="Q31" s="3">
        <v>1.6826666062692384</v>
      </c>
      <c r="R31" s="3">
        <v>1.4205022298692254</v>
      </c>
      <c r="S31" s="3">
        <v>1.9076068417692387</v>
      </c>
      <c r="T31" s="3">
        <v>3.0384176178892228</v>
      </c>
      <c r="U31" s="3">
        <v>2.3836384248692406</v>
      </c>
      <c r="V31" s="3">
        <v>1.7291000883692318</v>
      </c>
      <c r="W31" s="3">
        <v>0.57640479186923832</v>
      </c>
      <c r="X31" s="3">
        <v>0.41005423246923839</v>
      </c>
      <c r="Y31" s="3">
        <v>0.95477888506922737</v>
      </c>
      <c r="Z31" s="3">
        <v>2.6059359112692251</v>
      </c>
      <c r="AA31" s="3">
        <v>2.3933862785692384</v>
      </c>
      <c r="AB31" s="3">
        <v>2.724954240169227</v>
      </c>
      <c r="AC31" s="3">
        <v>3.197693081169227</v>
      </c>
      <c r="AD31" s="3">
        <v>3.2077139517692337</v>
      </c>
      <c r="AE31" s="3">
        <v>2.8748315578692294</v>
      </c>
      <c r="AF31" s="3">
        <v>3.2092950798692228</v>
      </c>
      <c r="AG31" s="3">
        <v>1.7469426557692425</v>
      </c>
      <c r="AH31" s="3">
        <v>1.4616929183692422</v>
      </c>
      <c r="AI31" s="3">
        <v>-0.38835567963076423</v>
      </c>
      <c r="AJ31" s="3">
        <v>-0.22668680423076398</v>
      </c>
      <c r="AK31" s="3">
        <v>1.6595333543692334</v>
      </c>
      <c r="AL31" s="3">
        <v>2.6644051674692379</v>
      </c>
      <c r="AM31" s="3">
        <v>2.5123353872692271</v>
      </c>
      <c r="AN31" s="3">
        <v>3.4102340611692208</v>
      </c>
      <c r="AO31" s="3">
        <v>3.4716817257692343</v>
      </c>
      <c r="AP31" s="3">
        <v>3.2955469341692334</v>
      </c>
      <c r="AQ31" s="3">
        <v>3.5373226747692317</v>
      </c>
      <c r="AR31" s="3">
        <v>3.0903652242692421</v>
      </c>
      <c r="AS31" s="3">
        <v>1.4600406446692253</v>
      </c>
      <c r="AT31" s="3">
        <v>0.9794701684692293</v>
      </c>
      <c r="AU31" s="3">
        <v>4.1817926795692255</v>
      </c>
    </row>
    <row r="32" spans="1:47" x14ac:dyDescent="0.25">
      <c r="A32">
        <v>2004.375</v>
      </c>
      <c r="B32">
        <v>5</v>
      </c>
      <c r="C32" s="3">
        <v>1.3046613783592229</v>
      </c>
      <c r="D32">
        <v>13.470152933311814</v>
      </c>
      <c r="G32" s="3">
        <v>1.3046613783592229</v>
      </c>
      <c r="H32" s="3">
        <v>0.59094081723922087</v>
      </c>
      <c r="I32" s="3">
        <v>1.4408482313592275</v>
      </c>
      <c r="J32" s="3">
        <v>-1.6729482482407596</v>
      </c>
      <c r="K32" s="3">
        <v>-1.095964693210753</v>
      </c>
      <c r="L32" s="3">
        <v>-1.0499957530007684</v>
      </c>
      <c r="M32" s="3">
        <v>1.8076010837492387</v>
      </c>
      <c r="N32" s="3">
        <v>5.9040367769244984E-2</v>
      </c>
      <c r="O32" s="3">
        <v>1.020079867869234</v>
      </c>
      <c r="P32" s="3">
        <v>1.3330668343492251</v>
      </c>
      <c r="Q32" s="3">
        <v>2.0764134763692423</v>
      </c>
      <c r="R32" s="3">
        <v>1.538133375409245</v>
      </c>
      <c r="S32" s="3">
        <v>2.2880968023692252</v>
      </c>
      <c r="T32" s="3">
        <v>1.3477316226692384</v>
      </c>
      <c r="U32" s="3">
        <v>-0.21509650943075509</v>
      </c>
      <c r="V32" s="3">
        <v>-1.3804676941707616</v>
      </c>
      <c r="W32" s="3">
        <v>-3.3722278468307572</v>
      </c>
      <c r="X32" s="3">
        <v>-2.8223534988307661</v>
      </c>
      <c r="Y32" s="3">
        <v>-2.5511742228307752</v>
      </c>
      <c r="Z32" s="3">
        <v>-0.85183288539076163</v>
      </c>
      <c r="AA32" s="3">
        <v>0.39340332639922526</v>
      </c>
      <c r="AB32" s="3">
        <v>0.59083584561924296</v>
      </c>
      <c r="AC32" s="3">
        <v>1.6826666062692384</v>
      </c>
      <c r="AD32" s="3">
        <v>1.4205022298692254</v>
      </c>
      <c r="AE32" s="3">
        <v>1.9076068417692387</v>
      </c>
      <c r="AF32" s="3">
        <v>3.0384176178892228</v>
      </c>
      <c r="AG32" s="3">
        <v>2.3836384248692406</v>
      </c>
      <c r="AH32" s="3">
        <v>1.7291000883692318</v>
      </c>
      <c r="AI32" s="3">
        <v>0.57640479186923832</v>
      </c>
      <c r="AJ32" s="3">
        <v>0.41005423246923839</v>
      </c>
      <c r="AK32" s="3">
        <v>0.95477888506922737</v>
      </c>
      <c r="AL32" s="3">
        <v>2.6059359112692251</v>
      </c>
      <c r="AM32" s="3">
        <v>2.3933862785692384</v>
      </c>
      <c r="AN32" s="3">
        <v>2.724954240169227</v>
      </c>
      <c r="AO32" s="3">
        <v>3.197693081169227</v>
      </c>
      <c r="AP32" s="3">
        <v>3.2077139517692337</v>
      </c>
      <c r="AQ32" s="3">
        <v>2.8748315578692294</v>
      </c>
      <c r="AR32" s="3">
        <v>3.2092950798692228</v>
      </c>
      <c r="AS32" s="3">
        <v>1.7469426557692425</v>
      </c>
      <c r="AT32" s="3">
        <v>1.4616929183692422</v>
      </c>
      <c r="AU32" s="3">
        <v>-0.38835567963076423</v>
      </c>
    </row>
    <row r="33" spans="1:47" x14ac:dyDescent="0.25">
      <c r="A33">
        <v>2005.375</v>
      </c>
      <c r="B33">
        <v>5</v>
      </c>
      <c r="C33" s="3">
        <v>-0.5079246517307725</v>
      </c>
      <c r="D33">
        <v>13.025625362414097</v>
      </c>
      <c r="G33" s="3">
        <v>-0.5079246517307725</v>
      </c>
      <c r="H33" s="3">
        <v>0.29846351686923395</v>
      </c>
      <c r="I33" s="3">
        <v>-1.6761749096307603</v>
      </c>
      <c r="J33" s="3">
        <v>-1.3825177939307545</v>
      </c>
      <c r="K33" s="3">
        <v>-1.774578943930764</v>
      </c>
      <c r="L33" s="3">
        <v>-0.34530564288076371</v>
      </c>
      <c r="M33" s="3">
        <v>0.32788333794924063</v>
      </c>
      <c r="N33" s="3">
        <v>0.44187939644322305</v>
      </c>
      <c r="O33" s="3">
        <v>0.97939350272924519</v>
      </c>
      <c r="P33" s="3">
        <v>0.19707756144923189</v>
      </c>
      <c r="Q33" s="3">
        <v>0.82747681711923837</v>
      </c>
      <c r="R33" s="3">
        <v>1.9188675702592293</v>
      </c>
      <c r="S33" s="3">
        <v>1.3046613783592229</v>
      </c>
      <c r="T33" s="3">
        <v>0.59094081723922087</v>
      </c>
      <c r="U33" s="3">
        <v>1.4408482313592275</v>
      </c>
      <c r="V33" s="3">
        <v>-1.6729482482407596</v>
      </c>
      <c r="W33" s="3">
        <v>-1.095964693210753</v>
      </c>
      <c r="X33" s="3">
        <v>-1.0499957530007684</v>
      </c>
      <c r="Y33" s="3">
        <v>1.8076010837492387</v>
      </c>
      <c r="Z33" s="3">
        <v>5.9040367769244984E-2</v>
      </c>
      <c r="AA33" s="3">
        <v>1.020079867869234</v>
      </c>
      <c r="AB33" s="3">
        <v>1.3330668343492251</v>
      </c>
      <c r="AC33" s="3">
        <v>2.0764134763692423</v>
      </c>
      <c r="AD33" s="3">
        <v>1.538133375409245</v>
      </c>
      <c r="AE33" s="3">
        <v>2.2880968023692252</v>
      </c>
      <c r="AF33" s="3">
        <v>1.3477316226692384</v>
      </c>
      <c r="AG33" s="3">
        <v>-0.21509650943075509</v>
      </c>
      <c r="AH33" s="3">
        <v>-1.3804676941707616</v>
      </c>
      <c r="AI33" s="3">
        <v>-3.3722278468307572</v>
      </c>
      <c r="AJ33" s="3">
        <v>-2.8223534988307661</v>
      </c>
      <c r="AK33" s="3">
        <v>-2.5511742228307752</v>
      </c>
      <c r="AL33" s="3">
        <v>-0.85183288539076163</v>
      </c>
      <c r="AM33" s="3">
        <v>0.39340332639922526</v>
      </c>
      <c r="AN33" s="3">
        <v>0.59083584561924296</v>
      </c>
      <c r="AO33" s="3">
        <v>1.6826666062692384</v>
      </c>
      <c r="AP33" s="3">
        <v>1.4205022298692254</v>
      </c>
      <c r="AQ33" s="3">
        <v>1.9076068417692387</v>
      </c>
      <c r="AR33" s="3">
        <v>3.0384176178892228</v>
      </c>
      <c r="AS33" s="3">
        <v>2.3836384248692406</v>
      </c>
      <c r="AT33" s="3">
        <v>1.7291000883692318</v>
      </c>
      <c r="AU33" s="3">
        <v>0.57640479186923832</v>
      </c>
    </row>
    <row r="34" spans="1:47" x14ac:dyDescent="0.25">
      <c r="A34">
        <v>2006.375</v>
      </c>
      <c r="B34">
        <v>5</v>
      </c>
      <c r="C34" s="3">
        <v>2.1628221249392339</v>
      </c>
      <c r="D34">
        <v>12.889773823313828</v>
      </c>
      <c r="G34" s="3">
        <v>2.1628221249392339</v>
      </c>
      <c r="H34" s="3">
        <v>2.2926456901192314</v>
      </c>
      <c r="I34" s="3">
        <v>1.9418874460192272</v>
      </c>
      <c r="J34" s="3">
        <v>1.5328446123392316</v>
      </c>
      <c r="K34" s="3">
        <v>0.24639725443924221</v>
      </c>
      <c r="L34" s="3">
        <v>-1.7059552504307725</v>
      </c>
      <c r="M34" s="3">
        <v>2.3657050289692316</v>
      </c>
      <c r="N34" s="3">
        <v>2.1485403461692405</v>
      </c>
      <c r="O34" s="3">
        <v>1.8314558438692428</v>
      </c>
      <c r="P34" s="3">
        <v>1.3496924048692274</v>
      </c>
      <c r="Q34" s="3">
        <v>1.4338550498692317</v>
      </c>
      <c r="R34" s="3">
        <v>0.3387690722692363</v>
      </c>
      <c r="S34" s="3">
        <v>-0.5079246517307725</v>
      </c>
      <c r="T34" s="3">
        <v>0.29846351686923395</v>
      </c>
      <c r="U34" s="3">
        <v>-1.6761749096307603</v>
      </c>
      <c r="V34" s="3">
        <v>-1.3825177939307545</v>
      </c>
      <c r="W34" s="3">
        <v>-1.774578943930764</v>
      </c>
      <c r="X34" s="3">
        <v>-0.34530564288076371</v>
      </c>
      <c r="Y34" s="3">
        <v>0.32788333794924063</v>
      </c>
      <c r="Z34" s="3">
        <v>0.44187939644322305</v>
      </c>
      <c r="AA34" s="3">
        <v>0.97939350272924519</v>
      </c>
      <c r="AB34" s="3">
        <v>0.19707756144923189</v>
      </c>
      <c r="AC34" s="3">
        <v>0.82747681711923837</v>
      </c>
      <c r="AD34" s="3">
        <v>1.9188675702592293</v>
      </c>
      <c r="AE34" s="3">
        <v>1.3046613783592229</v>
      </c>
      <c r="AF34" s="3">
        <v>0.59094081723922087</v>
      </c>
      <c r="AG34" s="3">
        <v>1.4408482313592275</v>
      </c>
      <c r="AH34" s="3">
        <v>-1.6729482482407596</v>
      </c>
      <c r="AI34" s="3">
        <v>-1.095964693210753</v>
      </c>
      <c r="AJ34" s="3">
        <v>-1.0499957530007684</v>
      </c>
      <c r="AK34" s="3">
        <v>1.8076010837492387</v>
      </c>
      <c r="AL34" s="3">
        <v>5.9040367769244984E-2</v>
      </c>
      <c r="AM34" s="3">
        <v>1.020079867869234</v>
      </c>
      <c r="AN34" s="3">
        <v>1.3330668343492251</v>
      </c>
      <c r="AO34" s="3">
        <v>2.0764134763692423</v>
      </c>
      <c r="AP34" s="3">
        <v>1.538133375409245</v>
      </c>
      <c r="AQ34" s="3">
        <v>2.2880968023692252</v>
      </c>
      <c r="AR34" s="3">
        <v>1.3477316226692384</v>
      </c>
      <c r="AS34" s="3">
        <v>-0.21509650943075509</v>
      </c>
      <c r="AT34" s="3">
        <v>-1.3804676941707616</v>
      </c>
      <c r="AU34" s="3">
        <v>-3.3722278468307572</v>
      </c>
    </row>
    <row r="35" spans="1:47" x14ac:dyDescent="0.25">
      <c r="A35">
        <v>2007.375</v>
      </c>
      <c r="B35">
        <v>5</v>
      </c>
      <c r="C35" s="3">
        <v>2.2741382218892316</v>
      </c>
      <c r="D35">
        <v>12.431966171943071</v>
      </c>
      <c r="G35" s="3">
        <v>2.2741382218892316</v>
      </c>
      <c r="H35" s="3">
        <v>0.91576861426923528</v>
      </c>
      <c r="I35" s="3">
        <v>1.5584511780692361</v>
      </c>
      <c r="J35" s="3">
        <v>-0.38390259033377455</v>
      </c>
      <c r="K35" s="3">
        <v>-0.29827832770077151</v>
      </c>
      <c r="L35" s="3">
        <v>-1.3194225846907526</v>
      </c>
      <c r="M35" s="3">
        <v>0.34878441866923404</v>
      </c>
      <c r="N35" s="3">
        <v>0.133375123389223</v>
      </c>
      <c r="O35" s="3">
        <v>1.2713854909392337</v>
      </c>
      <c r="P35" s="3">
        <v>1.789928194669234</v>
      </c>
      <c r="Q35" s="3">
        <v>1.2275044462992428</v>
      </c>
      <c r="R35" s="3">
        <v>1.816965704619234</v>
      </c>
      <c r="S35" s="3">
        <v>2.1628221249392339</v>
      </c>
      <c r="T35" s="3">
        <v>2.2926456901192314</v>
      </c>
      <c r="U35" s="3">
        <v>1.9418874460192272</v>
      </c>
      <c r="V35" s="3">
        <v>1.5328446123392316</v>
      </c>
      <c r="W35" s="3">
        <v>0.24639725443924221</v>
      </c>
      <c r="X35" s="3">
        <v>-1.7059552504307725</v>
      </c>
      <c r="Y35" s="3">
        <v>2.3657050289692316</v>
      </c>
      <c r="Z35" s="3">
        <v>2.1485403461692405</v>
      </c>
      <c r="AA35" s="3">
        <v>1.8314558438692428</v>
      </c>
      <c r="AB35" s="3">
        <v>1.3496924048692274</v>
      </c>
      <c r="AC35" s="3">
        <v>1.4338550498692317</v>
      </c>
      <c r="AD35" s="3">
        <v>0.3387690722692363</v>
      </c>
      <c r="AE35" s="3">
        <v>-0.5079246517307725</v>
      </c>
      <c r="AF35" s="3">
        <v>0.29846351686923395</v>
      </c>
      <c r="AG35" s="3">
        <v>-1.6761749096307603</v>
      </c>
      <c r="AH35" s="3">
        <v>-1.3825177939307545</v>
      </c>
      <c r="AI35" s="3">
        <v>-1.774578943930764</v>
      </c>
      <c r="AJ35" s="3">
        <v>-0.34530564288076371</v>
      </c>
      <c r="AK35" s="3">
        <v>0.32788333794924063</v>
      </c>
      <c r="AL35" s="3">
        <v>0.44187939644322305</v>
      </c>
      <c r="AM35" s="3">
        <v>0.97939350272924519</v>
      </c>
      <c r="AN35" s="3">
        <v>0.19707756144923189</v>
      </c>
      <c r="AO35" s="3">
        <v>0.82747681711923837</v>
      </c>
      <c r="AP35" s="3">
        <v>1.9188675702592293</v>
      </c>
      <c r="AQ35" s="3">
        <v>1.3046613783592229</v>
      </c>
      <c r="AR35" s="3">
        <v>0.59094081723922087</v>
      </c>
      <c r="AS35" s="3">
        <v>1.4408482313592275</v>
      </c>
      <c r="AT35" s="3">
        <v>-1.6729482482407596</v>
      </c>
      <c r="AU35" s="3">
        <v>-1.095964693210753</v>
      </c>
    </row>
    <row r="36" spans="1:47" x14ac:dyDescent="0.25">
      <c r="A36">
        <v>2008.375</v>
      </c>
      <c r="B36">
        <v>5</v>
      </c>
      <c r="C36" s="3">
        <v>3.1445083440692292</v>
      </c>
      <c r="D36">
        <v>12.417884989670689</v>
      </c>
      <c r="G36" s="3">
        <v>3.1445083440692292</v>
      </c>
      <c r="H36" s="3">
        <v>4.3037038856692229</v>
      </c>
      <c r="I36" s="3">
        <v>3.5141544352692451</v>
      </c>
      <c r="J36" s="3">
        <v>2.0171252992692406</v>
      </c>
      <c r="K36" s="3">
        <v>2.6252510639492432</v>
      </c>
      <c r="L36" s="3">
        <v>2.6049737380592211</v>
      </c>
      <c r="M36" s="3">
        <v>1.9780654593992426</v>
      </c>
      <c r="N36" s="3">
        <v>3.8121810804692426</v>
      </c>
      <c r="O36" s="3">
        <v>2.9581203447292252</v>
      </c>
      <c r="P36" s="3">
        <v>2.7815152350692447</v>
      </c>
      <c r="Q36" s="3">
        <v>2.0566604165692253</v>
      </c>
      <c r="R36" s="3">
        <v>2.5920905191692314</v>
      </c>
      <c r="S36" s="3">
        <v>2.2741382218892316</v>
      </c>
      <c r="T36" s="3">
        <v>0.91576861426923528</v>
      </c>
      <c r="U36" s="3">
        <v>1.5584511780692361</v>
      </c>
      <c r="V36" s="3">
        <v>-0.38390259033377455</v>
      </c>
      <c r="W36" s="3">
        <v>-0.29827832770077151</v>
      </c>
      <c r="X36" s="3">
        <v>-1.3194225846907526</v>
      </c>
      <c r="Y36" s="3">
        <v>0.34878441866923404</v>
      </c>
      <c r="Z36" s="3">
        <v>0.133375123389223</v>
      </c>
      <c r="AA36" s="3">
        <v>1.2713854909392337</v>
      </c>
      <c r="AB36" s="3">
        <v>1.789928194669234</v>
      </c>
      <c r="AC36" s="3">
        <v>1.2275044462992428</v>
      </c>
      <c r="AD36" s="3">
        <v>1.816965704619234</v>
      </c>
      <c r="AE36" s="3">
        <v>2.1628221249392339</v>
      </c>
      <c r="AF36" s="3">
        <v>2.2926456901192314</v>
      </c>
      <c r="AG36" s="3">
        <v>1.9418874460192272</v>
      </c>
      <c r="AH36" s="3">
        <v>1.5328446123392316</v>
      </c>
      <c r="AI36" s="3">
        <v>0.24639725443924221</v>
      </c>
      <c r="AJ36" s="3">
        <v>-1.7059552504307725</v>
      </c>
      <c r="AK36" s="3">
        <v>2.3657050289692316</v>
      </c>
      <c r="AL36" s="3">
        <v>2.1485403461692405</v>
      </c>
      <c r="AM36" s="3">
        <v>1.8314558438692428</v>
      </c>
      <c r="AN36" s="3">
        <v>1.3496924048692274</v>
      </c>
      <c r="AO36" s="3">
        <v>1.4338550498692317</v>
      </c>
      <c r="AP36" s="3">
        <v>0.3387690722692363</v>
      </c>
      <c r="AQ36" s="3">
        <v>-0.5079246517307725</v>
      </c>
      <c r="AR36" s="3">
        <v>0.29846351686923395</v>
      </c>
      <c r="AS36" s="3">
        <v>-1.6761749096307603</v>
      </c>
      <c r="AT36" s="3">
        <v>-1.3825177939307545</v>
      </c>
      <c r="AU36" s="3">
        <v>-1.774578943930764</v>
      </c>
    </row>
    <row r="37" spans="1:47" x14ac:dyDescent="0.25">
      <c r="A37">
        <v>2009.375</v>
      </c>
      <c r="B37">
        <v>5</v>
      </c>
      <c r="C37" s="3">
        <v>2.8559780762592273</v>
      </c>
      <c r="D37">
        <v>13.794351466530339</v>
      </c>
      <c r="G37" s="3">
        <v>2.8559780762592273</v>
      </c>
      <c r="H37" s="3">
        <v>3.3982535946892316</v>
      </c>
      <c r="I37" s="3">
        <v>3.7437798352422273</v>
      </c>
      <c r="J37" s="3">
        <v>3.1401515433092211</v>
      </c>
      <c r="K37" s="3">
        <v>2.3256610174192414</v>
      </c>
      <c r="L37" s="3">
        <v>3.0732084994992381</v>
      </c>
      <c r="M37" s="3">
        <v>2.4197133966692208</v>
      </c>
      <c r="N37" s="3">
        <v>3.7297149387692254</v>
      </c>
      <c r="O37" s="3">
        <v>3.1178040014692385</v>
      </c>
      <c r="P37" s="3">
        <v>3.3034292364692428</v>
      </c>
      <c r="Q37" s="3">
        <v>3.5154691291692206</v>
      </c>
      <c r="R37" s="3">
        <v>3.7396919383692429</v>
      </c>
      <c r="S37" s="3">
        <v>3.1445083440692292</v>
      </c>
      <c r="T37" s="3">
        <v>4.3037038856692229</v>
      </c>
      <c r="U37" s="3">
        <v>3.5141544352692451</v>
      </c>
      <c r="V37" s="3">
        <v>2.0171252992692406</v>
      </c>
      <c r="W37" s="3">
        <v>2.6252510639492432</v>
      </c>
      <c r="X37" s="3">
        <v>2.6049737380592211</v>
      </c>
      <c r="Y37" s="3">
        <v>1.9780654593992426</v>
      </c>
      <c r="Z37" s="3">
        <v>3.8121810804692426</v>
      </c>
      <c r="AA37" s="3">
        <v>2.9581203447292252</v>
      </c>
      <c r="AB37" s="3">
        <v>2.7815152350692447</v>
      </c>
      <c r="AC37" s="3">
        <v>2.0566604165692253</v>
      </c>
      <c r="AD37" s="3">
        <v>2.5920905191692314</v>
      </c>
      <c r="AE37" s="3">
        <v>2.2741382218892316</v>
      </c>
      <c r="AF37" s="3">
        <v>0.91576861426923528</v>
      </c>
      <c r="AG37" s="3">
        <v>1.5584511780692361</v>
      </c>
      <c r="AH37" s="3">
        <v>-0.38390259033377455</v>
      </c>
      <c r="AI37" s="3">
        <v>-0.29827832770077151</v>
      </c>
      <c r="AJ37" s="3">
        <v>-1.3194225846907526</v>
      </c>
      <c r="AK37" s="3">
        <v>0.34878441866923404</v>
      </c>
      <c r="AL37" s="3">
        <v>0.133375123389223</v>
      </c>
      <c r="AM37" s="3">
        <v>1.2713854909392337</v>
      </c>
      <c r="AN37" s="3">
        <v>1.789928194669234</v>
      </c>
      <c r="AO37" s="3">
        <v>1.2275044462992428</v>
      </c>
      <c r="AP37" s="3">
        <v>1.816965704619234</v>
      </c>
      <c r="AQ37" s="3">
        <v>2.1628221249392339</v>
      </c>
      <c r="AR37" s="3">
        <v>2.2926456901192314</v>
      </c>
      <c r="AS37" s="3">
        <v>1.9418874460192272</v>
      </c>
      <c r="AT37" s="3">
        <v>1.5328446123392316</v>
      </c>
      <c r="AU37" s="3">
        <v>0.24639725443924221</v>
      </c>
    </row>
    <row r="38" spans="1:47" x14ac:dyDescent="0.25">
      <c r="A38">
        <v>2010.375</v>
      </c>
      <c r="B38">
        <v>5</v>
      </c>
      <c r="C38" s="3">
        <v>2.1367981933692386</v>
      </c>
      <c r="D38">
        <v>13.594149402096543</v>
      </c>
      <c r="G38" s="3">
        <v>2.1367981933692386</v>
      </c>
      <c r="H38" s="3">
        <v>1.1052457697692384</v>
      </c>
      <c r="I38" s="3">
        <v>-0.48756181103076601</v>
      </c>
      <c r="J38" s="3">
        <v>-2.6477017098307662</v>
      </c>
      <c r="K38" s="3">
        <v>-3.3208245141307722</v>
      </c>
      <c r="L38" s="3">
        <v>-2.4654593805307572</v>
      </c>
      <c r="M38" s="3">
        <v>1.0901500019244892E-2</v>
      </c>
      <c r="N38" s="3">
        <v>-0.44134536233076377</v>
      </c>
      <c r="O38" s="3">
        <v>0.55891123916923846</v>
      </c>
      <c r="P38" s="3">
        <v>1.2312497751892382</v>
      </c>
      <c r="Q38" s="3">
        <v>1.1174872949192272</v>
      </c>
      <c r="R38" s="3">
        <v>1.0325521682292274</v>
      </c>
      <c r="S38" s="3">
        <v>2.8559780762592273</v>
      </c>
      <c r="T38" s="3">
        <v>3.3982535946892316</v>
      </c>
      <c r="U38" s="3">
        <v>3.7437798352422273</v>
      </c>
      <c r="V38" s="3">
        <v>3.1401515433092211</v>
      </c>
      <c r="W38" s="3">
        <v>2.3256610174192414</v>
      </c>
      <c r="X38" s="3">
        <v>3.0732084994992381</v>
      </c>
      <c r="Y38" s="3">
        <v>2.4197133966692208</v>
      </c>
      <c r="Z38" s="3">
        <v>3.7297149387692254</v>
      </c>
      <c r="AA38" s="3">
        <v>3.1178040014692385</v>
      </c>
      <c r="AB38" s="3">
        <v>3.3034292364692428</v>
      </c>
      <c r="AC38" s="3">
        <v>3.5154691291692206</v>
      </c>
      <c r="AD38" s="3">
        <v>3.7396919383692429</v>
      </c>
      <c r="AE38" s="3">
        <v>3.1445083440692292</v>
      </c>
      <c r="AF38" s="3">
        <v>4.3037038856692229</v>
      </c>
      <c r="AG38" s="3">
        <v>3.5141544352692451</v>
      </c>
      <c r="AH38" s="3">
        <v>2.0171252992692406</v>
      </c>
      <c r="AI38" s="3">
        <v>2.6252510639492432</v>
      </c>
      <c r="AJ38" s="3">
        <v>2.6049737380592211</v>
      </c>
      <c r="AK38" s="3">
        <v>1.9780654593992426</v>
      </c>
      <c r="AL38" s="3">
        <v>3.8121810804692426</v>
      </c>
      <c r="AM38" s="3">
        <v>2.9581203447292252</v>
      </c>
      <c r="AN38" s="3">
        <v>2.7815152350692447</v>
      </c>
      <c r="AO38" s="3">
        <v>2.0566604165692253</v>
      </c>
      <c r="AP38" s="3">
        <v>2.5920905191692314</v>
      </c>
      <c r="AQ38" s="3">
        <v>2.2741382218892316</v>
      </c>
      <c r="AR38" s="3">
        <v>0.91576861426923528</v>
      </c>
      <c r="AS38" s="3">
        <v>1.5584511780692361</v>
      </c>
      <c r="AT38" s="3">
        <v>-0.38390259033377455</v>
      </c>
      <c r="AU38" s="3">
        <v>-0.29827832770077151</v>
      </c>
    </row>
    <row r="39" spans="1:47" x14ac:dyDescent="0.25">
      <c r="A39">
        <v>2011.375</v>
      </c>
      <c r="B39">
        <v>5</v>
      </c>
      <c r="C39" s="3">
        <v>2.994733051169236</v>
      </c>
      <c r="D39">
        <v>13.48376661801206</v>
      </c>
      <c r="G39" s="3">
        <v>2.994733051169236</v>
      </c>
      <c r="H39" s="3">
        <v>3.7169376469992383</v>
      </c>
      <c r="I39" s="3">
        <v>2.6917547487692408</v>
      </c>
      <c r="J39" s="3">
        <v>4.0854112138192225</v>
      </c>
      <c r="K39" s="3">
        <v>1.239910041719225</v>
      </c>
      <c r="L39" s="3">
        <v>3.7306486162292316</v>
      </c>
      <c r="M39" s="3">
        <v>4.031058309969243</v>
      </c>
      <c r="N39" s="3">
        <v>3.7667653419692209</v>
      </c>
      <c r="O39" s="3">
        <v>4.2842263740692337</v>
      </c>
      <c r="P39" s="3">
        <v>5.3692223996192361</v>
      </c>
      <c r="Q39" s="3">
        <v>5.3632401589792407</v>
      </c>
      <c r="R39" s="3">
        <v>3.3288297101692361</v>
      </c>
      <c r="S39" s="3">
        <v>2.1367981933692386</v>
      </c>
      <c r="T39" s="3">
        <v>1.1052457697692384</v>
      </c>
      <c r="U39" s="3">
        <v>-0.48756181103076601</v>
      </c>
      <c r="V39" s="3">
        <v>-2.6477017098307662</v>
      </c>
      <c r="W39" s="3">
        <v>-3.3208245141307722</v>
      </c>
      <c r="X39" s="3">
        <v>-2.4654593805307572</v>
      </c>
      <c r="Y39" s="3">
        <v>1.0901500019244892E-2</v>
      </c>
      <c r="Z39" s="3">
        <v>-0.44134536233076377</v>
      </c>
      <c r="AA39" s="3">
        <v>0.55891123916923846</v>
      </c>
      <c r="AB39" s="3">
        <v>1.2312497751892382</v>
      </c>
      <c r="AC39" s="3">
        <v>1.1174872949192272</v>
      </c>
      <c r="AD39" s="3">
        <v>1.0325521682292274</v>
      </c>
      <c r="AE39" s="3">
        <v>2.8559780762592273</v>
      </c>
      <c r="AF39" s="3">
        <v>3.3982535946892316</v>
      </c>
      <c r="AG39" s="3">
        <v>3.7437798352422273</v>
      </c>
      <c r="AH39" s="3">
        <v>3.1401515433092211</v>
      </c>
      <c r="AI39" s="3">
        <v>2.3256610174192414</v>
      </c>
      <c r="AJ39" s="3">
        <v>3.0732084994992381</v>
      </c>
      <c r="AK39" s="3">
        <v>2.4197133966692208</v>
      </c>
      <c r="AL39" s="3">
        <v>3.7297149387692254</v>
      </c>
      <c r="AM39" s="3">
        <v>3.1178040014692385</v>
      </c>
      <c r="AN39" s="3">
        <v>3.3034292364692428</v>
      </c>
      <c r="AO39" s="3">
        <v>3.5154691291692206</v>
      </c>
      <c r="AP39" s="3">
        <v>3.7396919383692429</v>
      </c>
      <c r="AQ39" s="3">
        <v>3.1445083440692292</v>
      </c>
      <c r="AR39" s="3">
        <v>4.3037038856692229</v>
      </c>
      <c r="AS39" s="3">
        <v>3.5141544352692451</v>
      </c>
      <c r="AT39" s="3">
        <v>2.0171252992692406</v>
      </c>
      <c r="AU39" s="3">
        <v>2.6252510639492432</v>
      </c>
    </row>
    <row r="40" spans="1:47" x14ac:dyDescent="0.25">
      <c r="A40">
        <v>2012.375</v>
      </c>
      <c r="B40">
        <v>5</v>
      </c>
      <c r="C40" s="3">
        <v>3.3148665312692316</v>
      </c>
      <c r="D40">
        <v>13.377585581387612</v>
      </c>
      <c r="G40" s="3">
        <v>3.3148665312692316</v>
      </c>
      <c r="H40" s="3">
        <v>2.7316463550692207</v>
      </c>
      <c r="I40" s="3">
        <v>2.9837590889692205</v>
      </c>
      <c r="J40" s="3">
        <v>0.95535216508924714</v>
      </c>
      <c r="K40" s="3">
        <v>1.7700253141892386</v>
      </c>
      <c r="L40" s="3">
        <v>2.882561274810246</v>
      </c>
      <c r="M40" s="3">
        <v>4.0480641576192209</v>
      </c>
      <c r="N40" s="3">
        <v>3.3780577038692257</v>
      </c>
      <c r="O40" s="3">
        <v>3.505408443069232</v>
      </c>
      <c r="P40" s="3">
        <v>3.303517913359225</v>
      </c>
      <c r="Q40" s="3">
        <v>3.6558712369092294</v>
      </c>
      <c r="R40" s="3">
        <v>2.754497701969234</v>
      </c>
      <c r="S40" s="3">
        <v>2.994733051169236</v>
      </c>
      <c r="T40" s="3">
        <v>3.7169376469992383</v>
      </c>
      <c r="U40" s="3">
        <v>2.6917547487692408</v>
      </c>
      <c r="V40" s="3">
        <v>4.0854112138192225</v>
      </c>
      <c r="W40" s="3">
        <v>1.239910041719225</v>
      </c>
      <c r="X40" s="3">
        <v>3.7306486162292316</v>
      </c>
      <c r="Y40" s="3">
        <v>4.031058309969243</v>
      </c>
      <c r="Z40" s="3">
        <v>3.7667653419692209</v>
      </c>
      <c r="AA40" s="3">
        <v>4.2842263740692337</v>
      </c>
      <c r="AB40" s="3">
        <v>5.3692223996192361</v>
      </c>
      <c r="AC40" s="3">
        <v>5.3632401589792407</v>
      </c>
      <c r="AD40" s="3">
        <v>3.3288297101692361</v>
      </c>
      <c r="AE40" s="3">
        <v>2.1367981933692386</v>
      </c>
      <c r="AF40" s="3">
        <v>1.1052457697692384</v>
      </c>
      <c r="AG40" s="3">
        <v>-0.48756181103076601</v>
      </c>
      <c r="AH40" s="3">
        <v>-2.6477017098307662</v>
      </c>
      <c r="AI40" s="3">
        <v>-3.3208245141307722</v>
      </c>
      <c r="AJ40" s="3">
        <v>-2.4654593805307572</v>
      </c>
      <c r="AK40" s="3">
        <v>1.0901500019244892E-2</v>
      </c>
      <c r="AL40" s="3">
        <v>-0.44134536233076377</v>
      </c>
      <c r="AM40" s="3">
        <v>0.55891123916923846</v>
      </c>
      <c r="AN40" s="3">
        <v>1.2312497751892382</v>
      </c>
      <c r="AO40" s="3">
        <v>1.1174872949192272</v>
      </c>
      <c r="AP40" s="3">
        <v>1.0325521682292274</v>
      </c>
      <c r="AQ40" s="3">
        <v>2.8559780762592273</v>
      </c>
      <c r="AR40" s="3">
        <v>3.3982535946892316</v>
      </c>
      <c r="AS40" s="3">
        <v>3.7437798352422273</v>
      </c>
      <c r="AT40" s="3">
        <v>3.1401515433092211</v>
      </c>
      <c r="AU40" s="3">
        <v>2.3256610174192414</v>
      </c>
    </row>
    <row r="41" spans="1:47" x14ac:dyDescent="0.25">
      <c r="A41">
        <v>2013.375</v>
      </c>
      <c r="B41">
        <v>5</v>
      </c>
      <c r="C41" s="3">
        <v>2.6100064923692252</v>
      </c>
      <c r="D41">
        <v>12.79594360357313</v>
      </c>
      <c r="G41" s="3">
        <v>2.6100064923692252</v>
      </c>
      <c r="H41" s="3">
        <v>2.4413346113592227</v>
      </c>
      <c r="I41" s="3">
        <v>1.7311234118592274</v>
      </c>
      <c r="J41" s="3">
        <v>1.2031396460692443</v>
      </c>
      <c r="K41" s="3">
        <v>0.36910590186924719</v>
      </c>
      <c r="L41" s="3">
        <v>0.81033411676924127</v>
      </c>
      <c r="M41" s="3">
        <v>1.2795358532692251</v>
      </c>
      <c r="N41" s="3">
        <v>1.5053767653692383</v>
      </c>
      <c r="O41" s="3">
        <v>3.135958294269245</v>
      </c>
      <c r="P41" s="3">
        <v>3.1158533679692386</v>
      </c>
      <c r="Q41" s="3">
        <v>3.1915599164692323</v>
      </c>
      <c r="R41" s="3">
        <v>2.4713739030692272</v>
      </c>
      <c r="S41" s="3">
        <v>3.3148665312692316</v>
      </c>
      <c r="T41" s="3">
        <v>2.7316463550692207</v>
      </c>
      <c r="U41" s="3">
        <v>2.9837590889692205</v>
      </c>
      <c r="V41" s="3">
        <v>0.95535216508924714</v>
      </c>
      <c r="W41" s="3">
        <v>1.7700253141892386</v>
      </c>
      <c r="X41" s="3">
        <v>2.882561274810246</v>
      </c>
      <c r="Y41" s="3">
        <v>4.0480641576192209</v>
      </c>
      <c r="Z41" s="3">
        <v>3.3780577038692257</v>
      </c>
      <c r="AA41" s="3">
        <v>3.505408443069232</v>
      </c>
      <c r="AB41" s="3">
        <v>3.303517913359225</v>
      </c>
      <c r="AC41" s="3">
        <v>3.6558712369092294</v>
      </c>
      <c r="AD41" s="3">
        <v>2.754497701969234</v>
      </c>
      <c r="AE41" s="3">
        <v>2.994733051169236</v>
      </c>
      <c r="AF41" s="3">
        <v>3.7169376469992383</v>
      </c>
      <c r="AG41" s="3">
        <v>2.6917547487692408</v>
      </c>
      <c r="AH41" s="3">
        <v>4.0854112138192225</v>
      </c>
      <c r="AI41" s="3">
        <v>1.239910041719225</v>
      </c>
      <c r="AJ41" s="3">
        <v>3.7306486162292316</v>
      </c>
      <c r="AK41" s="3">
        <v>4.031058309969243</v>
      </c>
      <c r="AL41" s="3">
        <v>3.7667653419692209</v>
      </c>
      <c r="AM41" s="3">
        <v>4.2842263740692337</v>
      </c>
      <c r="AN41" s="3">
        <v>5.3692223996192361</v>
      </c>
      <c r="AO41" s="3">
        <v>5.3632401589792407</v>
      </c>
      <c r="AP41" s="3">
        <v>3.3288297101692361</v>
      </c>
      <c r="AQ41" s="3">
        <v>2.1367981933692386</v>
      </c>
      <c r="AR41" s="3">
        <v>1.1052457697692384</v>
      </c>
      <c r="AS41" s="3">
        <v>-0.48756181103076601</v>
      </c>
      <c r="AT41" s="3">
        <v>-2.6477017098307662</v>
      </c>
      <c r="AU41" s="3">
        <v>-3.3208245141307722</v>
      </c>
    </row>
    <row r="42" spans="1:47" x14ac:dyDescent="0.25">
      <c r="A42">
        <v>2014.375</v>
      </c>
      <c r="B42">
        <v>5</v>
      </c>
      <c r="C42" s="3">
        <v>1.4034630548992453</v>
      </c>
      <c r="D42">
        <v>12.890521506676725</v>
      </c>
      <c r="G42" s="3">
        <v>1.4034630548992453</v>
      </c>
      <c r="H42" s="3">
        <v>0.41214923718922075</v>
      </c>
      <c r="I42" s="3">
        <v>0.28743131410924311</v>
      </c>
      <c r="J42" s="3">
        <v>1.0879898171392406</v>
      </c>
      <c r="K42" s="3">
        <v>-0.77898724903076388</v>
      </c>
      <c r="L42" s="3">
        <v>1.0610023320692252</v>
      </c>
      <c r="M42" s="3">
        <v>2.2475169349192448</v>
      </c>
      <c r="N42" s="3">
        <v>1.7144541562192339</v>
      </c>
      <c r="O42" s="3">
        <v>1.7441879054492251</v>
      </c>
      <c r="P42" s="3">
        <v>2.441292262069223</v>
      </c>
      <c r="Q42" s="3">
        <v>3.4288168388092322</v>
      </c>
      <c r="R42" s="3">
        <v>3.176564167829234</v>
      </c>
      <c r="S42" s="3">
        <v>2.6100064923692252</v>
      </c>
      <c r="T42" s="3">
        <v>2.4413346113592227</v>
      </c>
      <c r="U42" s="3">
        <v>1.7311234118592274</v>
      </c>
      <c r="V42" s="3">
        <v>1.2031396460692443</v>
      </c>
      <c r="W42" s="3">
        <v>0.36910590186924719</v>
      </c>
      <c r="X42" s="3">
        <v>0.81033411676924127</v>
      </c>
      <c r="Y42" s="3">
        <v>1.2795358532692251</v>
      </c>
      <c r="Z42" s="3">
        <v>1.5053767653692383</v>
      </c>
      <c r="AA42" s="3">
        <v>3.135958294269245</v>
      </c>
      <c r="AB42" s="3">
        <v>3.1158533679692386</v>
      </c>
      <c r="AC42" s="3">
        <v>3.1915599164692323</v>
      </c>
      <c r="AD42" s="3">
        <v>2.4713739030692272</v>
      </c>
      <c r="AE42" s="3">
        <v>3.3148665312692316</v>
      </c>
      <c r="AF42" s="3">
        <v>2.7316463550692207</v>
      </c>
      <c r="AG42" s="3">
        <v>2.9837590889692205</v>
      </c>
      <c r="AH42" s="3">
        <v>0.95535216508924714</v>
      </c>
      <c r="AI42" s="3">
        <v>1.7700253141892386</v>
      </c>
      <c r="AJ42" s="3">
        <v>2.882561274810246</v>
      </c>
      <c r="AK42" s="3">
        <v>4.0480641576192209</v>
      </c>
      <c r="AL42" s="3">
        <v>3.3780577038692257</v>
      </c>
      <c r="AM42" s="3">
        <v>3.505408443069232</v>
      </c>
      <c r="AN42" s="3">
        <v>3.303517913359225</v>
      </c>
      <c r="AO42" s="3">
        <v>3.6558712369092294</v>
      </c>
      <c r="AP42" s="3">
        <v>2.754497701969234</v>
      </c>
      <c r="AQ42" s="3">
        <v>2.994733051169236</v>
      </c>
      <c r="AR42" s="3">
        <v>3.7169376469992383</v>
      </c>
      <c r="AS42" s="3">
        <v>2.6917547487692408</v>
      </c>
      <c r="AT42" s="3">
        <v>4.0854112138192225</v>
      </c>
      <c r="AU42" s="3">
        <v>1.239910041719225</v>
      </c>
    </row>
    <row r="43" spans="1:47" x14ac:dyDescent="0.25">
      <c r="A43">
        <v>2015.375</v>
      </c>
      <c r="B43">
        <v>5</v>
      </c>
      <c r="C43" s="3">
        <v>-3.0684870940772491E-2</v>
      </c>
      <c r="D43">
        <v>14.131595402342031</v>
      </c>
      <c r="G43" s="3">
        <v>-3.0684870940772491E-2</v>
      </c>
      <c r="H43" s="3">
        <v>0.45460829456923418</v>
      </c>
      <c r="I43" s="3">
        <v>3.5930787669227304E-2</v>
      </c>
      <c r="J43" s="3">
        <v>-1.4061045382307595</v>
      </c>
      <c r="K43" s="3">
        <v>-2.1196752670907553</v>
      </c>
      <c r="L43" s="3">
        <v>-2.2526105113207597</v>
      </c>
      <c r="M43" s="3">
        <v>-1.2621451354507678</v>
      </c>
      <c r="N43" s="3">
        <v>-0.56983358888077473</v>
      </c>
      <c r="O43" s="3">
        <v>0.10178133444922077</v>
      </c>
      <c r="P43" s="3">
        <v>0.71163629737922962</v>
      </c>
      <c r="Q43" s="3">
        <v>1.2302889477092382</v>
      </c>
      <c r="R43" s="3">
        <v>1.5207169755392274</v>
      </c>
      <c r="S43" s="3">
        <v>1.4034630548992453</v>
      </c>
      <c r="T43" s="3">
        <v>0.41214923718922075</v>
      </c>
      <c r="U43" s="3">
        <v>0.28743131410924311</v>
      </c>
      <c r="V43" s="3">
        <v>1.0879898171392406</v>
      </c>
      <c r="W43" s="3">
        <v>-0.77898724903076388</v>
      </c>
      <c r="X43" s="3">
        <v>1.0610023320692252</v>
      </c>
      <c r="Y43" s="3">
        <v>2.2475169349192448</v>
      </c>
      <c r="Z43" s="3">
        <v>1.7144541562192339</v>
      </c>
      <c r="AA43" s="3">
        <v>1.7441879054492251</v>
      </c>
      <c r="AB43" s="3">
        <v>2.441292262069223</v>
      </c>
      <c r="AC43" s="3">
        <v>3.4288168388092322</v>
      </c>
      <c r="AD43" s="3">
        <v>3.176564167829234</v>
      </c>
      <c r="AE43" s="3">
        <v>2.6100064923692252</v>
      </c>
      <c r="AF43" s="3">
        <v>2.4413346113592227</v>
      </c>
      <c r="AG43" s="3">
        <v>1.7311234118592274</v>
      </c>
      <c r="AH43" s="3">
        <v>1.2031396460692443</v>
      </c>
      <c r="AI43" s="3">
        <v>0.36910590186924719</v>
      </c>
      <c r="AJ43" s="3">
        <v>0.81033411676924127</v>
      </c>
      <c r="AK43" s="3">
        <v>1.2795358532692251</v>
      </c>
      <c r="AL43" s="3">
        <v>1.5053767653692383</v>
      </c>
      <c r="AM43" s="3">
        <v>3.135958294269245</v>
      </c>
      <c r="AN43" s="3">
        <v>3.1158533679692386</v>
      </c>
      <c r="AO43" s="3">
        <v>3.1915599164692323</v>
      </c>
      <c r="AP43" s="3">
        <v>2.4713739030692272</v>
      </c>
      <c r="AQ43" s="3">
        <v>3.3148665312692316</v>
      </c>
      <c r="AR43" s="3">
        <v>2.7316463550692207</v>
      </c>
      <c r="AS43" s="3">
        <v>2.9837590889692205</v>
      </c>
      <c r="AT43" s="3">
        <v>0.95535216508924714</v>
      </c>
      <c r="AU43" s="3">
        <v>1.7700253141892386</v>
      </c>
    </row>
    <row r="44" spans="1:47" x14ac:dyDescent="0.25">
      <c r="A44">
        <v>2016.375</v>
      </c>
      <c r="B44">
        <v>5</v>
      </c>
      <c r="C44" s="3">
        <v>-3.6238594620772724E-2</v>
      </c>
      <c r="D44">
        <v>13.669410953845441</v>
      </c>
      <c r="G44" s="3">
        <v>-3.6238594620772724E-2</v>
      </c>
      <c r="H44" s="3">
        <v>-1.9728460609507639</v>
      </c>
      <c r="I44" s="3">
        <v>-2.3126394715807717</v>
      </c>
      <c r="J44" s="3">
        <v>-4.0803512152507615</v>
      </c>
      <c r="K44" s="3">
        <v>-5.0763222569207516</v>
      </c>
      <c r="L44" s="3">
        <v>-3.4209596195307723</v>
      </c>
      <c r="M44" s="3">
        <v>-1.3308764840307548</v>
      </c>
      <c r="N44" s="3">
        <v>-3.1528870372307658</v>
      </c>
      <c r="O44" s="3">
        <v>-1.9948764680307747</v>
      </c>
      <c r="P44" s="3">
        <v>-1.5252614967307725</v>
      </c>
      <c r="Q44" s="3">
        <v>-1.6149105574307594</v>
      </c>
      <c r="R44" s="3">
        <v>-0.92363914943077907</v>
      </c>
      <c r="S44" s="3">
        <v>-3.0684870940772491E-2</v>
      </c>
      <c r="T44" s="3">
        <v>0.45460829456923418</v>
      </c>
      <c r="U44" s="3">
        <v>3.5930787669227304E-2</v>
      </c>
      <c r="V44" s="3">
        <v>-1.4061045382307595</v>
      </c>
      <c r="W44" s="3">
        <v>-2.1196752670907553</v>
      </c>
      <c r="X44" s="3">
        <v>-2.2526105113207597</v>
      </c>
      <c r="Y44" s="3">
        <v>-1.2621451354507678</v>
      </c>
      <c r="Z44" s="3">
        <v>-0.56983358888077473</v>
      </c>
      <c r="AA44" s="3">
        <v>0.10178133444922077</v>
      </c>
      <c r="AB44" s="3">
        <v>0.71163629737922962</v>
      </c>
      <c r="AC44" s="3">
        <v>1.2302889477092382</v>
      </c>
      <c r="AD44" s="3">
        <v>1.5207169755392274</v>
      </c>
      <c r="AE44" s="3">
        <v>1.4034630548992453</v>
      </c>
      <c r="AF44" s="3">
        <v>0.41214923718922075</v>
      </c>
      <c r="AG44" s="3">
        <v>0.28743131410924311</v>
      </c>
      <c r="AH44" s="3">
        <v>1.0879898171392406</v>
      </c>
      <c r="AI44" s="3">
        <v>-0.77898724903076388</v>
      </c>
      <c r="AJ44" s="3">
        <v>1.0610023320692252</v>
      </c>
      <c r="AK44" s="3">
        <v>2.2475169349192448</v>
      </c>
      <c r="AL44" s="3">
        <v>1.7144541562192339</v>
      </c>
      <c r="AM44" s="3">
        <v>1.7441879054492251</v>
      </c>
      <c r="AN44" s="3">
        <v>2.441292262069223</v>
      </c>
      <c r="AO44" s="3">
        <v>3.4288168388092322</v>
      </c>
      <c r="AP44" s="3">
        <v>3.176564167829234</v>
      </c>
      <c r="AQ44" s="3">
        <v>2.6100064923692252</v>
      </c>
      <c r="AR44" s="3">
        <v>2.4413346113592227</v>
      </c>
      <c r="AS44" s="3">
        <v>1.7311234118592274</v>
      </c>
      <c r="AT44" s="3">
        <v>1.2031396460692443</v>
      </c>
      <c r="AU44" s="3">
        <v>0.36910590186924719</v>
      </c>
    </row>
    <row r="45" spans="1:47" x14ac:dyDescent="0.25">
      <c r="A45">
        <v>2017.375</v>
      </c>
      <c r="B45">
        <v>5</v>
      </c>
      <c r="C45" s="3">
        <v>0.6355308827592252</v>
      </c>
      <c r="D45">
        <v>13.331861791617634</v>
      </c>
      <c r="G45" s="3">
        <v>0.6355308827592252</v>
      </c>
      <c r="H45" s="3">
        <v>0.2263728185012383</v>
      </c>
      <c r="I45" s="3">
        <v>0.75269428361922963</v>
      </c>
      <c r="J45" s="3">
        <v>0.10561636126922933</v>
      </c>
      <c r="K45" s="3">
        <v>0.53788867355923242</v>
      </c>
      <c r="L45" s="3">
        <v>1.3136739487692362</v>
      </c>
      <c r="M45" s="3">
        <v>0.48803656106923615</v>
      </c>
      <c r="N45" s="3">
        <v>0.91796129348923017</v>
      </c>
      <c r="O45" s="3">
        <v>2.3205943892092407</v>
      </c>
      <c r="P45" s="3">
        <v>2.8199650322192427</v>
      </c>
      <c r="Q45" s="3">
        <v>2.6337997278192273</v>
      </c>
      <c r="R45" s="3">
        <v>1.1669819309692406</v>
      </c>
      <c r="S45" s="3">
        <v>-3.6238594620772724E-2</v>
      </c>
      <c r="T45" s="3">
        <v>-1.9728460609507639</v>
      </c>
      <c r="U45" s="3">
        <v>-2.3126394715807717</v>
      </c>
      <c r="V45" s="3">
        <v>-4.0803512152507615</v>
      </c>
      <c r="W45" s="3">
        <v>-5.0763222569207516</v>
      </c>
      <c r="X45" s="3">
        <v>-3.4209596195307723</v>
      </c>
      <c r="Y45" s="3">
        <v>-1.3308764840307548</v>
      </c>
      <c r="Z45" s="3">
        <v>-3.1528870372307658</v>
      </c>
      <c r="AA45" s="3">
        <v>-1.9948764680307747</v>
      </c>
      <c r="AB45" s="3">
        <v>-1.5252614967307725</v>
      </c>
      <c r="AC45" s="3">
        <v>-1.6149105574307594</v>
      </c>
      <c r="AD45" s="3">
        <v>-0.92363914943077907</v>
      </c>
      <c r="AE45" s="3">
        <v>-3.0684870940772491E-2</v>
      </c>
      <c r="AF45" s="3">
        <v>0.45460829456923418</v>
      </c>
      <c r="AG45" s="3">
        <v>3.5930787669227304E-2</v>
      </c>
      <c r="AH45" s="3">
        <v>-1.4061045382307595</v>
      </c>
      <c r="AI45" s="3">
        <v>-2.1196752670907553</v>
      </c>
      <c r="AJ45" s="3">
        <v>-2.2526105113207597</v>
      </c>
      <c r="AK45" s="3">
        <v>-1.2621451354507678</v>
      </c>
      <c r="AL45" s="3">
        <v>-0.56983358888077473</v>
      </c>
      <c r="AM45" s="3">
        <v>0.10178133444922077</v>
      </c>
      <c r="AN45" s="3">
        <v>0.71163629737922962</v>
      </c>
      <c r="AO45" s="3">
        <v>1.2302889477092382</v>
      </c>
      <c r="AP45" s="3">
        <v>1.5207169755392274</v>
      </c>
      <c r="AQ45" s="3">
        <v>1.4034630548992453</v>
      </c>
      <c r="AR45" s="3">
        <v>0.41214923718922075</v>
      </c>
      <c r="AS45" s="3">
        <v>0.28743131410924311</v>
      </c>
      <c r="AT45" s="3">
        <v>1.0879898171392406</v>
      </c>
      <c r="AU45" s="3">
        <v>-0.77898724903076388</v>
      </c>
    </row>
    <row r="46" spans="1:47" x14ac:dyDescent="0.25">
      <c r="A46">
        <v>2018.375</v>
      </c>
      <c r="B46">
        <v>5</v>
      </c>
      <c r="C46" s="3">
        <v>2.0574152523692271</v>
      </c>
      <c r="D46">
        <v>12.338730353078276</v>
      </c>
      <c r="G46" s="3">
        <v>2.0574152523692271</v>
      </c>
      <c r="H46" s="3">
        <v>2.057989922469234</v>
      </c>
      <c r="I46" s="3">
        <v>2.4866597172692426</v>
      </c>
      <c r="J46" s="3">
        <v>1.7138665980692449</v>
      </c>
      <c r="K46" s="3">
        <v>9.4529943569231722E-2</v>
      </c>
      <c r="L46" s="3">
        <v>0.60212085066922516</v>
      </c>
      <c r="M46" s="3">
        <v>2.3005714547692206</v>
      </c>
      <c r="N46" s="3">
        <v>2.2583431590692404</v>
      </c>
      <c r="O46" s="3">
        <v>1.6955769090092339</v>
      </c>
      <c r="P46" s="3">
        <v>2.0752345825592298</v>
      </c>
      <c r="Q46" s="3">
        <v>2.4774201739092447</v>
      </c>
      <c r="R46" s="3">
        <v>0.86056713492922976</v>
      </c>
      <c r="S46" s="3">
        <v>0.6355308827592252</v>
      </c>
      <c r="T46" s="3">
        <v>0.2263728185012383</v>
      </c>
      <c r="U46" s="3">
        <v>0.75269428361922963</v>
      </c>
      <c r="V46" s="3">
        <v>0.10561636126922933</v>
      </c>
      <c r="W46" s="3">
        <v>0.53788867355923242</v>
      </c>
      <c r="X46" s="3">
        <v>1.3136739487692362</v>
      </c>
      <c r="Y46" s="3">
        <v>0.48803656106923615</v>
      </c>
      <c r="Z46" s="3">
        <v>0.91796129348923017</v>
      </c>
      <c r="AA46" s="3">
        <v>2.3205943892092407</v>
      </c>
      <c r="AB46" s="3">
        <v>2.8199650322192427</v>
      </c>
      <c r="AC46" s="3">
        <v>2.6337997278192273</v>
      </c>
      <c r="AD46" s="3">
        <v>1.1669819309692406</v>
      </c>
      <c r="AE46" s="3">
        <v>-3.6238594620772724E-2</v>
      </c>
      <c r="AF46" s="3">
        <v>-1.9728460609507639</v>
      </c>
      <c r="AG46" s="3">
        <v>-2.3126394715807717</v>
      </c>
      <c r="AH46" s="3">
        <v>-4.0803512152507615</v>
      </c>
      <c r="AI46" s="3">
        <v>-5.0763222569207516</v>
      </c>
      <c r="AJ46" s="3">
        <v>-3.4209596195307723</v>
      </c>
      <c r="AK46" s="3">
        <v>-1.3308764840307548</v>
      </c>
      <c r="AL46" s="3">
        <v>-3.1528870372307658</v>
      </c>
      <c r="AM46" s="3">
        <v>-1.9948764680307747</v>
      </c>
      <c r="AN46" s="3">
        <v>-1.5252614967307725</v>
      </c>
      <c r="AO46" s="3">
        <v>-1.6149105574307594</v>
      </c>
      <c r="AP46" s="3">
        <v>-0.92363914943077907</v>
      </c>
      <c r="AQ46" s="3">
        <v>-3.0684870940772491E-2</v>
      </c>
      <c r="AR46" s="3">
        <v>0.45460829456923418</v>
      </c>
      <c r="AS46" s="3">
        <v>3.5930787669227304E-2</v>
      </c>
      <c r="AT46" s="3">
        <v>-1.4061045382307595</v>
      </c>
      <c r="AU46" s="3">
        <v>-2.1196752670907553</v>
      </c>
    </row>
    <row r="47" spans="1:47" x14ac:dyDescent="0.25">
      <c r="A47">
        <v>2019.375</v>
      </c>
      <c r="B47">
        <v>5</v>
      </c>
      <c r="C47" s="3">
        <v>0.16846339816923617</v>
      </c>
      <c r="D47">
        <v>12.390620984587249</v>
      </c>
      <c r="G47" s="3">
        <v>0.16846339816923617</v>
      </c>
      <c r="H47" s="3">
        <v>-0.47616772613075503</v>
      </c>
      <c r="I47" s="3">
        <v>-0.53457451533077904</v>
      </c>
      <c r="J47" s="3">
        <v>0.49570576106923198</v>
      </c>
      <c r="K47" s="3">
        <v>-1.7311455758407726</v>
      </c>
      <c r="L47" s="3">
        <v>-0.96561260333077037</v>
      </c>
      <c r="M47" s="3">
        <v>-0.49344882973076382</v>
      </c>
      <c r="N47" s="3">
        <v>-0.57542024343075715</v>
      </c>
      <c r="O47" s="3">
        <v>0.80345345206922736</v>
      </c>
      <c r="P47" s="3">
        <v>1.1295069963692277</v>
      </c>
      <c r="Q47" s="3">
        <v>2.2252832571692274</v>
      </c>
      <c r="R47" s="3">
        <v>1.4889856663692449</v>
      </c>
      <c r="S47" s="3">
        <v>2.0574152523692271</v>
      </c>
      <c r="T47" s="3">
        <v>2.057989922469234</v>
      </c>
      <c r="U47" s="3">
        <v>2.4866597172692426</v>
      </c>
      <c r="V47" s="3">
        <v>1.7138665980692449</v>
      </c>
      <c r="W47" s="3">
        <v>9.4529943569231722E-2</v>
      </c>
      <c r="X47" s="3">
        <v>0.60212085066922516</v>
      </c>
      <c r="Y47" s="3">
        <v>2.3005714547692206</v>
      </c>
      <c r="Z47" s="3">
        <v>2.2583431590692404</v>
      </c>
      <c r="AA47" s="3">
        <v>1.6955769090092339</v>
      </c>
      <c r="AB47" s="3">
        <v>2.0752345825592298</v>
      </c>
      <c r="AC47" s="3">
        <v>2.4774201739092447</v>
      </c>
      <c r="AD47" s="3">
        <v>0.86056713492922976</v>
      </c>
      <c r="AE47" s="3">
        <v>0.6355308827592252</v>
      </c>
      <c r="AF47" s="3">
        <v>0.2263728185012383</v>
      </c>
      <c r="AG47" s="3">
        <v>0.75269428361922963</v>
      </c>
      <c r="AH47" s="3">
        <v>0.10561636126922933</v>
      </c>
      <c r="AI47" s="3">
        <v>0.53788867355923242</v>
      </c>
      <c r="AJ47" s="3">
        <v>1.3136739487692362</v>
      </c>
      <c r="AK47" s="3">
        <v>0.48803656106923615</v>
      </c>
      <c r="AL47" s="3">
        <v>0.91796129348923017</v>
      </c>
      <c r="AM47" s="3">
        <v>2.3205943892092407</v>
      </c>
      <c r="AN47" s="3">
        <v>2.8199650322192427</v>
      </c>
      <c r="AO47" s="3">
        <v>2.6337997278192273</v>
      </c>
      <c r="AP47" s="3">
        <v>1.1669819309692406</v>
      </c>
      <c r="AQ47" s="3">
        <v>-3.6238594620772724E-2</v>
      </c>
      <c r="AR47" s="3">
        <v>-1.9728460609507639</v>
      </c>
      <c r="AS47" s="3">
        <v>-2.3126394715807717</v>
      </c>
      <c r="AT47" s="3">
        <v>-4.0803512152507615</v>
      </c>
      <c r="AU47" s="3">
        <v>-5.0763222569207516</v>
      </c>
    </row>
    <row r="48" spans="1:47" x14ac:dyDescent="0.25">
      <c r="A48">
        <v>2020.375</v>
      </c>
      <c r="B48">
        <v>5</v>
      </c>
      <c r="C48" s="3">
        <v>0.94188844476923839</v>
      </c>
      <c r="D48">
        <v>12.549971171947359</v>
      </c>
      <c r="G48" s="3">
        <v>0.94188844476923839</v>
      </c>
      <c r="H48" s="3">
        <v>1.418113753069234</v>
      </c>
      <c r="I48" s="3">
        <v>2.890156064869227</v>
      </c>
      <c r="J48" s="3">
        <v>0.72176298916923387</v>
      </c>
      <c r="K48" s="3">
        <v>0.50067563736922516</v>
      </c>
      <c r="L48" s="3">
        <v>-1.2565737220307747</v>
      </c>
      <c r="M48" s="3">
        <v>-1.0369431740307637</v>
      </c>
      <c r="N48" s="3">
        <v>0.70103079876923413</v>
      </c>
      <c r="O48" s="3">
        <v>0.37751908686922514</v>
      </c>
      <c r="P48" s="3">
        <v>0.59593210106922745</v>
      </c>
      <c r="Q48" s="3">
        <v>0.41449108666922962</v>
      </c>
      <c r="R48" s="3">
        <v>0.73665835736922736</v>
      </c>
      <c r="S48" s="3">
        <v>0.16846339816923617</v>
      </c>
      <c r="T48" s="3">
        <v>-0.47616772613075503</v>
      </c>
      <c r="U48" s="3">
        <v>-0.53457451533077904</v>
      </c>
      <c r="V48" s="3">
        <v>0.49570576106923198</v>
      </c>
      <c r="W48" s="3">
        <v>-1.7311455758407726</v>
      </c>
      <c r="X48" s="3">
        <v>-0.96561260333077037</v>
      </c>
      <c r="Y48" s="3">
        <v>-0.49344882973076382</v>
      </c>
      <c r="Z48" s="3">
        <v>-0.57542024343075715</v>
      </c>
      <c r="AA48" s="3">
        <v>0.80345345206922736</v>
      </c>
      <c r="AB48" s="3">
        <v>1.1295069963692277</v>
      </c>
      <c r="AC48" s="3">
        <v>2.2252832571692274</v>
      </c>
      <c r="AD48" s="3">
        <v>1.4889856663692449</v>
      </c>
      <c r="AE48" s="3">
        <v>2.0574152523692271</v>
      </c>
      <c r="AF48" s="3">
        <v>2.057989922469234</v>
      </c>
      <c r="AG48" s="3">
        <v>2.4866597172692426</v>
      </c>
      <c r="AH48" s="3">
        <v>1.7138665980692449</v>
      </c>
      <c r="AI48" s="3">
        <v>9.4529943569231722E-2</v>
      </c>
      <c r="AJ48" s="3">
        <v>0.60212085066922516</v>
      </c>
      <c r="AK48" s="3">
        <v>2.3005714547692206</v>
      </c>
      <c r="AL48" s="3">
        <v>2.2583431590692404</v>
      </c>
      <c r="AM48" s="3">
        <v>1.6955769090092339</v>
      </c>
      <c r="AN48" s="3">
        <v>2.0752345825592298</v>
      </c>
      <c r="AO48" s="3">
        <v>2.4774201739092447</v>
      </c>
      <c r="AP48" s="3">
        <v>0.86056713492922976</v>
      </c>
      <c r="AQ48" s="3">
        <v>0.6355308827592252</v>
      </c>
      <c r="AR48" s="3">
        <v>0.2263728185012383</v>
      </c>
      <c r="AS48" s="3">
        <v>0.75269428361922963</v>
      </c>
      <c r="AT48" s="3">
        <v>0.10561636126922933</v>
      </c>
      <c r="AU48" s="3">
        <v>0.53788867355923242</v>
      </c>
    </row>
    <row r="49" spans="1:47" x14ac:dyDescent="0.25">
      <c r="A49">
        <v>2021.375</v>
      </c>
      <c r="B49">
        <v>5</v>
      </c>
      <c r="C49" s="3">
        <v>3.013470621229243</v>
      </c>
      <c r="D49">
        <v>12.95529356595536</v>
      </c>
      <c r="G49" s="3">
        <v>3.013470621229243</v>
      </c>
      <c r="H49" s="3">
        <v>3.4358862912692407</v>
      </c>
      <c r="I49" s="3">
        <v>4.1419505337292053</v>
      </c>
      <c r="J49" s="3">
        <v>1.6625542466692296</v>
      </c>
      <c r="K49" s="3">
        <v>0.56966047319922519</v>
      </c>
      <c r="L49" s="3">
        <v>7.4266250269225065E-2</v>
      </c>
      <c r="M49" s="3">
        <v>2.7389921961692316</v>
      </c>
      <c r="N49" s="3">
        <v>2.6532131311692275</v>
      </c>
      <c r="O49" s="3">
        <v>2.7449835301692338</v>
      </c>
      <c r="P49" s="3">
        <v>2.4282919043692339</v>
      </c>
      <c r="Q49" s="3">
        <v>2.4569034265692382</v>
      </c>
      <c r="R49" s="3">
        <v>1.9575282925692208</v>
      </c>
      <c r="S49" s="3">
        <v>0.94188844476923839</v>
      </c>
      <c r="T49" s="3">
        <v>1.418113753069234</v>
      </c>
      <c r="U49" s="3">
        <v>2.890156064869227</v>
      </c>
      <c r="V49" s="3">
        <v>0.72176298916923387</v>
      </c>
      <c r="W49" s="3">
        <v>0.50067563736922516</v>
      </c>
      <c r="X49" s="3">
        <v>-1.2565737220307747</v>
      </c>
      <c r="Y49" s="3">
        <v>-1.0369431740307637</v>
      </c>
      <c r="Z49" s="3">
        <v>0.70103079876923413</v>
      </c>
      <c r="AA49" s="3">
        <v>0.37751908686922514</v>
      </c>
      <c r="AB49" s="3">
        <v>0.59593210106922745</v>
      </c>
      <c r="AC49" s="3">
        <v>0.41449108666922962</v>
      </c>
      <c r="AD49" s="3">
        <v>0.73665835736922736</v>
      </c>
      <c r="AE49" s="3">
        <v>0.16846339816923617</v>
      </c>
      <c r="AF49" s="3">
        <v>-0.47616772613075503</v>
      </c>
      <c r="AG49" s="3">
        <v>-0.53457451533077904</v>
      </c>
      <c r="AH49" s="3">
        <v>0.49570576106923198</v>
      </c>
      <c r="AI49" s="3">
        <v>-1.7311455758407726</v>
      </c>
      <c r="AJ49" s="3">
        <v>-0.96561260333077037</v>
      </c>
      <c r="AK49" s="3">
        <v>-0.49344882973076382</v>
      </c>
      <c r="AL49" s="3">
        <v>-0.57542024343075715</v>
      </c>
      <c r="AM49" s="3">
        <v>0.80345345206922736</v>
      </c>
      <c r="AN49" s="3">
        <v>1.1295069963692277</v>
      </c>
      <c r="AO49" s="3">
        <v>2.2252832571692274</v>
      </c>
      <c r="AP49" s="3">
        <v>1.4889856663692449</v>
      </c>
      <c r="AQ49" s="3">
        <v>2.0574152523692271</v>
      </c>
      <c r="AR49" s="3">
        <v>2.057989922469234</v>
      </c>
      <c r="AS49" s="3">
        <v>2.4866597172692426</v>
      </c>
      <c r="AT49" s="3">
        <v>1.7138665980692449</v>
      </c>
      <c r="AU49" s="3">
        <v>9.4529943569231722E-2</v>
      </c>
    </row>
    <row r="50" spans="1:47" x14ac:dyDescent="0.25">
      <c r="A50">
        <v>2022.375</v>
      </c>
      <c r="B50">
        <v>5</v>
      </c>
      <c r="C50" s="3">
        <v>4.3843827266992443</v>
      </c>
      <c r="D50">
        <v>13.571533001626717</v>
      </c>
      <c r="G50" s="3">
        <v>4.3843827266992443</v>
      </c>
      <c r="H50" s="3">
        <v>3.738704460969243</v>
      </c>
      <c r="I50" s="3">
        <v>2.5391773460692382</v>
      </c>
      <c r="J50" s="3">
        <v>1.5244433762692298</v>
      </c>
      <c r="K50" s="3">
        <v>1.1166221583692315</v>
      </c>
      <c r="L50" s="3">
        <v>3.7450370694692299</v>
      </c>
      <c r="M50" s="3">
        <v>3.3026885758992401</v>
      </c>
      <c r="N50" s="3">
        <v>3.7375478410922232</v>
      </c>
      <c r="O50" s="3">
        <v>3.2127393982092203</v>
      </c>
      <c r="P50" s="3">
        <v>2.8442826277692275</v>
      </c>
      <c r="Q50" s="3">
        <v>4.163303717119228</v>
      </c>
      <c r="R50" s="3">
        <v>2.8356994875692361</v>
      </c>
      <c r="S50" s="3">
        <v>3.013470621229243</v>
      </c>
      <c r="T50" s="3">
        <v>3.4358862912692407</v>
      </c>
      <c r="U50" s="3">
        <v>4.1419505337292053</v>
      </c>
      <c r="V50" s="3">
        <v>1.6625542466692296</v>
      </c>
      <c r="W50" s="3">
        <v>0.56966047319922519</v>
      </c>
      <c r="X50" s="3">
        <v>7.4266250269225065E-2</v>
      </c>
      <c r="Y50" s="3">
        <v>2.7389921961692316</v>
      </c>
      <c r="Z50" s="3">
        <v>2.6532131311692275</v>
      </c>
      <c r="AA50" s="3">
        <v>2.7449835301692338</v>
      </c>
      <c r="AB50" s="3">
        <v>2.4282919043692339</v>
      </c>
      <c r="AC50" s="3">
        <v>2.4569034265692382</v>
      </c>
      <c r="AD50" s="3">
        <v>1.9575282925692208</v>
      </c>
      <c r="AE50" s="3">
        <v>0.94188844476923839</v>
      </c>
      <c r="AF50" s="3">
        <v>1.418113753069234</v>
      </c>
      <c r="AG50" s="3">
        <v>2.890156064869227</v>
      </c>
      <c r="AH50" s="3">
        <v>0.72176298916923387</v>
      </c>
      <c r="AI50" s="3">
        <v>0.50067563736922516</v>
      </c>
      <c r="AJ50" s="3">
        <v>-1.2565737220307747</v>
      </c>
      <c r="AK50" s="3">
        <v>-1.0369431740307637</v>
      </c>
      <c r="AL50" s="3">
        <v>0.70103079876923413</v>
      </c>
      <c r="AM50" s="3">
        <v>0.37751908686922514</v>
      </c>
      <c r="AN50" s="3">
        <v>0.59593210106922745</v>
      </c>
      <c r="AO50" s="3">
        <v>0.41449108666922962</v>
      </c>
      <c r="AP50" s="3">
        <v>0.73665835736922736</v>
      </c>
      <c r="AQ50" s="3">
        <v>0.16846339816923617</v>
      </c>
      <c r="AR50" s="3">
        <v>-0.47616772613075503</v>
      </c>
      <c r="AS50" s="3">
        <v>-0.53457451533077904</v>
      </c>
      <c r="AT50" s="3">
        <v>0.49570576106923198</v>
      </c>
      <c r="AU50" s="3">
        <v>-1.7311455758407726</v>
      </c>
    </row>
    <row r="51" spans="1:47" x14ac:dyDescent="0.25">
      <c r="A51">
        <v>2023.375</v>
      </c>
      <c r="B51">
        <v>5</v>
      </c>
      <c r="C51" s="3">
        <v>2.5315232330692252</v>
      </c>
      <c r="D51">
        <v>12.400117793889724</v>
      </c>
      <c r="G51" s="3">
        <v>2.5315232330692252</v>
      </c>
      <c r="H51" s="3">
        <v>2.4242919410692383</v>
      </c>
      <c r="I51" s="3">
        <v>3.0204558906692407</v>
      </c>
      <c r="J51" s="3">
        <v>2.5160163088692427</v>
      </c>
      <c r="K51" s="3">
        <v>0.21799792796922957</v>
      </c>
      <c r="L51" s="3">
        <v>1.0712564202692405</v>
      </c>
      <c r="M51" s="3">
        <v>3.5479114080692211</v>
      </c>
      <c r="N51" s="3">
        <v>3.5468615474692231</v>
      </c>
      <c r="O51" s="3">
        <v>3.5616315340692255</v>
      </c>
      <c r="P51" s="3">
        <v>4.1160447731392207</v>
      </c>
      <c r="Q51" s="3">
        <v>4.716440559979227</v>
      </c>
      <c r="R51" s="3">
        <v>3.4192657767092252</v>
      </c>
      <c r="S51" s="3">
        <v>4.3843827266992443</v>
      </c>
      <c r="T51" s="3">
        <v>3.738704460969243</v>
      </c>
      <c r="U51" s="3">
        <v>2.5391773460692382</v>
      </c>
      <c r="V51" s="3">
        <v>1.5244433762692298</v>
      </c>
      <c r="W51" s="3">
        <v>1.1166221583692315</v>
      </c>
      <c r="X51" s="3">
        <v>3.7450370694692299</v>
      </c>
      <c r="Y51" s="3">
        <v>3.3026885758992401</v>
      </c>
      <c r="Z51" s="3">
        <v>3.7375478410922232</v>
      </c>
      <c r="AA51" s="3">
        <v>3.2127393982092203</v>
      </c>
      <c r="AB51" s="3">
        <v>2.8442826277692275</v>
      </c>
      <c r="AC51" s="3">
        <v>4.163303717119228</v>
      </c>
      <c r="AD51" s="3">
        <v>2.8356994875692361</v>
      </c>
      <c r="AE51" s="3">
        <v>3.013470621229243</v>
      </c>
      <c r="AF51" s="3">
        <v>3.4358862912692407</v>
      </c>
      <c r="AG51" s="3">
        <v>4.1419505337292053</v>
      </c>
      <c r="AH51" s="3">
        <v>1.6625542466692296</v>
      </c>
      <c r="AI51" s="3">
        <v>0.56966047319922519</v>
      </c>
      <c r="AJ51" s="3">
        <v>7.4266250269225065E-2</v>
      </c>
      <c r="AK51" s="3">
        <v>2.7389921961692316</v>
      </c>
      <c r="AL51" s="3">
        <v>2.6532131311692275</v>
      </c>
      <c r="AM51" s="3">
        <v>2.7449835301692338</v>
      </c>
      <c r="AN51" s="3">
        <v>2.4282919043692339</v>
      </c>
      <c r="AO51" s="3">
        <v>2.4569034265692382</v>
      </c>
      <c r="AP51" s="3">
        <v>1.9575282925692208</v>
      </c>
      <c r="AQ51" s="3">
        <v>0.94188844476923839</v>
      </c>
      <c r="AR51" s="3">
        <v>1.418113753069234</v>
      </c>
      <c r="AS51" s="3">
        <v>2.890156064869227</v>
      </c>
      <c r="AT51" s="3">
        <v>0.72176298916923387</v>
      </c>
      <c r="AU51" s="3">
        <v>0.50067563736922516</v>
      </c>
    </row>
    <row r="52" spans="1:47" x14ac:dyDescent="0.25">
      <c r="A52">
        <v>2024</v>
      </c>
      <c r="D52">
        <v>12.957841533817243</v>
      </c>
      <c r="S52" s="3">
        <v>2.5315232330692252</v>
      </c>
      <c r="T52" s="3">
        <v>2.4242919410692383</v>
      </c>
      <c r="U52" s="3">
        <v>3.0204558906692407</v>
      </c>
      <c r="V52" s="3">
        <v>2.5160163088692427</v>
      </c>
      <c r="W52" s="3">
        <v>0.21799792796922957</v>
      </c>
      <c r="X52" s="3">
        <v>1.0712564202692405</v>
      </c>
      <c r="Y52" s="3">
        <v>3.5479114080692211</v>
      </c>
      <c r="Z52" s="3">
        <v>3.5468615474692231</v>
      </c>
      <c r="AA52" s="3">
        <v>3.5616315340692255</v>
      </c>
      <c r="AB52" s="3">
        <v>4.1160447731392207</v>
      </c>
      <c r="AC52" s="3">
        <v>4.716440559979227</v>
      </c>
      <c r="AD52" s="3">
        <v>3.4192657767092252</v>
      </c>
      <c r="AE52" s="3">
        <v>4.3843827266992443</v>
      </c>
      <c r="AF52" s="3">
        <v>3.738704460969243</v>
      </c>
      <c r="AG52" s="3">
        <v>2.5391773460692382</v>
      </c>
      <c r="AH52" s="3">
        <v>1.5244433762692298</v>
      </c>
      <c r="AI52" s="3">
        <v>1.1166221583692315</v>
      </c>
      <c r="AJ52" s="3">
        <v>3.7450370694692299</v>
      </c>
      <c r="AK52" s="3">
        <v>3.3026885758992401</v>
      </c>
      <c r="AL52" s="3">
        <v>3.7375478410922232</v>
      </c>
      <c r="AM52" s="3">
        <v>3.2127393982092203</v>
      </c>
      <c r="AN52" s="3">
        <v>2.8442826277692275</v>
      </c>
      <c r="AO52" s="3">
        <v>4.163303717119228</v>
      </c>
      <c r="AP52" s="3">
        <v>2.8356994875692361</v>
      </c>
      <c r="AQ52" s="3">
        <v>3.013470621229243</v>
      </c>
      <c r="AR52" s="3">
        <v>3.4358862912692407</v>
      </c>
      <c r="AS52" s="3">
        <v>4.1419505337292053</v>
      </c>
      <c r="AT52" s="3">
        <v>1.6625542466692296</v>
      </c>
      <c r="AU52" s="3">
        <v>0.56966047319922519</v>
      </c>
    </row>
    <row r="53" spans="1:47" x14ac:dyDescent="0.25">
      <c r="AE53" s="3">
        <v>2.5315232330692252</v>
      </c>
      <c r="AF53" s="3">
        <v>2.4242919410692383</v>
      </c>
      <c r="AK53" s="3">
        <v>3.5479114080692211</v>
      </c>
      <c r="AQ53" s="3">
        <v>4.3843827266992443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0A9A-31EF-49C9-9056-6E54DBCBE4EF}">
  <dimension ref="A1:AL90"/>
  <sheetViews>
    <sheetView tabSelected="1" topLeftCell="A52" workbookViewId="0">
      <selection activeCell="D89" sqref="D89"/>
    </sheetView>
  </sheetViews>
  <sheetFormatPr defaultRowHeight="15" x14ac:dyDescent="0.25"/>
  <cols>
    <col min="28" max="28" width="10.28515625" customWidth="1"/>
  </cols>
  <sheetData>
    <row r="1" spans="1:37" x14ac:dyDescent="0.25">
      <c r="A1" t="s">
        <v>18</v>
      </c>
    </row>
    <row r="2" spans="1:37" x14ac:dyDescent="0.25">
      <c r="B2" t="s">
        <v>24</v>
      </c>
      <c r="AF2" t="s">
        <v>24</v>
      </c>
      <c r="AG2" t="s">
        <v>25</v>
      </c>
      <c r="AH2" t="s">
        <v>26</v>
      </c>
      <c r="AI2" t="s">
        <v>27</v>
      </c>
      <c r="AK2" t="s">
        <v>28</v>
      </c>
    </row>
    <row r="3" spans="1:37" x14ac:dyDescent="0.25">
      <c r="AE3" t="s">
        <v>29</v>
      </c>
    </row>
    <row r="4" spans="1:37" x14ac:dyDescent="0.25">
      <c r="AE4">
        <v>1963</v>
      </c>
      <c r="AF4" t="e">
        <v>#NUM!</v>
      </c>
      <c r="AG4">
        <v>13.095419727858731</v>
      </c>
      <c r="AH4">
        <v>11.851787895164094</v>
      </c>
      <c r="AK4">
        <v>13.299719098270037</v>
      </c>
    </row>
    <row r="5" spans="1:37" x14ac:dyDescent="0.25">
      <c r="AE5">
        <v>1964</v>
      </c>
      <c r="AF5" t="e">
        <v>#NUM!</v>
      </c>
      <c r="AG5">
        <v>13.885757870181065</v>
      </c>
      <c r="AH5">
        <v>12.349796139199388</v>
      </c>
      <c r="AI5">
        <v>-0.74562358865934275</v>
      </c>
      <c r="AK5">
        <v>13.184924725747107</v>
      </c>
    </row>
    <row r="6" spans="1:37" x14ac:dyDescent="0.25">
      <c r="AE6">
        <v>1965</v>
      </c>
      <c r="AF6">
        <v>5.1341389564245103</v>
      </c>
      <c r="AG6">
        <v>11.627824814756</v>
      </c>
      <c r="AH6">
        <v>12.564604842881485</v>
      </c>
      <c r="AI6">
        <v>-1.3211530272995804</v>
      </c>
      <c r="AK6">
        <v>13.216496034831469</v>
      </c>
    </row>
    <row r="7" spans="1:37" x14ac:dyDescent="0.25">
      <c r="AE7">
        <v>1966</v>
      </c>
      <c r="AF7" t="e">
        <v>#NUM!</v>
      </c>
      <c r="AG7">
        <v>11.778787292307687</v>
      </c>
      <c r="AH7">
        <v>13.786891936721926</v>
      </c>
      <c r="AI7">
        <v>2.1590671219659243</v>
      </c>
      <c r="AK7">
        <v>12.709442422390959</v>
      </c>
    </row>
    <row r="8" spans="1:37" x14ac:dyDescent="0.25">
      <c r="AE8">
        <v>1967</v>
      </c>
      <c r="AF8">
        <v>6.6103621218359878</v>
      </c>
      <c r="AG8">
        <v>11.863186395914594</v>
      </c>
      <c r="AH8">
        <v>12.476636959258645</v>
      </c>
      <c r="AI8">
        <v>0.69784966695095774</v>
      </c>
      <c r="AK8">
        <v>12.889442932016049</v>
      </c>
    </row>
    <row r="9" spans="1:37" x14ac:dyDescent="0.25">
      <c r="AE9">
        <v>1968</v>
      </c>
      <c r="AF9">
        <v>9.4632124436502458</v>
      </c>
      <c r="AG9">
        <v>12.744117873158233</v>
      </c>
      <c r="AH9">
        <v>12.938890630410187</v>
      </c>
      <c r="AI9">
        <v>1.0757042344955925</v>
      </c>
      <c r="AK9">
        <v>13.460220127328208</v>
      </c>
    </row>
    <row r="10" spans="1:37" x14ac:dyDescent="0.25">
      <c r="AE10">
        <v>1969</v>
      </c>
      <c r="AF10">
        <v>9.5008452238357659</v>
      </c>
      <c r="AG10">
        <v>13.360485960947498</v>
      </c>
      <c r="AH10">
        <v>12.453612438857705</v>
      </c>
      <c r="AI10">
        <v>-0.29050543430052872</v>
      </c>
      <c r="AK10">
        <v>14.058880339804052</v>
      </c>
    </row>
    <row r="11" spans="1:37" x14ac:dyDescent="0.25">
      <c r="AE11">
        <v>1970</v>
      </c>
      <c r="AF11" t="e">
        <v>#NUM!</v>
      </c>
      <c r="AG11">
        <v>13.730489253173518</v>
      </c>
      <c r="AH11">
        <v>13.305259883551335</v>
      </c>
      <c r="AI11">
        <v>-5.5226077396163191E-2</v>
      </c>
      <c r="AK11">
        <v>13.658312359163771</v>
      </c>
    </row>
    <row r="12" spans="1:37" x14ac:dyDescent="0.25">
      <c r="AE12">
        <v>1971</v>
      </c>
      <c r="AF12">
        <v>8.1843944195276084</v>
      </c>
      <c r="AG12">
        <v>12.772690837340264</v>
      </c>
      <c r="AH12">
        <v>14.760610103163433</v>
      </c>
      <c r="AI12">
        <v>1.0301208499899153</v>
      </c>
      <c r="AK12">
        <v>12.253040910239498</v>
      </c>
    </row>
    <row r="13" spans="1:37" x14ac:dyDescent="0.25">
      <c r="AE13">
        <v>1972</v>
      </c>
      <c r="AF13">
        <v>-15.309891325197222</v>
      </c>
      <c r="AG13">
        <v>11.747288807661418</v>
      </c>
      <c r="AH13">
        <v>13.166871672654569</v>
      </c>
      <c r="AI13">
        <v>0.39418083531430603</v>
      </c>
      <c r="AK13">
        <v>12.708934689194724</v>
      </c>
    </row>
    <row r="14" spans="1:37" x14ac:dyDescent="0.25">
      <c r="AE14">
        <v>1973</v>
      </c>
      <c r="AF14">
        <v>6.3926535545018064</v>
      </c>
      <c r="AG14">
        <v>10.733974522711948</v>
      </c>
      <c r="AH14">
        <v>12.220255825828989</v>
      </c>
      <c r="AI14">
        <v>0.4729670181675702</v>
      </c>
      <c r="AK14">
        <v>11.385222274379327</v>
      </c>
    </row>
    <row r="15" spans="1:37" x14ac:dyDescent="0.25">
      <c r="AE15">
        <v>1974</v>
      </c>
      <c r="AF15">
        <v>5.4157657322096551</v>
      </c>
      <c r="AG15">
        <v>11.992774255487353</v>
      </c>
      <c r="AH15">
        <v>12.389032707023452</v>
      </c>
      <c r="AI15">
        <v>1.6550581843115033</v>
      </c>
      <c r="AK15">
        <v>13.637604054410922</v>
      </c>
    </row>
    <row r="16" spans="1:37" x14ac:dyDescent="0.25">
      <c r="AE16">
        <v>1975</v>
      </c>
      <c r="AF16">
        <v>7.9853729235227862</v>
      </c>
      <c r="AG16">
        <v>12.764784633870834</v>
      </c>
      <c r="AH16">
        <v>12.547446053037836</v>
      </c>
      <c r="AI16">
        <v>0.55467179755048268</v>
      </c>
      <c r="AK16">
        <v>14.25371893417184</v>
      </c>
    </row>
    <row r="17" spans="2:37" x14ac:dyDescent="0.25">
      <c r="AE17">
        <v>1976</v>
      </c>
      <c r="AF17" t="e">
        <v>#NUM!</v>
      </c>
      <c r="AG17">
        <v>12.34127647101387</v>
      </c>
      <c r="AH17">
        <v>13.354566779687907</v>
      </c>
      <c r="AI17">
        <v>0.58978214581707211</v>
      </c>
      <c r="AK17">
        <v>14.390515609117488</v>
      </c>
    </row>
    <row r="18" spans="2:37" x14ac:dyDescent="0.25">
      <c r="B18" t="s">
        <v>30</v>
      </c>
      <c r="K18" t="s">
        <v>19</v>
      </c>
      <c r="T18" t="s">
        <v>13</v>
      </c>
      <c r="AE18">
        <v>1977</v>
      </c>
      <c r="AF18">
        <v>7.3418733600862991</v>
      </c>
      <c r="AG18">
        <v>13.32167313786327</v>
      </c>
      <c r="AH18">
        <v>12.891963553643983</v>
      </c>
      <c r="AI18">
        <v>0.5506870826301129</v>
      </c>
      <c r="AK18">
        <v>12.79278989321465</v>
      </c>
    </row>
    <row r="19" spans="2:37" x14ac:dyDescent="0.25">
      <c r="K19" t="s">
        <v>20</v>
      </c>
      <c r="T19" t="s">
        <v>21</v>
      </c>
      <c r="W19">
        <v>2.532</v>
      </c>
      <c r="X19" t="s">
        <v>22</v>
      </c>
      <c r="AE19">
        <v>1978</v>
      </c>
      <c r="AF19">
        <v>6.9362928804765396</v>
      </c>
      <c r="AG19">
        <v>12.444690149030821</v>
      </c>
      <c r="AH19">
        <v>13.481169085881314</v>
      </c>
      <c r="AI19">
        <v>0.1594959480180452</v>
      </c>
      <c r="AK19">
        <v>13.244029979836185</v>
      </c>
    </row>
    <row r="20" spans="2:37" x14ac:dyDescent="0.25">
      <c r="T20" t="s">
        <v>11</v>
      </c>
      <c r="V20">
        <v>-0.3226</v>
      </c>
      <c r="W20">
        <v>14.747</v>
      </c>
      <c r="X20">
        <f>W20+W19*V20</f>
        <v>13.9301768</v>
      </c>
      <c r="Y20" s="1">
        <f>EXP(X20)</f>
        <v>1121499.0658554872</v>
      </c>
      <c r="Z20" t="s">
        <v>12</v>
      </c>
      <c r="AE20">
        <v>1979</v>
      </c>
      <c r="AF20">
        <v>8.3611124434802981</v>
      </c>
      <c r="AG20">
        <v>13.031780226597798</v>
      </c>
      <c r="AH20">
        <v>12.88248099407034</v>
      </c>
      <c r="AI20">
        <v>0.43779084503951871</v>
      </c>
      <c r="AK20">
        <v>13.914224054214282</v>
      </c>
    </row>
    <row r="21" spans="2:37" x14ac:dyDescent="0.25">
      <c r="Z21" t="s">
        <v>23</v>
      </c>
      <c r="AC21">
        <f>LN(3660000)</f>
        <v>15.112973705377549</v>
      </c>
      <c r="AE21">
        <v>1980</v>
      </c>
      <c r="AF21">
        <v>8.3958897735281699</v>
      </c>
      <c r="AG21">
        <v>13.828913119452999</v>
      </c>
      <c r="AH21">
        <v>14.304180943822617</v>
      </c>
      <c r="AI21">
        <v>1.2724007172248204</v>
      </c>
      <c r="AK21">
        <v>14.246922882278895</v>
      </c>
    </row>
    <row r="22" spans="2:37" x14ac:dyDescent="0.25">
      <c r="B22" t="s">
        <v>31</v>
      </c>
      <c r="AE22">
        <v>1981</v>
      </c>
      <c r="AF22">
        <v>5.9739483554748025</v>
      </c>
      <c r="AG22">
        <v>13.578256908225047</v>
      </c>
      <c r="AH22">
        <v>15.310955477201425</v>
      </c>
      <c r="AI22">
        <v>1.4820423577484254</v>
      </c>
      <c r="AK22">
        <v>14.483422680373678</v>
      </c>
    </row>
    <row r="23" spans="2:37" x14ac:dyDescent="0.25">
      <c r="AE23">
        <v>1982</v>
      </c>
      <c r="AF23">
        <v>9.0995247117673088</v>
      </c>
      <c r="AG23">
        <v>13.102514923086563</v>
      </c>
      <c r="AH23">
        <v>14.714422171206937</v>
      </c>
      <c r="AI23">
        <v>1.1361652629818906</v>
      </c>
      <c r="AK23">
        <v>11.890291528564363</v>
      </c>
    </row>
    <row r="24" spans="2:37" x14ac:dyDescent="0.25">
      <c r="U24" t="s">
        <v>35</v>
      </c>
      <c r="AE24">
        <v>1983</v>
      </c>
      <c r="AF24">
        <v>6.68825012603675</v>
      </c>
      <c r="AG24">
        <v>14.144295244559297</v>
      </c>
      <c r="AH24">
        <v>13.763798520051118</v>
      </c>
      <c r="AI24">
        <v>0.66128359696455574</v>
      </c>
      <c r="AK24">
        <v>13.355284749689465</v>
      </c>
    </row>
    <row r="25" spans="2:37" x14ac:dyDescent="0.25">
      <c r="U25" t="s">
        <v>40</v>
      </c>
      <c r="AE25">
        <v>1984</v>
      </c>
      <c r="AF25">
        <v>8.5005218111064789</v>
      </c>
      <c r="AG25">
        <v>13.873621705994525</v>
      </c>
      <c r="AH25">
        <v>14.095362301060062</v>
      </c>
      <c r="AI25">
        <v>-4.8932943499234216E-2</v>
      </c>
      <c r="AK25">
        <v>13.542624335848878</v>
      </c>
    </row>
    <row r="26" spans="2:37" x14ac:dyDescent="0.25">
      <c r="T26" t="s">
        <v>39</v>
      </c>
      <c r="U26" t="s">
        <v>36</v>
      </c>
      <c r="V26" t="s">
        <v>37</v>
      </c>
      <c r="W26" t="s">
        <v>38</v>
      </c>
      <c r="X26" t="s">
        <v>68</v>
      </c>
      <c r="AE26">
        <v>1985</v>
      </c>
      <c r="AF26">
        <v>8.53804136312732</v>
      </c>
      <c r="AG26">
        <v>13.557436447802846</v>
      </c>
      <c r="AH26">
        <v>14.306239333243417</v>
      </c>
      <c r="AI26">
        <v>0.43261762724888997</v>
      </c>
      <c r="AK26">
        <v>14.111898180894515</v>
      </c>
    </row>
    <row r="27" spans="2:37" x14ac:dyDescent="0.25">
      <c r="T27">
        <v>1999</v>
      </c>
      <c r="U27">
        <v>14.701447437473176</v>
      </c>
      <c r="V27">
        <v>9.0720233139631539</v>
      </c>
      <c r="W27">
        <v>-1.0207669603507683</v>
      </c>
      <c r="X27" s="10">
        <f>$U$68+$U$69*V27+$U$70*W27</f>
        <v>14.700099271010295</v>
      </c>
      <c r="AE27">
        <v>1986</v>
      </c>
      <c r="AF27">
        <v>-19.982267935181582</v>
      </c>
      <c r="AG27">
        <v>12.006893819150257</v>
      </c>
      <c r="AH27">
        <v>14.674439678907701</v>
      </c>
      <c r="AI27">
        <v>1.1170032311048548</v>
      </c>
      <c r="AK27">
        <v>13.29263293364291</v>
      </c>
    </row>
    <row r="28" spans="2:37" x14ac:dyDescent="0.25">
      <c r="T28">
        <v>2000</v>
      </c>
      <c r="U28">
        <v>12.738565527978336</v>
      </c>
      <c r="V28">
        <v>7.2342801344557399</v>
      </c>
      <c r="W28">
        <v>0.36530161782924503</v>
      </c>
      <c r="X28" s="10">
        <f>$U$68+$U$69*V28+$U$70*W28</f>
        <v>13.964564730123318</v>
      </c>
      <c r="AE28">
        <v>1987</v>
      </c>
      <c r="AF28">
        <v>5.515679985414538</v>
      </c>
      <c r="AG28">
        <v>12.098131010499197</v>
      </c>
      <c r="AH28">
        <v>13.755064962982868</v>
      </c>
      <c r="AI28">
        <v>1.7481711438326109</v>
      </c>
      <c r="AK28">
        <v>12.327723259482729</v>
      </c>
    </row>
    <row r="29" spans="2:37" x14ac:dyDescent="0.25">
      <c r="T29">
        <v>2002</v>
      </c>
      <c r="U29">
        <v>13.297395598571367</v>
      </c>
      <c r="V29">
        <v>6.9704183390538033</v>
      </c>
      <c r="W29">
        <v>3.5373226747692317</v>
      </c>
      <c r="X29" s="10">
        <f>$U$68+$U$69*V29+$U$70*W29</f>
        <v>13.320286854118885</v>
      </c>
      <c r="AE29">
        <v>1988</v>
      </c>
      <c r="AF29">
        <v>7.654439304761512</v>
      </c>
      <c r="AG29">
        <v>13.149465382842838</v>
      </c>
      <c r="AH29">
        <v>13.228544971427159</v>
      </c>
      <c r="AI29">
        <v>1.1304139609279629</v>
      </c>
      <c r="AK29">
        <v>12.768653356955276</v>
      </c>
    </row>
    <row r="30" spans="2:37" x14ac:dyDescent="0.25">
      <c r="T30">
        <v>2004</v>
      </c>
      <c r="U30">
        <v>14.003672414254584</v>
      </c>
      <c r="V30">
        <v>7.9949005580547325</v>
      </c>
      <c r="W30">
        <v>1.9076068417692387</v>
      </c>
      <c r="X30" s="10">
        <f>$U$68+$U$69*V30+$U$70*W30</f>
        <v>13.885605625869349</v>
      </c>
      <c r="AE30">
        <v>1989</v>
      </c>
      <c r="AF30">
        <v>8.9556996481129971</v>
      </c>
      <c r="AG30">
        <v>13.627718998821653</v>
      </c>
      <c r="AH30">
        <v>13.626549768816218</v>
      </c>
      <c r="AI30">
        <v>0.47708438597337921</v>
      </c>
      <c r="AK30">
        <v>14.270301333535972</v>
      </c>
    </row>
    <row r="31" spans="2:37" x14ac:dyDescent="0.25">
      <c r="T31">
        <v>2006</v>
      </c>
      <c r="U31">
        <v>14.201524746855402</v>
      </c>
      <c r="V31">
        <v>10.79073926442064</v>
      </c>
      <c r="W31">
        <v>1.3046613783592229</v>
      </c>
      <c r="X31" s="10">
        <f>$U$68+$U$69*V31+$U$70*W31</f>
        <v>14.731785878703608</v>
      </c>
      <c r="AE31">
        <v>1990</v>
      </c>
      <c r="AF31">
        <v>-19.183411367077436</v>
      </c>
      <c r="AG31">
        <v>14.435540565992561</v>
      </c>
      <c r="AH31">
        <v>15.001658928567345</v>
      </c>
      <c r="AI31">
        <v>1.3739399297456916</v>
      </c>
      <c r="AK31">
        <v>14.293453440516007</v>
      </c>
    </row>
    <row r="32" spans="2:37" x14ac:dyDescent="0.25">
      <c r="T32">
        <v>2007</v>
      </c>
      <c r="U32">
        <v>15.121688948374045</v>
      </c>
      <c r="V32">
        <v>9.0985211440184894</v>
      </c>
      <c r="W32">
        <v>-0.5079246517307725</v>
      </c>
      <c r="X32" s="10">
        <f>$U$68+$U$69*V32+$U$70*W32</f>
        <v>14.614163357132208</v>
      </c>
      <c r="AE32">
        <v>1991</v>
      </c>
      <c r="AG32">
        <v>12.820150254694987</v>
      </c>
      <c r="AH32">
        <v>15.715268900382869</v>
      </c>
      <c r="AI32">
        <v>1.2797283343903076</v>
      </c>
      <c r="AK32">
        <v>14.013840401438626</v>
      </c>
    </row>
    <row r="33" spans="2:37" x14ac:dyDescent="0.25">
      <c r="T33">
        <v>2009</v>
      </c>
      <c r="U33">
        <v>14.080122119277158</v>
      </c>
      <c r="V33">
        <v>10.509767359300231</v>
      </c>
      <c r="W33">
        <v>2.2741382218892316</v>
      </c>
      <c r="X33" s="10">
        <f>$U$68+$U$69*V33+$U$70*W33</f>
        <v>14.482070117548224</v>
      </c>
      <c r="AE33">
        <v>1992</v>
      </c>
      <c r="AF33">
        <v>7.0832054651919032</v>
      </c>
      <c r="AG33">
        <v>12.779134661533789</v>
      </c>
      <c r="AH33">
        <v>14.034579965572897</v>
      </c>
      <c r="AI33">
        <v>1.2144297108779107</v>
      </c>
      <c r="AK33">
        <v>13.332396513333473</v>
      </c>
    </row>
    <row r="34" spans="2:37" x14ac:dyDescent="0.25">
      <c r="T34">
        <v>2010</v>
      </c>
      <c r="U34">
        <v>14.320663086631512</v>
      </c>
      <c r="V34">
        <v>10.828573413543113</v>
      </c>
      <c r="W34">
        <v>3.1445083440692292</v>
      </c>
      <c r="X34" s="10">
        <f>$U$68+$U$69*V34+$U$70*W34</f>
        <v>14.408402231127091</v>
      </c>
      <c r="AE34">
        <v>1993</v>
      </c>
      <c r="AF34">
        <v>-19.093753625227183</v>
      </c>
      <c r="AG34">
        <v>12.796384617853574</v>
      </c>
      <c r="AH34">
        <v>13.92963826296852</v>
      </c>
      <c r="AI34">
        <v>1.1505036014347318</v>
      </c>
      <c r="AK34">
        <v>13.567148462701793</v>
      </c>
    </row>
    <row r="35" spans="2:37" x14ac:dyDescent="0.25">
      <c r="T35">
        <v>2011</v>
      </c>
      <c r="U35">
        <v>14.437105214931968</v>
      </c>
      <c r="V35">
        <v>9.7722705796401534</v>
      </c>
      <c r="W35">
        <v>2.8559780762592273</v>
      </c>
      <c r="X35" s="10">
        <f>$U$68+$U$69*V35+$U$70*W35</f>
        <v>14.18225706212808</v>
      </c>
      <c r="AE35">
        <v>1994</v>
      </c>
      <c r="AF35">
        <v>9.3445919033298939</v>
      </c>
      <c r="AG35">
        <v>13.39958123562336</v>
      </c>
      <c r="AH35">
        <v>13.61631131789758</v>
      </c>
      <c r="AI35">
        <v>0.81992670004400448</v>
      </c>
      <c r="AK35">
        <v>14.156770269014023</v>
      </c>
    </row>
    <row r="36" spans="2:37" x14ac:dyDescent="0.25">
      <c r="T36">
        <v>2012</v>
      </c>
      <c r="U36">
        <v>13.271247653090485</v>
      </c>
      <c r="V36">
        <v>10.047020430897899</v>
      </c>
      <c r="W36">
        <v>2.1367981933692386</v>
      </c>
      <c r="X36" s="10">
        <f>$U$68+$U$69*V36+$U$70*W36</f>
        <v>14.384982280876224</v>
      </c>
      <c r="AE36">
        <v>1995</v>
      </c>
      <c r="AG36">
        <v>13.020342532747332</v>
      </c>
      <c r="AH36">
        <v>13.722409519232652</v>
      </c>
      <c r="AI36">
        <v>0.32282828360929233</v>
      </c>
      <c r="AK36">
        <v>14.241484880459565</v>
      </c>
    </row>
    <row r="37" spans="2:37" x14ac:dyDescent="0.25">
      <c r="T37">
        <v>2013</v>
      </c>
      <c r="U37">
        <v>13.033493365732111</v>
      </c>
      <c r="V37">
        <v>8.5969181989244863</v>
      </c>
      <c r="W37">
        <v>2.994733051169236</v>
      </c>
      <c r="X37" s="10">
        <f>$U$68+$U$69*V37+$U$70*W37</f>
        <v>13.847314036724217</v>
      </c>
      <c r="AE37">
        <v>1996</v>
      </c>
      <c r="AF37">
        <v>4.8077761442625802</v>
      </c>
      <c r="AG37">
        <v>11.975040718822882</v>
      </c>
      <c r="AH37">
        <v>15.077832174798607</v>
      </c>
      <c r="AI37">
        <v>2.0574896420512738</v>
      </c>
      <c r="AK37">
        <v>11.843783192376973</v>
      </c>
    </row>
    <row r="38" spans="2:37" x14ac:dyDescent="0.25">
      <c r="B38" t="s">
        <v>10</v>
      </c>
      <c r="K38" t="s">
        <v>14</v>
      </c>
      <c r="T38">
        <v>2014</v>
      </c>
      <c r="U38">
        <v>14.9851666658057</v>
      </c>
      <c r="V38">
        <v>11.489825916696187</v>
      </c>
      <c r="W38">
        <v>3.3148665312692316</v>
      </c>
      <c r="X38" s="10">
        <f>$U$68+$U$69*V38+$U$70*W38</f>
        <v>14.551830229342906</v>
      </c>
      <c r="AE38">
        <v>1997</v>
      </c>
      <c r="AF38">
        <v>8.507127309549384</v>
      </c>
      <c r="AG38">
        <v>12.771900428198038</v>
      </c>
      <c r="AH38">
        <v>13.530290816356146</v>
      </c>
      <c r="AI38">
        <v>1.5552500975332642</v>
      </c>
      <c r="AK38">
        <v>12.551309387681645</v>
      </c>
    </row>
    <row r="39" spans="2:37" x14ac:dyDescent="0.25">
      <c r="C39" t="s">
        <v>17</v>
      </c>
      <c r="K39" t="s">
        <v>32</v>
      </c>
      <c r="M39">
        <v>2.532</v>
      </c>
      <c r="N39" t="s">
        <v>15</v>
      </c>
      <c r="T39">
        <v>2015</v>
      </c>
      <c r="U39">
        <v>14.611096177334328</v>
      </c>
      <c r="V39">
        <v>11.319716518828821</v>
      </c>
      <c r="W39">
        <v>2.6100064923692252</v>
      </c>
      <c r="X39" s="10">
        <f>$U$68+$U$69*V39+$U$70*W39</f>
        <v>14.634703718447653</v>
      </c>
      <c r="AE39">
        <v>1998</v>
      </c>
      <c r="AF39">
        <v>9.0720233139631539</v>
      </c>
      <c r="AG39">
        <v>13.131384222039843</v>
      </c>
      <c r="AH39">
        <v>13.93056793388924</v>
      </c>
      <c r="AI39">
        <v>1.1586675056912021</v>
      </c>
      <c r="AK39">
        <v>12.973024372267872</v>
      </c>
    </row>
    <row r="40" spans="2:37" x14ac:dyDescent="0.25">
      <c r="K40" t="s">
        <v>16</v>
      </c>
      <c r="M40">
        <v>14.747</v>
      </c>
      <c r="N40">
        <v>-0.3226</v>
      </c>
      <c r="O40">
        <f>M40+N40*M39</f>
        <v>13.9301768</v>
      </c>
      <c r="P40" s="2">
        <f>EXP(O40)</f>
        <v>1121499.0658554872</v>
      </c>
      <c r="Q40" t="s">
        <v>33</v>
      </c>
      <c r="T40">
        <v>2016</v>
      </c>
      <c r="U40">
        <v>14.687446686988523</v>
      </c>
      <c r="V40">
        <v>9.371113708106467</v>
      </c>
      <c r="W40">
        <v>1.4034630548992453</v>
      </c>
      <c r="X40" s="10">
        <f>$U$68+$U$69*V40+$U$70*W40</f>
        <v>14.339695704137865</v>
      </c>
      <c r="AE40">
        <v>1999</v>
      </c>
      <c r="AF40">
        <v>7.2342801344557399</v>
      </c>
      <c r="AG40">
        <v>14.701447437473176</v>
      </c>
      <c r="AH40">
        <v>13.538625919614057</v>
      </c>
      <c r="AI40">
        <v>0.4072416975742153</v>
      </c>
      <c r="AK40">
        <v>13.501784038595371</v>
      </c>
    </row>
    <row r="41" spans="2:37" x14ac:dyDescent="0.25">
      <c r="Q41" t="s">
        <v>34</v>
      </c>
      <c r="T41">
        <v>2017</v>
      </c>
      <c r="U41">
        <v>14.824232933290597</v>
      </c>
      <c r="V41">
        <v>11.024663965120755</v>
      </c>
      <c r="W41">
        <v>-3.0684870940772491E-2</v>
      </c>
      <c r="X41" s="10">
        <f>$U$68+$U$69*V41+$U$70*W41</f>
        <v>15.035391539077448</v>
      </c>
      <c r="AE41">
        <v>2000</v>
      </c>
      <c r="AG41">
        <v>12.738565527978336</v>
      </c>
      <c r="AH41">
        <v>14.956781658169</v>
      </c>
      <c r="AI41">
        <v>0.25533422069582401</v>
      </c>
      <c r="AK41">
        <v>11.676352977456308</v>
      </c>
    </row>
    <row r="42" spans="2:37" x14ac:dyDescent="0.25">
      <c r="R42">
        <f>LN(780000)</f>
        <v>13.567049198665774</v>
      </c>
      <c r="T42">
        <v>2018</v>
      </c>
      <c r="U42">
        <v>14.899055906788035</v>
      </c>
      <c r="V42">
        <v>10.398917076528974</v>
      </c>
      <c r="W42">
        <v>-3.6238594620772724E-2</v>
      </c>
      <c r="X42" s="10">
        <f>$U$68+$U$69*V42+$U$70*W42</f>
        <v>14.871461802261493</v>
      </c>
      <c r="AE42">
        <v>2001</v>
      </c>
      <c r="AF42">
        <v>6.9704183390538033</v>
      </c>
      <c r="AG42">
        <v>11.487315280280095</v>
      </c>
      <c r="AH42">
        <v>15.536696324274851</v>
      </c>
      <c r="AI42">
        <v>2.7981307962965154</v>
      </c>
      <c r="AK42">
        <v>10.812838087418044</v>
      </c>
    </row>
    <row r="43" spans="2:37" x14ac:dyDescent="0.25">
      <c r="T43">
        <v>2019</v>
      </c>
      <c r="U43">
        <v>15.475960231894964</v>
      </c>
      <c r="V43">
        <v>10.563647678346793</v>
      </c>
      <c r="W43">
        <v>0.6355308827592252</v>
      </c>
      <c r="X43" s="10">
        <f>$U$68+$U$69*V43+$U$70*W43</f>
        <v>14.793166130571613</v>
      </c>
      <c r="AE43">
        <v>2002</v>
      </c>
      <c r="AG43">
        <v>13.297395598571367</v>
      </c>
      <c r="AH43">
        <v>13.709745005093444</v>
      </c>
      <c r="AI43">
        <v>2.2224297248133484</v>
      </c>
      <c r="AK43">
        <v>13.623744392256096</v>
      </c>
    </row>
    <row r="44" spans="2:37" x14ac:dyDescent="0.25">
      <c r="T44">
        <v>2020</v>
      </c>
      <c r="U44">
        <v>14.768983384783255</v>
      </c>
      <c r="V44">
        <v>7.0941323828145109</v>
      </c>
      <c r="W44">
        <v>2.0574152523692271</v>
      </c>
      <c r="X44" s="10">
        <f>$U$68+$U$69*V44+$U$70*W44</f>
        <v>13.62103548502243</v>
      </c>
      <c r="AE44">
        <v>2003</v>
      </c>
      <c r="AF44">
        <v>7.9949005580547325</v>
      </c>
      <c r="AG44">
        <v>13.477320690343479</v>
      </c>
      <c r="AH44">
        <v>14.487001714514982</v>
      </c>
      <c r="AI44">
        <v>1.189606115943614</v>
      </c>
      <c r="AK44">
        <v>13.224567665947617</v>
      </c>
    </row>
    <row r="45" spans="2:37" x14ac:dyDescent="0.25">
      <c r="T45">
        <v>2021</v>
      </c>
      <c r="U45">
        <v>15.247286674924156</v>
      </c>
      <c r="V45">
        <v>10.953254594559795</v>
      </c>
      <c r="W45">
        <v>0.16846339816923617</v>
      </c>
      <c r="X45" s="10">
        <f>$U$68+$U$69*V45+$U$70*W45</f>
        <v>14.980486223719449</v>
      </c>
      <c r="AE45">
        <v>2004</v>
      </c>
      <c r="AG45">
        <v>14.003672414254584</v>
      </c>
      <c r="AH45">
        <v>14.143798117006371</v>
      </c>
      <c r="AI45">
        <v>0.66647742666289278</v>
      </c>
      <c r="AK45">
        <v>13.470152933311814</v>
      </c>
    </row>
    <row r="46" spans="2:37" x14ac:dyDescent="0.25">
      <c r="T46">
        <v>2022</v>
      </c>
      <c r="U46">
        <v>14.808685506864565</v>
      </c>
      <c r="V46">
        <v>10.225663089838548</v>
      </c>
      <c r="W46">
        <v>0.94188844476923839</v>
      </c>
      <c r="X46" s="10">
        <f>$U$68+$U$69*V46+$U$70*W46</f>
        <v>14.648571309542531</v>
      </c>
      <c r="AE46">
        <v>2005</v>
      </c>
      <c r="AF46">
        <v>10.79073926442064</v>
      </c>
      <c r="AG46">
        <v>13.090322208590376</v>
      </c>
      <c r="AH46">
        <v>15.736089533064257</v>
      </c>
      <c r="AI46">
        <v>1.7324171188096735</v>
      </c>
      <c r="AK46">
        <v>13.025625362414097</v>
      </c>
    </row>
    <row r="47" spans="2:37" x14ac:dyDescent="0.25">
      <c r="T47">
        <v>2023</v>
      </c>
      <c r="U47">
        <v>13.967601744433978</v>
      </c>
      <c r="V47">
        <v>7.8375647731895874</v>
      </c>
      <c r="W47">
        <v>3.013470621229243</v>
      </c>
      <c r="X47" s="10">
        <f>$U$68+$U$69*V47+$U$70*W47</f>
        <v>13.643766677116787</v>
      </c>
      <c r="AE47">
        <v>2006</v>
      </c>
      <c r="AF47">
        <v>9.0985211440184894</v>
      </c>
      <c r="AG47">
        <v>14.201524746855402</v>
      </c>
      <c r="AH47">
        <v>14.889315437285479</v>
      </c>
      <c r="AI47">
        <v>1.7989932286951031</v>
      </c>
      <c r="AK47">
        <v>12.889773823313828</v>
      </c>
    </row>
    <row r="48" spans="2:37" x14ac:dyDescent="0.25">
      <c r="T48">
        <v>2024</v>
      </c>
      <c r="U48">
        <v>14.242419933686856</v>
      </c>
      <c r="V48">
        <v>10.447168870264388</v>
      </c>
      <c r="W48">
        <v>4.3843827266992443</v>
      </c>
      <c r="X48" s="10">
        <f>$U$68+$U$69*V48+$U$70*W48</f>
        <v>14.083221695363394</v>
      </c>
      <c r="AE48">
        <v>2007</v>
      </c>
      <c r="AG48">
        <v>15.121688948374045</v>
      </c>
      <c r="AH48">
        <v>15.11942163722108</v>
      </c>
      <c r="AI48">
        <v>0.91789689036567912</v>
      </c>
      <c r="AK48">
        <v>12.431966171943071</v>
      </c>
    </row>
    <row r="49" spans="2:38" x14ac:dyDescent="0.25">
      <c r="T49">
        <v>2025</v>
      </c>
      <c r="U49" s="1"/>
      <c r="V49">
        <v>6.4460285976188549</v>
      </c>
      <c r="W49">
        <v>2.5315232330692252</v>
      </c>
      <c r="X49" s="1">
        <f>$U$68+$U$69*V49+$U$70*W49</f>
        <v>13.364304467009314</v>
      </c>
      <c r="Y49" s="2">
        <f>EXP(X49)</f>
        <v>636859.57765369723</v>
      </c>
      <c r="AE49">
        <v>2008</v>
      </c>
      <c r="AF49">
        <v>10.509767359300231</v>
      </c>
      <c r="AG49">
        <v>13.802335483478169</v>
      </c>
      <c r="AH49">
        <v>15.83703321695913</v>
      </c>
      <c r="AI49">
        <v>0.71534426858508493</v>
      </c>
      <c r="AK49">
        <v>12.417884989670689</v>
      </c>
    </row>
    <row r="50" spans="2:38" x14ac:dyDescent="0.25">
      <c r="U50" s="2"/>
      <c r="X50" s="10"/>
      <c r="AE50">
        <v>2009</v>
      </c>
      <c r="AF50">
        <v>10.828573413543113</v>
      </c>
      <c r="AG50">
        <v>14.080122119277158</v>
      </c>
      <c r="AH50">
        <v>14.317601823526386</v>
      </c>
      <c r="AI50">
        <v>0.51526634004821836</v>
      </c>
      <c r="AK50">
        <v>13.794351466530339</v>
      </c>
    </row>
    <row r="51" spans="2:38" x14ac:dyDescent="0.25">
      <c r="AF51">
        <v>2010</v>
      </c>
      <c r="AG51">
        <v>9.7722705796401534</v>
      </c>
      <c r="AH51">
        <v>14.320663086631512</v>
      </c>
      <c r="AI51">
        <v>14.629012952139655</v>
      </c>
      <c r="AJ51">
        <v>0.54889083286249796</v>
      </c>
      <c r="AL51">
        <v>13.594149402096543</v>
      </c>
    </row>
    <row r="52" spans="2:38" x14ac:dyDescent="0.25">
      <c r="T52" t="s">
        <v>41</v>
      </c>
      <c r="AF52">
        <v>2011</v>
      </c>
      <c r="AG52">
        <v>10.047020430897899</v>
      </c>
      <c r="AH52">
        <v>14.437105214931968</v>
      </c>
      <c r="AI52">
        <v>14.472122437934807</v>
      </c>
      <c r="AJ52">
        <v>0.15145935130329463</v>
      </c>
      <c r="AL52">
        <v>13.48376661801206</v>
      </c>
    </row>
    <row r="53" spans="2:38" ht="15.75" thickBot="1" x14ac:dyDescent="0.3">
      <c r="AF53">
        <v>2012</v>
      </c>
      <c r="AG53">
        <v>8.5969181989244863</v>
      </c>
      <c r="AH53">
        <v>13.271247653090485</v>
      </c>
      <c r="AI53">
        <v>14.246984683430654</v>
      </c>
      <c r="AJ53">
        <v>-0.19012053150131394</v>
      </c>
      <c r="AL53">
        <v>13.377585581387612</v>
      </c>
    </row>
    <row r="54" spans="2:38" x14ac:dyDescent="0.25">
      <c r="T54" s="7" t="s">
        <v>42</v>
      </c>
      <c r="U54" s="7"/>
      <c r="AF54">
        <v>2013</v>
      </c>
      <c r="AG54">
        <v>11.489825916696187</v>
      </c>
      <c r="AH54">
        <v>13.033493365732111</v>
      </c>
      <c r="AI54">
        <v>14.282564276599786</v>
      </c>
      <c r="AJ54">
        <v>1.0113166235092999</v>
      </c>
      <c r="AL54">
        <v>12.79594360357313</v>
      </c>
    </row>
    <row r="55" spans="2:38" x14ac:dyDescent="0.25">
      <c r="T55" t="s">
        <v>43</v>
      </c>
      <c r="U55">
        <v>0.6466420851246828</v>
      </c>
      <c r="AF55">
        <v>2014</v>
      </c>
      <c r="AG55">
        <v>11.319716518828821</v>
      </c>
      <c r="AH55">
        <v>14.9851666658057</v>
      </c>
      <c r="AI55">
        <v>13.698857364849591</v>
      </c>
      <c r="AJ55">
        <v>0.6653639991174799</v>
      </c>
      <c r="AL55">
        <v>12.890521506676725</v>
      </c>
    </row>
    <row r="56" spans="2:38" x14ac:dyDescent="0.25">
      <c r="T56" t="s">
        <v>44</v>
      </c>
      <c r="U56">
        <v>0.41814598625439747</v>
      </c>
      <c r="AF56">
        <v>2015</v>
      </c>
      <c r="AG56">
        <v>9.371113708106467</v>
      </c>
      <c r="AH56">
        <v>14.611096177334328</v>
      </c>
      <c r="AI56">
        <v>14.644654480372417</v>
      </c>
      <c r="AJ56">
        <v>-0.34051218543328388</v>
      </c>
      <c r="AL56">
        <v>14.131595402342031</v>
      </c>
    </row>
    <row r="57" spans="2:38" x14ac:dyDescent="0.25">
      <c r="T57" t="s">
        <v>45</v>
      </c>
      <c r="U57">
        <v>0.35689819533380773</v>
      </c>
      <c r="AF57">
        <v>2016</v>
      </c>
      <c r="AG57">
        <v>11.024663965120755</v>
      </c>
      <c r="AH57">
        <v>14.687446686988523</v>
      </c>
      <c r="AI57">
        <v>14.086399488771926</v>
      </c>
      <c r="AJ57">
        <v>-0.52469668856240093</v>
      </c>
      <c r="AL57">
        <v>13.669410953845441</v>
      </c>
    </row>
    <row r="58" spans="2:38" x14ac:dyDescent="0.25">
      <c r="T58" t="s">
        <v>46</v>
      </c>
      <c r="U58">
        <v>0.5875398271531862</v>
      </c>
      <c r="AF58">
        <v>2017</v>
      </c>
      <c r="AG58">
        <v>10.398917076528974</v>
      </c>
      <c r="AH58">
        <v>14.824232933290597</v>
      </c>
      <c r="AI58">
        <v>14.515044321200493</v>
      </c>
      <c r="AJ58">
        <v>-0.17240236578802856</v>
      </c>
      <c r="AL58">
        <v>13.331861791617634</v>
      </c>
    </row>
    <row r="59" spans="2:38" ht="15.75" thickBot="1" x14ac:dyDescent="0.3">
      <c r="B59" t="s">
        <v>71</v>
      </c>
      <c r="J59" t="s">
        <v>72</v>
      </c>
      <c r="T59" s="5" t="s">
        <v>47</v>
      </c>
      <c r="U59" s="5">
        <v>22</v>
      </c>
      <c r="AF59">
        <v>2018</v>
      </c>
      <c r="AG59">
        <v>10.563647678346793</v>
      </c>
      <c r="AH59">
        <v>14.899055906788035</v>
      </c>
      <c r="AI59">
        <v>15.014002791784135</v>
      </c>
      <c r="AJ59">
        <v>0.18976985849353858</v>
      </c>
      <c r="AL59">
        <v>12.338730353078276</v>
      </c>
    </row>
    <row r="60" spans="2:38" x14ac:dyDescent="0.25">
      <c r="J60" t="s">
        <v>73</v>
      </c>
      <c r="L60">
        <v>4.3840000000000003</v>
      </c>
      <c r="M60" t="s">
        <v>74</v>
      </c>
      <c r="AF60">
        <v>2019</v>
      </c>
      <c r="AG60">
        <v>7.0941323828145109</v>
      </c>
      <c r="AH60">
        <v>15.475960231894964</v>
      </c>
      <c r="AI60">
        <v>14.965883342507427</v>
      </c>
      <c r="AJ60">
        <v>6.6827435719390413E-2</v>
      </c>
      <c r="AL60">
        <v>12.390620984587249</v>
      </c>
    </row>
    <row r="61" spans="2:38" ht="15.75" thickBot="1" x14ac:dyDescent="0.3">
      <c r="J61">
        <v>-0.29360000000000003</v>
      </c>
      <c r="K61">
        <v>15.167999999999999</v>
      </c>
      <c r="L61" t="s">
        <v>75</v>
      </c>
      <c r="M61">
        <f>K61+J61*L60</f>
        <v>13.880857599999999</v>
      </c>
      <c r="N61" s="1">
        <f>EXP(M61)</f>
        <v>1067529.4376952341</v>
      </c>
      <c r="O61" t="s">
        <v>76</v>
      </c>
      <c r="T61" t="s">
        <v>48</v>
      </c>
      <c r="AF61">
        <v>2020</v>
      </c>
      <c r="AG61">
        <v>10.953254594559795</v>
      </c>
      <c r="AH61">
        <v>14.768983384783255</v>
      </c>
      <c r="AI61">
        <v>15.769332325553441</v>
      </c>
      <c r="AJ61">
        <v>0.29337209365847683</v>
      </c>
      <c r="AL61">
        <v>12.549971171947359</v>
      </c>
    </row>
    <row r="62" spans="2:38" x14ac:dyDescent="0.25">
      <c r="T62" s="6"/>
      <c r="U62" s="6" t="s">
        <v>53</v>
      </c>
      <c r="V62" s="6" t="s">
        <v>54</v>
      </c>
      <c r="W62" s="6" t="s">
        <v>55</v>
      </c>
      <c r="X62" s="6" t="s">
        <v>56</v>
      </c>
      <c r="Y62" s="6" t="s">
        <v>57</v>
      </c>
      <c r="AF62">
        <v>2021</v>
      </c>
      <c r="AG62">
        <v>10.225663089838548</v>
      </c>
      <c r="AH62">
        <v>15.247286674924156</v>
      </c>
      <c r="AI62">
        <v>14.515985509349667</v>
      </c>
      <c r="AJ62">
        <v>-0.25299787543358682</v>
      </c>
      <c r="AL62">
        <v>12.95529356595536</v>
      </c>
    </row>
    <row r="63" spans="2:38" x14ac:dyDescent="0.25">
      <c r="T63" t="s">
        <v>49</v>
      </c>
      <c r="U63">
        <v>2</v>
      </c>
      <c r="V63">
        <v>4.7134849110403092</v>
      </c>
      <c r="W63">
        <v>2.3567424555201546</v>
      </c>
      <c r="X63">
        <v>6.8271194759749099</v>
      </c>
      <c r="Y63">
        <v>5.8308695841792664E-3</v>
      </c>
      <c r="AF63">
        <v>2022</v>
      </c>
      <c r="AG63">
        <v>7.8375647731895874</v>
      </c>
      <c r="AH63">
        <v>14.808685506864565</v>
      </c>
      <c r="AI63">
        <v>14.784177259665842</v>
      </c>
      <c r="AJ63">
        <v>-0.46310941525831467</v>
      </c>
      <c r="AL63">
        <v>13.571533001626717</v>
      </c>
    </row>
    <row r="64" spans="2:38" x14ac:dyDescent="0.25">
      <c r="T64" t="s">
        <v>50</v>
      </c>
      <c r="U64">
        <v>19</v>
      </c>
      <c r="V64">
        <v>6.5588579213327218</v>
      </c>
      <c r="W64">
        <v>0.34520304849119587</v>
      </c>
      <c r="AF64">
        <v>2023</v>
      </c>
      <c r="AG64">
        <v>10.447168870264388</v>
      </c>
      <c r="AH64">
        <v>13.967601744433978</v>
      </c>
      <c r="AI64">
        <v>15.343883081221536</v>
      </c>
      <c r="AJ64">
        <v>0.53519757435697091</v>
      </c>
      <c r="AL64">
        <v>12.400117793889724</v>
      </c>
    </row>
    <row r="65" spans="2:38" ht="15.75" thickBot="1" x14ac:dyDescent="0.3">
      <c r="T65" s="5" t="s">
        <v>51</v>
      </c>
      <c r="U65" s="5">
        <v>21</v>
      </c>
      <c r="V65" s="5">
        <v>11.272342832373031</v>
      </c>
      <c r="W65" s="5"/>
      <c r="X65" s="5"/>
      <c r="Y65" s="5"/>
      <c r="AF65">
        <v>2024</v>
      </c>
      <c r="AG65">
        <v>6.4460285976188549</v>
      </c>
      <c r="AH65">
        <v>14.242419933686856</v>
      </c>
      <c r="AI65">
        <v>13.739617604186336</v>
      </c>
      <c r="AJ65">
        <v>-0.22798414024764344</v>
      </c>
      <c r="AL65">
        <v>12.957841533817243</v>
      </c>
    </row>
    <row r="66" spans="2:38" ht="15.75" thickBot="1" x14ac:dyDescent="0.3"/>
    <row r="67" spans="2:38" x14ac:dyDescent="0.25">
      <c r="T67" s="6"/>
      <c r="U67" s="6" t="s">
        <v>58</v>
      </c>
      <c r="V67" s="6" t="s">
        <v>46</v>
      </c>
      <c r="W67" s="6" t="s">
        <v>59</v>
      </c>
      <c r="X67" s="6" t="s">
        <v>60</v>
      </c>
      <c r="Y67" s="6" t="s">
        <v>61</v>
      </c>
      <c r="Z67" s="6" t="s">
        <v>62</v>
      </c>
      <c r="AA67" s="6" t="s">
        <v>63</v>
      </c>
      <c r="AB67" s="6" t="s">
        <v>64</v>
      </c>
    </row>
    <row r="68" spans="2:38" x14ac:dyDescent="0.25">
      <c r="T68" t="s">
        <v>52</v>
      </c>
      <c r="U68">
        <v>12.123922134590966</v>
      </c>
      <c r="V68">
        <v>0.89066359970244768</v>
      </c>
      <c r="W68">
        <v>13.612234898385113</v>
      </c>
      <c r="X68">
        <v>2.9971135047712098E-11</v>
      </c>
      <c r="Y68">
        <v>10.25974179602785</v>
      </c>
      <c r="Z68">
        <v>13.988102473154083</v>
      </c>
      <c r="AA68">
        <v>10.25974179602785</v>
      </c>
      <c r="AB68">
        <v>13.988102473154083</v>
      </c>
    </row>
    <row r="69" spans="2:38" x14ac:dyDescent="0.25">
      <c r="T69" t="s">
        <v>65</v>
      </c>
      <c r="U69">
        <v>0.26358261064936789</v>
      </c>
      <c r="V69">
        <v>8.9603006752694905E-2</v>
      </c>
      <c r="W69">
        <v>2.9416714929763264</v>
      </c>
      <c r="X69" s="8">
        <v>8.3742891446710824E-3</v>
      </c>
      <c r="Y69">
        <v>7.6041362168667248E-2</v>
      </c>
      <c r="Z69">
        <v>0.45112385913006853</v>
      </c>
      <c r="AA69">
        <v>7.6041362168667248E-2</v>
      </c>
      <c r="AB69">
        <v>0.45112385913006853</v>
      </c>
    </row>
    <row r="70" spans="2:38" ht="15.75" thickBot="1" x14ac:dyDescent="0.3">
      <c r="T70" s="5" t="s">
        <v>66</v>
      </c>
      <c r="U70" s="5">
        <v>-0.18118684737742344</v>
      </c>
      <c r="V70" s="5">
        <v>8.6830985675843061E-2</v>
      </c>
      <c r="W70" s="5">
        <v>-2.086661183990576</v>
      </c>
      <c r="X70" s="9">
        <v>5.0632859878123958E-2</v>
      </c>
      <c r="Y70" s="5">
        <v>-0.36292618906494634</v>
      </c>
      <c r="Z70" s="5">
        <v>5.5249431009946059E-4</v>
      </c>
      <c r="AA70" s="5">
        <v>-0.36292618906494634</v>
      </c>
      <c r="AB70" s="5">
        <v>5.5249431009946059E-4</v>
      </c>
    </row>
    <row r="72" spans="2:38" x14ac:dyDescent="0.25">
      <c r="X72" t="s">
        <v>67</v>
      </c>
    </row>
    <row r="79" spans="2:38" x14ac:dyDescent="0.25">
      <c r="B79" t="s">
        <v>77</v>
      </c>
      <c r="J79" t="s">
        <v>78</v>
      </c>
      <c r="N79">
        <v>4.3840000000000003</v>
      </c>
      <c r="O79" t="s">
        <v>79</v>
      </c>
    </row>
    <row r="80" spans="2:38" x14ac:dyDescent="0.25">
      <c r="B80" t="s">
        <v>71</v>
      </c>
      <c r="J80">
        <v>0.34160000000000001</v>
      </c>
      <c r="K80">
        <v>12.374000000000001</v>
      </c>
      <c r="L80" t="s">
        <v>75</v>
      </c>
      <c r="M80">
        <f>K80+J80*N79</f>
        <v>13.8715744</v>
      </c>
      <c r="N80" s="1">
        <f>EXP(M80)</f>
        <v>1057665.2050810473</v>
      </c>
      <c r="O80" t="s">
        <v>80</v>
      </c>
    </row>
    <row r="89" spans="20:21" x14ac:dyDescent="0.25">
      <c r="T89" t="s">
        <v>69</v>
      </c>
    </row>
    <row r="90" spans="20:21" x14ac:dyDescent="0.25">
      <c r="U90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49D8-D369-4E17-892F-CE108BBA8F82}">
  <dimension ref="A1:Z185"/>
  <sheetViews>
    <sheetView topLeftCell="A156" workbookViewId="0">
      <selection activeCell="G182" sqref="G182"/>
    </sheetView>
  </sheetViews>
  <sheetFormatPr defaultRowHeight="15" x14ac:dyDescent="0.25"/>
  <cols>
    <col min="5" max="5" width="11.5703125" bestFit="1" customWidth="1"/>
    <col min="6" max="9" width="9.28515625" bestFit="1" customWidth="1"/>
    <col min="10" max="10" width="9.7109375" customWidth="1"/>
    <col min="11" max="11" width="9.28515625" bestFit="1" customWidth="1"/>
    <col min="12" max="13" width="10.5703125" bestFit="1" customWidth="1"/>
    <col min="14" max="14" width="9.5703125" bestFit="1" customWidth="1"/>
    <col min="15" max="15" width="9.28515625" bestFit="1" customWidth="1"/>
    <col min="16" max="16" width="10.7109375" bestFit="1" customWidth="1"/>
    <col min="17" max="18" width="10.5703125" bestFit="1" customWidth="1"/>
    <col min="19" max="20" width="9.28515625" bestFit="1" customWidth="1"/>
    <col min="21" max="21" width="9.5703125" bestFit="1" customWidth="1"/>
    <col min="22" max="23" width="9.28515625" bestFit="1" customWidth="1"/>
  </cols>
  <sheetData>
    <row r="1" spans="1:10" x14ac:dyDescent="0.25">
      <c r="A1" t="s">
        <v>81</v>
      </c>
      <c r="B1" t="s">
        <v>18</v>
      </c>
    </row>
    <row r="2" spans="1:10" x14ac:dyDescent="0.25">
      <c r="B2" s="11"/>
      <c r="C2" s="11" t="s">
        <v>82</v>
      </c>
    </row>
    <row r="3" spans="1:10" x14ac:dyDescent="0.25">
      <c r="B3" s="11" t="s">
        <v>83</v>
      </c>
      <c r="C3" s="11" t="s">
        <v>84</v>
      </c>
      <c r="D3" t="s">
        <v>85</v>
      </c>
      <c r="E3" t="s">
        <v>86</v>
      </c>
    </row>
    <row r="4" spans="1:10" x14ac:dyDescent="0.25">
      <c r="B4">
        <v>1963</v>
      </c>
      <c r="C4">
        <v>1796531.0083455001</v>
      </c>
      <c r="D4">
        <f t="shared" ref="D4:D65" si="0">LN(C4)</f>
        <v>14.401368145807291</v>
      </c>
    </row>
    <row r="5" spans="1:10" x14ac:dyDescent="0.25">
      <c r="B5">
        <v>1964</v>
      </c>
      <c r="C5">
        <v>1943395.1764118101</v>
      </c>
      <c r="D5">
        <f t="shared" si="0"/>
        <v>14.47994709234869</v>
      </c>
      <c r="E5">
        <f>D5-D4</f>
        <v>7.8578946541398409E-2</v>
      </c>
    </row>
    <row r="6" spans="1:10" x14ac:dyDescent="0.25">
      <c r="B6">
        <v>1965</v>
      </c>
      <c r="C6">
        <v>1222067.36441122</v>
      </c>
      <c r="D6">
        <f t="shared" si="0"/>
        <v>14.016054543553702</v>
      </c>
      <c r="E6">
        <f t="shared" ref="E6:E65" si="1">D6-D5</f>
        <v>-0.46389254879498765</v>
      </c>
    </row>
    <row r="7" spans="1:10" x14ac:dyDescent="0.25">
      <c r="B7">
        <v>1966</v>
      </c>
      <c r="C7">
        <v>2884786.4943990102</v>
      </c>
      <c r="D7">
        <f t="shared" si="0"/>
        <v>14.87496144977818</v>
      </c>
      <c r="E7">
        <f t="shared" si="1"/>
        <v>0.85890690622447785</v>
      </c>
    </row>
    <row r="8" spans="1:10" ht="15.75" thickBot="1" x14ac:dyDescent="0.3">
      <c r="B8">
        <v>1967</v>
      </c>
      <c r="C8">
        <v>1555050.91378771</v>
      </c>
      <c r="D8" s="5">
        <f t="shared" si="0"/>
        <v>14.257018845045129</v>
      </c>
      <c r="E8" s="5">
        <f t="shared" si="1"/>
        <v>-0.61794260473305052</v>
      </c>
      <c r="F8" s="5"/>
      <c r="G8" s="5"/>
      <c r="H8" s="5"/>
      <c r="I8" s="5"/>
      <c r="J8" s="5"/>
    </row>
    <row r="9" spans="1:10" x14ac:dyDescent="0.25">
      <c r="B9">
        <v>1968</v>
      </c>
      <c r="C9">
        <v>1822083.2542699999</v>
      </c>
      <c r="D9">
        <f t="shared" si="0"/>
        <v>14.415491049649434</v>
      </c>
      <c r="E9">
        <f t="shared" si="1"/>
        <v>0.15847220460430478</v>
      </c>
    </row>
    <row r="10" spans="1:10" x14ac:dyDescent="0.25">
      <c r="B10">
        <v>1969</v>
      </c>
      <c r="C10">
        <v>2641101.3201660099</v>
      </c>
      <c r="D10">
        <f t="shared" si="0"/>
        <v>14.786706554862199</v>
      </c>
      <c r="E10">
        <f t="shared" si="1"/>
        <v>0.37121550521276525</v>
      </c>
    </row>
    <row r="11" spans="1:10" x14ac:dyDescent="0.25">
      <c r="B11">
        <v>1970</v>
      </c>
      <c r="C11">
        <v>2689519.0939190099</v>
      </c>
      <c r="D11">
        <f t="shared" si="0"/>
        <v>14.804872960100987</v>
      </c>
      <c r="E11">
        <f t="shared" si="1"/>
        <v>1.816640523878732E-2</v>
      </c>
    </row>
    <row r="12" spans="1:10" x14ac:dyDescent="0.25">
      <c r="B12">
        <v>1971</v>
      </c>
      <c r="C12">
        <v>3658033.5732610598</v>
      </c>
      <c r="D12">
        <f t="shared" si="0"/>
        <v>15.112436285928299</v>
      </c>
      <c r="E12">
        <f t="shared" si="1"/>
        <v>0.30756332582731183</v>
      </c>
    </row>
    <row r="13" spans="1:10" x14ac:dyDescent="0.25">
      <c r="B13">
        <v>1972</v>
      </c>
      <c r="C13">
        <v>1468384.3368623799</v>
      </c>
      <c r="D13">
        <f t="shared" si="0"/>
        <v>14.199673263742136</v>
      </c>
      <c r="E13">
        <f t="shared" si="1"/>
        <v>-0.91276302218616223</v>
      </c>
    </row>
    <row r="14" spans="1:10" x14ac:dyDescent="0.25">
      <c r="B14">
        <v>1973</v>
      </c>
      <c r="C14">
        <v>684258.61732342502</v>
      </c>
      <c r="D14">
        <f t="shared" si="0"/>
        <v>13.436091220646679</v>
      </c>
      <c r="E14">
        <f t="shared" si="1"/>
        <v>-0.76358204309545741</v>
      </c>
    </row>
    <row r="15" spans="1:10" x14ac:dyDescent="0.25">
      <c r="B15">
        <v>1974</v>
      </c>
      <c r="C15">
        <v>1474643.4770442001</v>
      </c>
      <c r="D15">
        <f t="shared" si="0"/>
        <v>14.203926808060864</v>
      </c>
      <c r="E15">
        <f t="shared" si="1"/>
        <v>0.76783558741418467</v>
      </c>
    </row>
    <row r="16" spans="1:10" x14ac:dyDescent="0.25">
      <c r="B16">
        <v>1975</v>
      </c>
      <c r="C16">
        <v>3211149.7630650098</v>
      </c>
      <c r="D16">
        <f t="shared" si="0"/>
        <v>14.982139612614658</v>
      </c>
      <c r="E16">
        <f t="shared" si="1"/>
        <v>0.77821280455379416</v>
      </c>
    </row>
    <row r="17" spans="2:10" x14ac:dyDescent="0.25">
      <c r="B17">
        <v>1976</v>
      </c>
      <c r="C17">
        <v>3200600.0848300098</v>
      </c>
      <c r="D17">
        <f t="shared" si="0"/>
        <v>14.978848876698436</v>
      </c>
      <c r="E17">
        <f t="shared" si="1"/>
        <v>-3.2907359162219763E-3</v>
      </c>
    </row>
    <row r="18" spans="2:10" x14ac:dyDescent="0.25">
      <c r="B18">
        <v>1977</v>
      </c>
      <c r="C18">
        <v>2912820.4222806999</v>
      </c>
      <c r="D18">
        <f t="shared" si="0"/>
        <v>14.884632387038467</v>
      </c>
      <c r="E18">
        <f t="shared" si="1"/>
        <v>-9.4216489659968872E-2</v>
      </c>
    </row>
    <row r="19" spans="2:10" x14ac:dyDescent="0.25">
      <c r="B19">
        <v>1978</v>
      </c>
      <c r="C19">
        <v>2256809.7992380098</v>
      </c>
      <c r="D19">
        <f t="shared" si="0"/>
        <v>14.629462780754617</v>
      </c>
      <c r="E19">
        <f t="shared" si="1"/>
        <v>-0.25516960628385021</v>
      </c>
    </row>
    <row r="20" spans="2:10" x14ac:dyDescent="0.25">
      <c r="B20">
        <v>1979</v>
      </c>
      <c r="C20">
        <v>2826605.6335040098</v>
      </c>
      <c r="D20" s="10">
        <f t="shared" si="0"/>
        <v>14.854587126946116</v>
      </c>
      <c r="E20" s="10">
        <f t="shared" si="1"/>
        <v>0.22512434619149957</v>
      </c>
      <c r="F20" s="10"/>
      <c r="G20" s="10"/>
      <c r="H20" s="10"/>
      <c r="I20" s="10"/>
      <c r="J20" s="10"/>
    </row>
    <row r="21" spans="2:10" x14ac:dyDescent="0.25">
      <c r="B21">
        <v>1980</v>
      </c>
      <c r="C21">
        <v>5080050.2974157203</v>
      </c>
      <c r="D21">
        <f t="shared" si="0"/>
        <v>15.440831720571737</v>
      </c>
      <c r="E21">
        <f t="shared" si="1"/>
        <v>0.58624459362562042</v>
      </c>
    </row>
    <row r="22" spans="2:10" x14ac:dyDescent="0.25">
      <c r="B22">
        <v>1981</v>
      </c>
      <c r="C22">
        <v>8756831.2381839994</v>
      </c>
      <c r="D22">
        <f t="shared" si="0"/>
        <v>15.985344666671294</v>
      </c>
      <c r="E22">
        <f t="shared" si="1"/>
        <v>0.54451294609955703</v>
      </c>
    </row>
    <row r="23" spans="2:10" x14ac:dyDescent="0.25">
      <c r="B23">
        <v>1982</v>
      </c>
      <c r="C23">
        <v>4660805.7869950002</v>
      </c>
      <c r="D23">
        <f t="shared" si="0"/>
        <v>15.354698906817802</v>
      </c>
      <c r="E23">
        <f t="shared" si="1"/>
        <v>-0.63064575985349158</v>
      </c>
    </row>
    <row r="24" spans="2:10" x14ac:dyDescent="0.25">
      <c r="B24">
        <v>1983</v>
      </c>
      <c r="C24">
        <v>3308264.2483293102</v>
      </c>
      <c r="D24">
        <f t="shared" si="0"/>
        <v>15.0119342135343</v>
      </c>
      <c r="E24">
        <f t="shared" si="1"/>
        <v>-0.34276469328350245</v>
      </c>
    </row>
    <row r="25" spans="2:10" x14ac:dyDescent="0.25">
      <c r="B25">
        <v>1984</v>
      </c>
      <c r="C25">
        <v>3876353.2648734101</v>
      </c>
      <c r="D25">
        <f t="shared" si="0"/>
        <v>15.170405389447858</v>
      </c>
      <c r="E25">
        <f t="shared" si="1"/>
        <v>0.15847117591355797</v>
      </c>
    </row>
    <row r="26" spans="2:10" x14ac:dyDescent="0.25">
      <c r="B26">
        <v>1985</v>
      </c>
      <c r="C26">
        <v>4237309.7451430103</v>
      </c>
      <c r="D26">
        <f t="shared" si="0"/>
        <v>15.259439131761548</v>
      </c>
      <c r="E26">
        <f t="shared" si="1"/>
        <v>8.9033742313690212E-2</v>
      </c>
    </row>
    <row r="27" spans="2:10" x14ac:dyDescent="0.25">
      <c r="B27">
        <v>1986</v>
      </c>
      <c r="C27">
        <v>3991315.6486640102</v>
      </c>
      <c r="D27">
        <f t="shared" si="0"/>
        <v>15.199631471022181</v>
      </c>
      <c r="E27">
        <f t="shared" si="1"/>
        <v>-5.9807660739366497E-2</v>
      </c>
    </row>
    <row r="28" spans="2:10" x14ac:dyDescent="0.25">
      <c r="B28">
        <v>1987</v>
      </c>
      <c r="C28">
        <v>2319010.07678321</v>
      </c>
      <c r="D28">
        <f t="shared" si="0"/>
        <v>14.656650961542248</v>
      </c>
      <c r="E28">
        <f t="shared" si="1"/>
        <v>-0.54298050947993381</v>
      </c>
    </row>
    <row r="29" spans="2:10" x14ac:dyDescent="0.25">
      <c r="B29">
        <v>1988</v>
      </c>
      <c r="C29">
        <v>1962972.6338520099</v>
      </c>
      <c r="D29">
        <f t="shared" si="0"/>
        <v>14.489970532179257</v>
      </c>
      <c r="E29">
        <f t="shared" si="1"/>
        <v>-0.16668042936299088</v>
      </c>
    </row>
    <row r="30" spans="2:10" x14ac:dyDescent="0.25">
      <c r="B30">
        <v>1989</v>
      </c>
      <c r="C30">
        <v>3669831.29577502</v>
      </c>
      <c r="D30">
        <f t="shared" si="0"/>
        <v>15.115656250520498</v>
      </c>
      <c r="E30">
        <f t="shared" si="1"/>
        <v>0.62568571834124143</v>
      </c>
    </row>
    <row r="31" spans="2:10" x14ac:dyDescent="0.25">
      <c r="B31">
        <v>1990</v>
      </c>
      <c r="C31">
        <v>8300331.6001780201</v>
      </c>
      <c r="D31">
        <f t="shared" si="0"/>
        <v>15.931806023797451</v>
      </c>
      <c r="E31">
        <f t="shared" si="1"/>
        <v>0.81614977327695293</v>
      </c>
    </row>
    <row r="32" spans="2:10" x14ac:dyDescent="0.25">
      <c r="B32">
        <v>1991</v>
      </c>
      <c r="C32">
        <v>9754424.6321010198</v>
      </c>
      <c r="D32">
        <f t="shared" si="0"/>
        <v>16.093231548454749</v>
      </c>
      <c r="E32">
        <f t="shared" si="1"/>
        <v>0.16142552465729842</v>
      </c>
    </row>
    <row r="33" spans="2:5" x14ac:dyDescent="0.25">
      <c r="B33">
        <v>1992</v>
      </c>
      <c r="C33">
        <v>5222906.7848190097</v>
      </c>
      <c r="D33">
        <f t="shared" si="0"/>
        <v>15.468564660201739</v>
      </c>
      <c r="E33">
        <f t="shared" si="1"/>
        <v>-0.6246668882530102</v>
      </c>
    </row>
    <row r="34" spans="2:5" x14ac:dyDescent="0.25">
      <c r="B34">
        <v>1993</v>
      </c>
      <c r="C34">
        <v>5577184.7625029199</v>
      </c>
      <c r="D34">
        <f t="shared" si="0"/>
        <v>15.534194684194079</v>
      </c>
      <c r="E34">
        <f t="shared" si="1"/>
        <v>6.5630023992339304E-2</v>
      </c>
    </row>
    <row r="35" spans="2:5" x14ac:dyDescent="0.25">
      <c r="B35">
        <v>1994</v>
      </c>
      <c r="C35">
        <v>3700808.24124602</v>
      </c>
      <c r="D35">
        <f t="shared" si="0"/>
        <v>15.124061797339133</v>
      </c>
      <c r="E35">
        <f t="shared" si="1"/>
        <v>-0.41013288685494587</v>
      </c>
    </row>
    <row r="36" spans="2:5" x14ac:dyDescent="0.25">
      <c r="B36">
        <v>1995</v>
      </c>
      <c r="C36">
        <v>3440141.6438730299</v>
      </c>
      <c r="D36">
        <f t="shared" si="0"/>
        <v>15.051023204046377</v>
      </c>
      <c r="E36">
        <f t="shared" si="1"/>
        <v>-7.3038593292755749E-2</v>
      </c>
    </row>
    <row r="37" spans="2:5" x14ac:dyDescent="0.25">
      <c r="B37">
        <v>1996</v>
      </c>
      <c r="C37">
        <v>4662460.9266880099</v>
      </c>
      <c r="D37">
        <f t="shared" si="0"/>
        <v>15.355053962564082</v>
      </c>
      <c r="E37">
        <f t="shared" si="1"/>
        <v>0.30403075851770467</v>
      </c>
    </row>
    <row r="38" spans="2:5" x14ac:dyDescent="0.25">
      <c r="B38">
        <v>1997</v>
      </c>
      <c r="C38">
        <v>1910810.1956946701</v>
      </c>
      <c r="D38">
        <f t="shared" si="0"/>
        <v>14.463037896308844</v>
      </c>
      <c r="E38">
        <f t="shared" si="1"/>
        <v>-0.89201606625523766</v>
      </c>
    </row>
    <row r="39" spans="2:5" x14ac:dyDescent="0.25">
      <c r="B39">
        <v>1998</v>
      </c>
      <c r="C39">
        <v>2365116.317756</v>
      </c>
      <c r="D39">
        <f t="shared" si="0"/>
        <v>14.676337761682237</v>
      </c>
      <c r="E39">
        <f t="shared" si="1"/>
        <v>0.21329986537339352</v>
      </c>
    </row>
    <row r="40" spans="2:5" x14ac:dyDescent="0.25">
      <c r="B40">
        <v>1999</v>
      </c>
      <c r="C40">
        <v>4701483.5908614099</v>
      </c>
      <c r="D40">
        <f t="shared" si="0"/>
        <v>15.363388674500985</v>
      </c>
      <c r="E40">
        <f t="shared" si="1"/>
        <v>0.68705091281874786</v>
      </c>
    </row>
    <row r="41" spans="2:5" x14ac:dyDescent="0.25">
      <c r="B41">
        <v>2000</v>
      </c>
      <c r="C41">
        <v>3967486.1081528999</v>
      </c>
      <c r="D41">
        <f t="shared" si="0"/>
        <v>15.193643229965835</v>
      </c>
      <c r="E41">
        <f t="shared" si="1"/>
        <v>-0.16974544453515072</v>
      </c>
    </row>
    <row r="42" spans="2:5" x14ac:dyDescent="0.25">
      <c r="B42">
        <v>2001</v>
      </c>
      <c r="C42">
        <v>5991184.9410420097</v>
      </c>
      <c r="D42">
        <f t="shared" si="0"/>
        <v>15.605799770401319</v>
      </c>
      <c r="E42">
        <f t="shared" si="1"/>
        <v>0.41215654043548433</v>
      </c>
    </row>
    <row r="43" spans="2:5" x14ac:dyDescent="0.25">
      <c r="B43">
        <v>2002</v>
      </c>
      <c r="C43">
        <v>2813597.6574756</v>
      </c>
      <c r="D43">
        <f t="shared" si="0"/>
        <v>14.849974527569627</v>
      </c>
      <c r="E43">
        <f t="shared" si="1"/>
        <v>-0.75582524283169228</v>
      </c>
    </row>
    <row r="44" spans="2:5" x14ac:dyDescent="0.25">
      <c r="B44">
        <v>2003</v>
      </c>
      <c r="C44">
        <v>4861853.1156590004</v>
      </c>
      <c r="D44">
        <f t="shared" si="0"/>
        <v>15.396930222718801</v>
      </c>
      <c r="E44">
        <f t="shared" si="1"/>
        <v>0.5469556951491743</v>
      </c>
    </row>
    <row r="45" spans="2:5" x14ac:dyDescent="0.25">
      <c r="B45">
        <v>2004</v>
      </c>
      <c r="C45">
        <v>4066709.70364501</v>
      </c>
      <c r="D45">
        <f t="shared" si="0"/>
        <v>15.218344803842903</v>
      </c>
      <c r="E45">
        <f t="shared" si="1"/>
        <v>-0.17858541887589752</v>
      </c>
    </row>
    <row r="46" spans="2:5" x14ac:dyDescent="0.25">
      <c r="B46">
        <v>2005</v>
      </c>
      <c r="C46">
        <v>8765371.0064671095</v>
      </c>
      <c r="D46">
        <f t="shared" si="0"/>
        <v>15.98631940361817</v>
      </c>
      <c r="E46">
        <f t="shared" si="1"/>
        <v>0.7679745997752665</v>
      </c>
    </row>
    <row r="47" spans="2:5" x14ac:dyDescent="0.25">
      <c r="B47">
        <v>2006</v>
      </c>
      <c r="C47">
        <v>5342241.0852720002</v>
      </c>
      <c r="D47">
        <f t="shared" si="0"/>
        <v>15.491155801785711</v>
      </c>
      <c r="E47">
        <f t="shared" si="1"/>
        <v>-0.49516360183245922</v>
      </c>
    </row>
    <row r="48" spans="2:5" x14ac:dyDescent="0.25">
      <c r="B48">
        <v>2007</v>
      </c>
      <c r="C48">
        <v>8438491.6736100093</v>
      </c>
      <c r="D48">
        <f t="shared" si="0"/>
        <v>15.948314138943728</v>
      </c>
      <c r="E48">
        <f t="shared" si="1"/>
        <v>0.45715833715801679</v>
      </c>
    </row>
    <row r="49" spans="2:5" x14ac:dyDescent="0.25">
      <c r="B49">
        <v>2008</v>
      </c>
      <c r="C49">
        <v>9129940.8834930193</v>
      </c>
      <c r="D49">
        <f t="shared" si="0"/>
        <v>16.027069777576806</v>
      </c>
      <c r="E49">
        <f t="shared" si="1"/>
        <v>7.8755638633078107E-2</v>
      </c>
    </row>
    <row r="50" spans="2:5" x14ac:dyDescent="0.25">
      <c r="B50">
        <v>2009</v>
      </c>
      <c r="C50">
        <v>4912919.8609469999</v>
      </c>
      <c r="D50">
        <f t="shared" si="0"/>
        <v>15.407378999384735</v>
      </c>
      <c r="E50">
        <f t="shared" si="1"/>
        <v>-0.61969077819207108</v>
      </c>
    </row>
    <row r="51" spans="2:5" x14ac:dyDescent="0.25">
      <c r="B51">
        <v>2010</v>
      </c>
      <c r="C51">
        <v>5436897.9001610102</v>
      </c>
      <c r="D51">
        <f t="shared" si="0"/>
        <v>15.508719217243074</v>
      </c>
      <c r="E51">
        <f t="shared" si="1"/>
        <v>0.1013402178583398</v>
      </c>
    </row>
    <row r="52" spans="2:5" x14ac:dyDescent="0.25">
      <c r="B52">
        <v>2011</v>
      </c>
      <c r="C52">
        <v>5520113.2301130099</v>
      </c>
      <c r="D52">
        <f t="shared" si="0"/>
        <v>15.523908930744527</v>
      </c>
      <c r="E52">
        <f t="shared" si="1"/>
        <v>1.5189713501452928E-2</v>
      </c>
    </row>
    <row r="53" spans="2:5" x14ac:dyDescent="0.25">
      <c r="B53">
        <v>2012</v>
      </c>
      <c r="C53">
        <v>3322918.2408336001</v>
      </c>
      <c r="D53">
        <f t="shared" si="0"/>
        <v>15.016353943011659</v>
      </c>
      <c r="E53">
        <f t="shared" si="1"/>
        <v>-0.50755498773286867</v>
      </c>
    </row>
    <row r="54" spans="2:5" x14ac:dyDescent="0.25">
      <c r="B54">
        <v>2013</v>
      </c>
      <c r="C54">
        <v>3074881.6220356901</v>
      </c>
      <c r="D54">
        <f t="shared" si="0"/>
        <v>14.938776961582768</v>
      </c>
      <c r="E54">
        <f t="shared" si="1"/>
        <v>-7.757698142889069E-2</v>
      </c>
    </row>
    <row r="55" spans="2:5" x14ac:dyDescent="0.25">
      <c r="B55">
        <v>2014</v>
      </c>
      <c r="C55">
        <v>5323139.5860894704</v>
      </c>
      <c r="D55">
        <f t="shared" si="0"/>
        <v>15.487573835010297</v>
      </c>
      <c r="E55">
        <f t="shared" si="1"/>
        <v>0.54879687342752881</v>
      </c>
    </row>
    <row r="56" spans="2:5" x14ac:dyDescent="0.25">
      <c r="B56">
        <v>2015</v>
      </c>
      <c r="C56">
        <v>6090439.2314824397</v>
      </c>
      <c r="D56">
        <f t="shared" si="0"/>
        <v>15.622230760481443</v>
      </c>
      <c r="E56">
        <f t="shared" si="1"/>
        <v>0.13465692547114649</v>
      </c>
    </row>
    <row r="57" spans="2:5" x14ac:dyDescent="0.25">
      <c r="B57">
        <v>2016</v>
      </c>
      <c r="C57">
        <v>5037024.1275040098</v>
      </c>
      <c r="D57">
        <f t="shared" si="0"/>
        <v>15.432326014770714</v>
      </c>
      <c r="E57">
        <f t="shared" si="1"/>
        <v>-0.18990474571072902</v>
      </c>
    </row>
    <row r="58" spans="2:5" x14ac:dyDescent="0.25">
      <c r="B58">
        <v>2017</v>
      </c>
      <c r="C58">
        <v>5975665.3717357498</v>
      </c>
      <c r="D58">
        <f t="shared" si="0"/>
        <v>15.603206008868181</v>
      </c>
      <c r="E58">
        <f t="shared" si="1"/>
        <v>0.17087999409746679</v>
      </c>
    </row>
    <row r="59" spans="2:5" x14ac:dyDescent="0.25">
      <c r="B59">
        <v>2018</v>
      </c>
      <c r="C59">
        <v>6926059.9819393205</v>
      </c>
      <c r="D59">
        <f t="shared" si="0"/>
        <v>15.750801664308291</v>
      </c>
      <c r="E59">
        <f t="shared" si="1"/>
        <v>0.14759565544011011</v>
      </c>
    </row>
    <row r="60" spans="2:5" x14ac:dyDescent="0.25">
      <c r="B60">
        <v>2019</v>
      </c>
      <c r="C60">
        <v>8824530.4354587495</v>
      </c>
      <c r="D60">
        <f t="shared" si="0"/>
        <v>15.993045950921415</v>
      </c>
      <c r="E60">
        <f t="shared" si="1"/>
        <v>0.2422442866131238</v>
      </c>
    </row>
    <row r="61" spans="2:5" x14ac:dyDescent="0.25">
      <c r="B61">
        <v>2020</v>
      </c>
      <c r="C61">
        <v>10102211.95616</v>
      </c>
      <c r="D61">
        <f t="shared" si="0"/>
        <v>16.128264963393669</v>
      </c>
      <c r="E61">
        <f t="shared" si="1"/>
        <v>0.13521901247225365</v>
      </c>
    </row>
    <row r="62" spans="2:5" x14ac:dyDescent="0.25">
      <c r="B62">
        <v>2021</v>
      </c>
      <c r="C62">
        <v>7180305.8734784704</v>
      </c>
      <c r="D62">
        <f t="shared" si="0"/>
        <v>15.786852540880039</v>
      </c>
      <c r="E62">
        <f t="shared" si="1"/>
        <v>-0.34141242251362947</v>
      </c>
    </row>
    <row r="63" spans="2:5" x14ac:dyDescent="0.25">
      <c r="B63">
        <v>2022</v>
      </c>
      <c r="C63">
        <v>6455406.8033160903</v>
      </c>
      <c r="D63">
        <f t="shared" si="0"/>
        <v>15.680428601704858</v>
      </c>
      <c r="E63">
        <f t="shared" si="1"/>
        <v>-0.10642393917518156</v>
      </c>
    </row>
    <row r="64" spans="2:5" x14ac:dyDescent="0.25">
      <c r="B64">
        <v>2023</v>
      </c>
      <c r="C64">
        <v>6895356.0309782596</v>
      </c>
      <c r="D64">
        <f t="shared" si="0"/>
        <v>15.746358703986413</v>
      </c>
      <c r="E64">
        <f t="shared" si="1"/>
        <v>6.5930102281555492E-2</v>
      </c>
    </row>
    <row r="65" spans="2:5" x14ac:dyDescent="0.25">
      <c r="B65">
        <v>2024</v>
      </c>
      <c r="C65">
        <v>3160468.8105251598</v>
      </c>
      <c r="D65">
        <f t="shared" si="0"/>
        <v>14.966230932320297</v>
      </c>
      <c r="E65">
        <f t="shared" si="1"/>
        <v>-0.78012777166611613</v>
      </c>
    </row>
    <row r="83" spans="1:23" x14ac:dyDescent="0.25">
      <c r="J83" t="s">
        <v>87</v>
      </c>
      <c r="K83" t="s">
        <v>88</v>
      </c>
    </row>
    <row r="84" spans="1:23" x14ac:dyDescent="0.25">
      <c r="A84" t="s">
        <v>89</v>
      </c>
      <c r="K84" t="s">
        <v>90</v>
      </c>
      <c r="P84">
        <f>0.0191*2024-22.841</f>
        <v>15.817399999999999</v>
      </c>
      <c r="Q84" t="s">
        <v>91</v>
      </c>
      <c r="S84" s="1">
        <f>EXP(P84)</f>
        <v>7403030.4898717636</v>
      </c>
      <c r="U84" t="s">
        <v>92</v>
      </c>
    </row>
    <row r="85" spans="1:23" x14ac:dyDescent="0.25">
      <c r="A85" t="s">
        <v>93</v>
      </c>
      <c r="R85" t="s">
        <v>24</v>
      </c>
      <c r="S85" t="s">
        <v>25</v>
      </c>
      <c r="T85" t="s">
        <v>26</v>
      </c>
      <c r="U85" t="s">
        <v>27</v>
      </c>
      <c r="W85" t="s">
        <v>28</v>
      </c>
    </row>
    <row r="86" spans="1:23" x14ac:dyDescent="0.25">
      <c r="B86" t="s">
        <v>94</v>
      </c>
      <c r="C86" t="s">
        <v>95</v>
      </c>
      <c r="D86" t="s">
        <v>29</v>
      </c>
      <c r="E86" s="12" t="s">
        <v>96</v>
      </c>
      <c r="F86" t="s">
        <v>97</v>
      </c>
      <c r="G86" t="s">
        <v>98</v>
      </c>
      <c r="H86" t="s">
        <v>99</v>
      </c>
      <c r="I86" t="s">
        <v>100</v>
      </c>
      <c r="J86" t="s">
        <v>101</v>
      </c>
      <c r="K86" t="s">
        <v>102</v>
      </c>
      <c r="L86" t="s">
        <v>103</v>
      </c>
      <c r="M86" t="s">
        <v>104</v>
      </c>
      <c r="N86" t="s">
        <v>105</v>
      </c>
      <c r="O86" t="s">
        <v>106</v>
      </c>
      <c r="P86" t="s">
        <v>107</v>
      </c>
    </row>
    <row r="87" spans="1:23" x14ac:dyDescent="0.25">
      <c r="A87">
        <v>249</v>
      </c>
      <c r="B87" t="s">
        <v>108</v>
      </c>
      <c r="C87" t="s">
        <v>18</v>
      </c>
      <c r="D87">
        <v>1963</v>
      </c>
      <c r="E87" s="12">
        <v>1796531.0083256201</v>
      </c>
      <c r="F87" s="12">
        <v>0</v>
      </c>
      <c r="G87" s="12">
        <v>486708.04620900803</v>
      </c>
      <c r="H87" s="12">
        <v>140335.02733075601</v>
      </c>
      <c r="I87" s="12">
        <v>452.49678874366202</v>
      </c>
      <c r="J87" s="12">
        <v>7813.4479114270098</v>
      </c>
      <c r="K87" s="12">
        <v>597027.88407066301</v>
      </c>
      <c r="L87" s="12">
        <v>563156.16456917895</v>
      </c>
      <c r="M87" s="12">
        <v>225.06115962982801</v>
      </c>
      <c r="N87" s="12">
        <v>0</v>
      </c>
      <c r="O87" s="12">
        <v>812.88028611797097</v>
      </c>
      <c r="P87" s="12">
        <v>9.5943466910808398E-8</v>
      </c>
      <c r="Q87" s="12"/>
      <c r="R87" s="13" t="e">
        <f>LN(F87)</f>
        <v>#NUM!</v>
      </c>
      <c r="S87">
        <f t="shared" ref="S87:T122" si="2">LN(G87)</f>
        <v>13.095419727858731</v>
      </c>
      <c r="T87" s="3">
        <f t="shared" si="2"/>
        <v>11.851787895164094</v>
      </c>
      <c r="U87" s="3"/>
      <c r="W87">
        <f t="shared" ref="W87:W122" si="3">LN(K87)</f>
        <v>13.299719098270037</v>
      </c>
    </row>
    <row r="88" spans="1:23" x14ac:dyDescent="0.25">
      <c r="A88">
        <v>250</v>
      </c>
      <c r="B88" t="s">
        <v>108</v>
      </c>
      <c r="C88" t="s">
        <v>18</v>
      </c>
      <c r="D88">
        <v>1964</v>
      </c>
      <c r="E88" s="12">
        <v>1943395.17687868</v>
      </c>
      <c r="F88" s="12">
        <v>0</v>
      </c>
      <c r="G88" s="12">
        <v>1072773.4584318399</v>
      </c>
      <c r="H88" s="12">
        <v>230912.963980456</v>
      </c>
      <c r="I88" s="12">
        <v>98.063654926906295</v>
      </c>
      <c r="J88" s="14">
        <v>4347.3174757781999</v>
      </c>
      <c r="K88" s="12">
        <v>532279.88294601406</v>
      </c>
      <c r="L88" s="12">
        <v>101204.339608585</v>
      </c>
      <c r="M88" s="12">
        <v>0</v>
      </c>
      <c r="N88" s="12">
        <v>0</v>
      </c>
      <c r="O88" s="12">
        <v>1666.4298161863101</v>
      </c>
      <c r="P88" s="12">
        <v>1.2451651590074301E-5</v>
      </c>
      <c r="Q88" s="12"/>
      <c r="R88" s="13" t="e">
        <f t="shared" ref="R88:R148" si="4">LN(F88)</f>
        <v>#NUM!</v>
      </c>
      <c r="S88">
        <f t="shared" si="2"/>
        <v>13.885757870181065</v>
      </c>
      <c r="T88" s="3">
        <f t="shared" si="2"/>
        <v>12.349796139199388</v>
      </c>
      <c r="U88" s="3">
        <f t="shared" ref="U88:U148" si="5">LN(H88/G87)</f>
        <v>-0.74562358865934275</v>
      </c>
      <c r="W88">
        <f t="shared" si="3"/>
        <v>13.184924725747107</v>
      </c>
    </row>
    <row r="89" spans="1:23" x14ac:dyDescent="0.25">
      <c r="A89">
        <v>251</v>
      </c>
      <c r="B89" t="s">
        <v>108</v>
      </c>
      <c r="C89" t="s">
        <v>18</v>
      </c>
      <c r="D89">
        <v>1965</v>
      </c>
      <c r="E89" s="12">
        <v>1222067.3645474999</v>
      </c>
      <c r="F89" s="12">
        <v>169.718122243648</v>
      </c>
      <c r="G89" s="12">
        <v>112176.05264524699</v>
      </c>
      <c r="H89" s="12">
        <v>286245.422621693</v>
      </c>
      <c r="I89" s="12">
        <v>6.4727013728203797E-9</v>
      </c>
      <c r="J89" s="12">
        <v>4331.4937152699604</v>
      </c>
      <c r="K89" s="12">
        <v>549352.74384663894</v>
      </c>
      <c r="L89" s="12">
        <v>266999.30142202601</v>
      </c>
      <c r="M89" s="12">
        <v>0</v>
      </c>
      <c r="N89" s="12">
        <v>0</v>
      </c>
      <c r="O89" s="12">
        <v>6.4726970413314E-9</v>
      </c>
      <c r="P89" s="12">
        <v>2792.6321743667199</v>
      </c>
      <c r="Q89" s="12"/>
      <c r="R89" s="13">
        <f t="shared" si="4"/>
        <v>5.1341389564245103</v>
      </c>
      <c r="S89">
        <f t="shared" si="2"/>
        <v>11.627824814756</v>
      </c>
      <c r="T89" s="3">
        <f t="shared" si="2"/>
        <v>12.564604842881485</v>
      </c>
      <c r="U89" s="3">
        <f t="shared" si="5"/>
        <v>-1.3211530272995804</v>
      </c>
      <c r="W89">
        <f t="shared" si="3"/>
        <v>13.216496034831469</v>
      </c>
    </row>
    <row r="90" spans="1:23" x14ac:dyDescent="0.25">
      <c r="A90">
        <v>252</v>
      </c>
      <c r="B90" t="s">
        <v>108</v>
      </c>
      <c r="C90" t="s">
        <v>18</v>
      </c>
      <c r="D90">
        <v>1966</v>
      </c>
      <c r="E90" s="12">
        <v>2884786.4946615999</v>
      </c>
      <c r="F90" s="12">
        <v>0</v>
      </c>
      <c r="G90" s="12">
        <v>130455.47924241801</v>
      </c>
      <c r="H90" s="12">
        <v>971787.01272611099</v>
      </c>
      <c r="I90" s="12">
        <v>2.76605304057993E-9</v>
      </c>
      <c r="J90" s="12">
        <v>5808.6456842616399</v>
      </c>
      <c r="K90" s="12">
        <v>330857.29299063602</v>
      </c>
      <c r="L90" s="2">
        <v>1443356.3012033801</v>
      </c>
      <c r="M90" s="12">
        <v>1.8440353600062799E-9</v>
      </c>
      <c r="N90" s="12">
        <v>0</v>
      </c>
      <c r="O90" s="12">
        <v>2521.7628147855298</v>
      </c>
      <c r="P90" s="12">
        <v>1.83998662892498E-9</v>
      </c>
      <c r="Q90" s="12"/>
      <c r="R90" s="13" t="e">
        <f t="shared" si="4"/>
        <v>#NUM!</v>
      </c>
      <c r="S90">
        <f t="shared" si="2"/>
        <v>11.778787292307687</v>
      </c>
      <c r="T90" s="3">
        <f t="shared" si="2"/>
        <v>13.786891936721926</v>
      </c>
      <c r="U90" s="3">
        <f t="shared" si="5"/>
        <v>2.1590671219659243</v>
      </c>
      <c r="W90">
        <f t="shared" si="3"/>
        <v>12.709442422390959</v>
      </c>
    </row>
    <row r="91" spans="1:23" x14ac:dyDescent="0.25">
      <c r="A91">
        <v>253</v>
      </c>
      <c r="B91" t="s">
        <v>108</v>
      </c>
      <c r="C91" t="s">
        <v>18</v>
      </c>
      <c r="D91">
        <v>1967</v>
      </c>
      <c r="E91" s="12">
        <v>1555050.9136540799</v>
      </c>
      <c r="F91" s="12">
        <v>742.75193671815202</v>
      </c>
      <c r="G91" s="12">
        <v>141943.78755416101</v>
      </c>
      <c r="H91" s="12">
        <v>262140.77805498501</v>
      </c>
      <c r="I91" s="12">
        <v>7771.3948685278301</v>
      </c>
      <c r="J91" s="12">
        <v>23215.309290773701</v>
      </c>
      <c r="K91" s="12">
        <v>396108.29775054503</v>
      </c>
      <c r="L91" s="12">
        <v>721523.18540640501</v>
      </c>
      <c r="M91" s="12">
        <v>1605.4087919518399</v>
      </c>
      <c r="N91" s="12">
        <v>0</v>
      </c>
      <c r="O91" s="12">
        <v>1.6234383160189299E-9</v>
      </c>
      <c r="P91" s="12">
        <v>3.2364636966898599E-9</v>
      </c>
      <c r="Q91" s="12"/>
      <c r="R91" s="13">
        <f t="shared" si="4"/>
        <v>6.6103621218359878</v>
      </c>
      <c r="S91">
        <f t="shared" si="2"/>
        <v>11.863186395914594</v>
      </c>
      <c r="T91" s="3">
        <f t="shared" si="2"/>
        <v>12.476636959258645</v>
      </c>
      <c r="U91" s="3">
        <f t="shared" si="5"/>
        <v>0.69784966695095774</v>
      </c>
      <c r="W91">
        <f t="shared" si="3"/>
        <v>12.889442932016049</v>
      </c>
    </row>
    <row r="92" spans="1:23" x14ac:dyDescent="0.25">
      <c r="A92">
        <v>254</v>
      </c>
      <c r="B92" t="s">
        <v>108</v>
      </c>
      <c r="C92" t="s">
        <v>18</v>
      </c>
      <c r="D92">
        <v>1968</v>
      </c>
      <c r="E92" s="12">
        <v>1822083.25424686</v>
      </c>
      <c r="F92" s="12">
        <v>12877.185306211</v>
      </c>
      <c r="G92" s="12">
        <v>342531.14715846698</v>
      </c>
      <c r="H92" s="12">
        <v>416187.28006877401</v>
      </c>
      <c r="I92" s="12">
        <v>1575.4188526139001</v>
      </c>
      <c r="J92" s="12">
        <v>34421.069393604397</v>
      </c>
      <c r="K92" s="2">
        <v>700969.83052858</v>
      </c>
      <c r="L92" s="12">
        <v>303500.94172107399</v>
      </c>
      <c r="M92" s="12">
        <v>1.9722809553504702E-9</v>
      </c>
      <c r="N92" s="12">
        <v>0</v>
      </c>
      <c r="O92" s="12">
        <v>6576.2013052545799</v>
      </c>
      <c r="P92" s="12">
        <v>3444.17991228032</v>
      </c>
      <c r="Q92" s="12"/>
      <c r="R92" s="13">
        <f t="shared" si="4"/>
        <v>9.4632124436502458</v>
      </c>
      <c r="S92">
        <f t="shared" si="2"/>
        <v>12.744117873158233</v>
      </c>
      <c r="T92" s="3">
        <f t="shared" si="2"/>
        <v>12.938890630410187</v>
      </c>
      <c r="U92" s="3">
        <f t="shared" si="5"/>
        <v>1.0757042344955925</v>
      </c>
      <c r="W92">
        <f t="shared" si="3"/>
        <v>13.460220127328208</v>
      </c>
    </row>
    <row r="93" spans="1:23" x14ac:dyDescent="0.25">
      <c r="A93">
        <v>255</v>
      </c>
      <c r="B93" t="s">
        <v>108</v>
      </c>
      <c r="C93" t="s">
        <v>18</v>
      </c>
      <c r="D93">
        <v>1969</v>
      </c>
      <c r="E93" s="12">
        <v>2641101.3196530999</v>
      </c>
      <c r="F93" s="12">
        <v>13371.0235626791</v>
      </c>
      <c r="G93" s="12">
        <v>634432.36261284002</v>
      </c>
      <c r="H93" s="12">
        <v>256174.066292445</v>
      </c>
      <c r="I93" s="12">
        <v>2.1516649224791699E-9</v>
      </c>
      <c r="J93" s="12">
        <v>37063.762308375197</v>
      </c>
      <c r="K93" s="12">
        <v>1275540.20852643</v>
      </c>
      <c r="L93" s="12">
        <v>418189.56515385897</v>
      </c>
      <c r="M93" s="12">
        <v>0</v>
      </c>
      <c r="N93" s="12">
        <v>0</v>
      </c>
      <c r="O93" s="12">
        <v>6330.3311964608401</v>
      </c>
      <c r="P93" s="12">
        <v>2.1539256010376398E-9</v>
      </c>
      <c r="Q93" s="12"/>
      <c r="R93" s="13">
        <f t="shared" si="4"/>
        <v>9.5008452238357659</v>
      </c>
      <c r="S93">
        <f t="shared" si="2"/>
        <v>13.360485960947498</v>
      </c>
      <c r="T93" s="3">
        <f t="shared" si="2"/>
        <v>12.453612438857705</v>
      </c>
      <c r="U93" s="3">
        <f t="shared" si="5"/>
        <v>-0.29050543430052872</v>
      </c>
      <c r="W93">
        <f t="shared" si="3"/>
        <v>14.058880339804052</v>
      </c>
    </row>
    <row r="94" spans="1:23" x14ac:dyDescent="0.25">
      <c r="A94">
        <v>256</v>
      </c>
      <c r="B94" t="s">
        <v>108</v>
      </c>
      <c r="C94" t="s">
        <v>18</v>
      </c>
      <c r="D94">
        <v>1970</v>
      </c>
      <c r="E94" s="12">
        <v>2689519.0939404601</v>
      </c>
      <c r="F94" s="12">
        <v>0</v>
      </c>
      <c r="G94" s="12">
        <v>918492.71589788306</v>
      </c>
      <c r="H94" s="12">
        <v>600345.06880086695</v>
      </c>
      <c r="I94" s="12">
        <v>0</v>
      </c>
      <c r="J94" s="12">
        <v>2025.0590145671699</v>
      </c>
      <c r="K94" s="12">
        <v>854534.67428490205</v>
      </c>
      <c r="L94" s="12">
        <v>309691.93413798901</v>
      </c>
      <c r="M94" s="12">
        <v>0</v>
      </c>
      <c r="N94" s="12">
        <v>0</v>
      </c>
      <c r="O94" s="12">
        <v>4429.6418042456698</v>
      </c>
      <c r="P94" s="12">
        <v>4.5560636906170298E-9</v>
      </c>
      <c r="Q94" s="12"/>
      <c r="R94" s="13" t="e">
        <f t="shared" si="4"/>
        <v>#NUM!</v>
      </c>
      <c r="S94">
        <f t="shared" si="2"/>
        <v>13.730489253173518</v>
      </c>
      <c r="T94" s="3">
        <f t="shared" si="2"/>
        <v>13.305259883551335</v>
      </c>
      <c r="U94" s="3">
        <f t="shared" si="5"/>
        <v>-5.5226077396163191E-2</v>
      </c>
      <c r="W94">
        <f t="shared" si="3"/>
        <v>13.658312359163771</v>
      </c>
    </row>
    <row r="95" spans="1:23" x14ac:dyDescent="0.25">
      <c r="A95">
        <v>257</v>
      </c>
      <c r="B95" t="s">
        <v>108</v>
      </c>
      <c r="C95" t="s">
        <v>18</v>
      </c>
      <c r="D95">
        <v>1971</v>
      </c>
      <c r="E95" s="12">
        <v>3658033.5728238602</v>
      </c>
      <c r="F95" s="12">
        <v>3584.5722149056401</v>
      </c>
      <c r="G95" s="12">
        <v>352459.44231070299</v>
      </c>
      <c r="H95" s="12">
        <v>2573069.5025562402</v>
      </c>
      <c r="I95" s="12">
        <v>2.8204899556117901E-8</v>
      </c>
      <c r="J95" s="12">
        <v>3786.9094459214498</v>
      </c>
      <c r="K95" s="12">
        <v>209617.74943016499</v>
      </c>
      <c r="L95" s="12">
        <v>515515.39686587098</v>
      </c>
      <c r="M95" s="12">
        <v>0</v>
      </c>
      <c r="N95" s="12">
        <v>0</v>
      </c>
      <c r="O95" s="12">
        <v>5.8292599889431998E-9</v>
      </c>
      <c r="P95" s="12">
        <v>6.6576893633481302E-9</v>
      </c>
      <c r="Q95" s="12"/>
      <c r="R95" s="13">
        <f t="shared" si="4"/>
        <v>8.1843944195276084</v>
      </c>
      <c r="S95">
        <f t="shared" si="2"/>
        <v>12.772690837340264</v>
      </c>
      <c r="T95" s="3">
        <f t="shared" si="2"/>
        <v>14.760610103163433</v>
      </c>
      <c r="U95" s="3">
        <f t="shared" si="5"/>
        <v>1.0301208499899153</v>
      </c>
      <c r="W95">
        <f t="shared" si="3"/>
        <v>12.253040910239498</v>
      </c>
    </row>
    <row r="96" spans="1:23" x14ac:dyDescent="0.25">
      <c r="A96">
        <v>258</v>
      </c>
      <c r="B96" t="s">
        <v>108</v>
      </c>
      <c r="C96" t="s">
        <v>18</v>
      </c>
      <c r="D96">
        <v>1972</v>
      </c>
      <c r="E96" s="12">
        <v>1468384.3368653799</v>
      </c>
      <c r="F96" s="12">
        <v>2.2438750981740199E-7</v>
      </c>
      <c r="G96" s="12">
        <v>126410.37116202401</v>
      </c>
      <c r="H96" s="12">
        <v>522756.82473591802</v>
      </c>
      <c r="I96" s="12">
        <v>2999.7536618385998</v>
      </c>
      <c r="J96" s="12">
        <v>0</v>
      </c>
      <c r="K96" s="12">
        <v>330689.34839889797</v>
      </c>
      <c r="L96" s="12">
        <v>485528.03890632401</v>
      </c>
      <c r="M96" s="12">
        <v>2.5753168106606499E-9</v>
      </c>
      <c r="N96" s="12">
        <v>0</v>
      </c>
      <c r="O96" s="12">
        <v>2.2497055053415299E-9</v>
      </c>
      <c r="P96" s="12">
        <v>4.1805061940865198E-9</v>
      </c>
      <c r="Q96" s="12"/>
      <c r="R96" s="13">
        <f t="shared" si="4"/>
        <v>-15.309891325197222</v>
      </c>
      <c r="S96">
        <f t="shared" si="2"/>
        <v>11.747288807661418</v>
      </c>
      <c r="T96" s="3">
        <f t="shared" si="2"/>
        <v>13.166871672654569</v>
      </c>
      <c r="U96" s="3">
        <f t="shared" si="5"/>
        <v>0.39418083531430603</v>
      </c>
      <c r="W96">
        <f t="shared" si="3"/>
        <v>12.708934689194724</v>
      </c>
    </row>
    <row r="97" spans="1:23" x14ac:dyDescent="0.25">
      <c r="A97">
        <v>259</v>
      </c>
      <c r="B97" t="s">
        <v>108</v>
      </c>
      <c r="C97" t="s">
        <v>18</v>
      </c>
      <c r="D97">
        <v>1973</v>
      </c>
      <c r="E97" s="12">
        <v>684258.617264956</v>
      </c>
      <c r="F97" s="12">
        <v>597.43981727207699</v>
      </c>
      <c r="G97" s="12">
        <v>45888.715801144703</v>
      </c>
      <c r="H97" s="12">
        <v>202856.847762463</v>
      </c>
      <c r="I97" s="12">
        <v>3.4427741804457801E-9</v>
      </c>
      <c r="J97" s="12">
        <v>4366.2246895690596</v>
      </c>
      <c r="K97" s="12">
        <v>88011.4566665741</v>
      </c>
      <c r="L97" s="12">
        <v>342019.37208176701</v>
      </c>
      <c r="M97" s="12">
        <v>518.56044614129598</v>
      </c>
      <c r="N97" s="12">
        <v>0</v>
      </c>
      <c r="O97" s="12">
        <v>2.8903838894705298E-9</v>
      </c>
      <c r="P97" s="12">
        <v>3.7795569448461701E-9</v>
      </c>
      <c r="Q97" s="12"/>
      <c r="R97" s="13">
        <f t="shared" si="4"/>
        <v>6.3926535545018064</v>
      </c>
      <c r="S97">
        <f t="shared" si="2"/>
        <v>10.733974522711948</v>
      </c>
      <c r="T97" s="3">
        <f t="shared" si="2"/>
        <v>12.220255825828989</v>
      </c>
      <c r="U97" s="3">
        <f t="shared" si="5"/>
        <v>0.4729670181675702</v>
      </c>
      <c r="W97">
        <f t="shared" si="3"/>
        <v>11.385222274379327</v>
      </c>
    </row>
    <row r="98" spans="1:23" x14ac:dyDescent="0.25">
      <c r="A98">
        <v>260</v>
      </c>
      <c r="B98" t="s">
        <v>108</v>
      </c>
      <c r="C98" t="s">
        <v>18</v>
      </c>
      <c r="D98">
        <v>1974</v>
      </c>
      <c r="E98" s="12">
        <v>1474643.47703418</v>
      </c>
      <c r="F98" s="12">
        <v>224.92471185022299</v>
      </c>
      <c r="G98" s="12">
        <v>161583.005489253</v>
      </c>
      <c r="H98" s="12">
        <v>240153.290060842</v>
      </c>
      <c r="I98" s="12">
        <v>257.02036465863699</v>
      </c>
      <c r="J98" s="12">
        <v>17756.179790792201</v>
      </c>
      <c r="K98" s="12">
        <v>837020.67828962801</v>
      </c>
      <c r="L98" s="12">
        <v>216580.35544954499</v>
      </c>
      <c r="M98" s="12">
        <v>456.55192596434699</v>
      </c>
      <c r="N98" s="12">
        <v>0</v>
      </c>
      <c r="O98" s="12">
        <v>611.47095164785298</v>
      </c>
      <c r="P98" s="12">
        <v>0</v>
      </c>
      <c r="Q98" s="12"/>
      <c r="R98" s="13">
        <f t="shared" si="4"/>
        <v>5.4157657322096551</v>
      </c>
      <c r="S98">
        <f t="shared" si="2"/>
        <v>11.992774255487353</v>
      </c>
      <c r="T98" s="3">
        <f t="shared" si="2"/>
        <v>12.389032707023452</v>
      </c>
      <c r="U98" s="3">
        <f t="shared" si="5"/>
        <v>1.6550581843115033</v>
      </c>
      <c r="W98">
        <f t="shared" si="3"/>
        <v>13.637604054410922</v>
      </c>
    </row>
    <row r="99" spans="1:23" x14ac:dyDescent="0.25">
      <c r="A99">
        <v>261</v>
      </c>
      <c r="B99" t="s">
        <v>108</v>
      </c>
      <c r="C99" t="s">
        <v>18</v>
      </c>
      <c r="D99">
        <v>1975</v>
      </c>
      <c r="E99" s="12">
        <v>3211149.7628003801</v>
      </c>
      <c r="F99" s="12">
        <v>2937.6726274664002</v>
      </c>
      <c r="G99" s="12">
        <v>349683.813048176</v>
      </c>
      <c r="H99" s="12">
        <v>281375.69635581598</v>
      </c>
      <c r="I99" s="12">
        <v>0</v>
      </c>
      <c r="J99" s="12">
        <v>17309.146778604099</v>
      </c>
      <c r="K99" s="12">
        <v>1549927.8418580999</v>
      </c>
      <c r="L99" s="12">
        <v>1007864.57887377</v>
      </c>
      <c r="M99" s="12">
        <v>2.4844308158190601E-9</v>
      </c>
      <c r="N99" s="12">
        <v>0</v>
      </c>
      <c r="O99" s="12">
        <v>2051.0132584437401</v>
      </c>
      <c r="P99" s="12">
        <v>4.9672726550777698E-9</v>
      </c>
      <c r="Q99" s="12"/>
      <c r="R99" s="13">
        <f t="shared" si="4"/>
        <v>7.9853729235227862</v>
      </c>
      <c r="S99">
        <f t="shared" si="2"/>
        <v>12.764784633870834</v>
      </c>
      <c r="T99" s="3">
        <f t="shared" si="2"/>
        <v>12.547446053037836</v>
      </c>
      <c r="U99" s="3">
        <f t="shared" si="5"/>
        <v>0.55467179755048268</v>
      </c>
      <c r="W99">
        <f t="shared" si="3"/>
        <v>14.25371893417184</v>
      </c>
    </row>
    <row r="100" spans="1:23" x14ac:dyDescent="0.25">
      <c r="A100">
        <v>262</v>
      </c>
      <c r="B100" t="s">
        <v>108</v>
      </c>
      <c r="C100" t="s">
        <v>18</v>
      </c>
      <c r="D100">
        <v>1976</v>
      </c>
      <c r="E100" s="12">
        <v>3200600.0853222399</v>
      </c>
      <c r="F100" s="12">
        <v>0</v>
      </c>
      <c r="G100" s="12">
        <v>228954.01877828001</v>
      </c>
      <c r="H100" s="12">
        <v>630688.13477531902</v>
      </c>
      <c r="I100" s="12">
        <v>0</v>
      </c>
      <c r="J100" s="12">
        <v>35045.756869881603</v>
      </c>
      <c r="K100" s="12">
        <v>1777139.5034952799</v>
      </c>
      <c r="L100" s="12">
        <v>504895.20674121601</v>
      </c>
      <c r="M100" s="12">
        <v>3.00904334352082E-9</v>
      </c>
      <c r="N100" s="12">
        <v>0</v>
      </c>
      <c r="O100" s="12">
        <v>17443.858142612899</v>
      </c>
      <c r="P100" s="12">
        <v>6433.6065196380096</v>
      </c>
      <c r="Q100" s="12"/>
      <c r="R100" s="13" t="e">
        <f t="shared" si="4"/>
        <v>#NUM!</v>
      </c>
      <c r="S100">
        <f t="shared" si="2"/>
        <v>12.34127647101387</v>
      </c>
      <c r="T100" s="3">
        <f t="shared" si="2"/>
        <v>13.354566779687907</v>
      </c>
      <c r="U100" s="3">
        <f t="shared" si="5"/>
        <v>0.58978214581707211</v>
      </c>
      <c r="W100">
        <f t="shared" si="3"/>
        <v>14.390515609117488</v>
      </c>
    </row>
    <row r="101" spans="1:23" x14ac:dyDescent="0.25">
      <c r="A101">
        <v>263</v>
      </c>
      <c r="B101" t="s">
        <v>108</v>
      </c>
      <c r="C101" t="s">
        <v>18</v>
      </c>
      <c r="D101">
        <v>1977</v>
      </c>
      <c r="E101" s="12">
        <v>2912820.4223966198</v>
      </c>
      <c r="F101" s="12">
        <v>1543.6011274811001</v>
      </c>
      <c r="G101" s="12">
        <v>610279.99428541795</v>
      </c>
      <c r="H101" s="12">
        <v>397107.99629444297</v>
      </c>
      <c r="I101" s="12">
        <v>1477.5948827478601</v>
      </c>
      <c r="J101" s="12">
        <v>254.932377735562</v>
      </c>
      <c r="K101" s="12">
        <v>359615.21558585903</v>
      </c>
      <c r="L101" s="12">
        <v>1537578.3921498</v>
      </c>
      <c r="M101" s="12">
        <v>0</v>
      </c>
      <c r="N101" s="12">
        <v>0</v>
      </c>
      <c r="O101" s="12">
        <v>1978.8822720653</v>
      </c>
      <c r="P101" s="12">
        <v>1726.4069156774999</v>
      </c>
      <c r="Q101" s="12"/>
      <c r="R101" s="13">
        <f t="shared" si="4"/>
        <v>7.3418733600862991</v>
      </c>
      <c r="S101">
        <f t="shared" si="2"/>
        <v>13.32167313786327</v>
      </c>
      <c r="T101" s="3">
        <f t="shared" si="2"/>
        <v>12.891963553643983</v>
      </c>
      <c r="U101" s="3">
        <f t="shared" si="5"/>
        <v>0.5506870826301129</v>
      </c>
      <c r="W101">
        <f t="shared" si="3"/>
        <v>12.79278989321465</v>
      </c>
    </row>
    <row r="102" spans="1:23" x14ac:dyDescent="0.25">
      <c r="A102">
        <v>264</v>
      </c>
      <c r="B102" t="s">
        <v>108</v>
      </c>
      <c r="C102" t="s">
        <v>18</v>
      </c>
      <c r="D102">
        <v>1978</v>
      </c>
      <c r="E102" s="12">
        <v>2256809.7992713</v>
      </c>
      <c r="F102" s="12">
        <v>1028.94870011592</v>
      </c>
      <c r="G102" s="12">
        <v>253898.57342573901</v>
      </c>
      <c r="H102" s="12">
        <v>715809.31159300404</v>
      </c>
      <c r="I102" s="12">
        <v>5083.5984199874301</v>
      </c>
      <c r="J102" s="12">
        <v>1832.3201198362999</v>
      </c>
      <c r="K102" s="12">
        <v>564688.75364575803</v>
      </c>
      <c r="L102" s="12">
        <v>676508.79796795605</v>
      </c>
      <c r="M102" s="12">
        <v>25169.992640246499</v>
      </c>
      <c r="N102" s="12">
        <v>0</v>
      </c>
      <c r="O102" s="12">
        <v>3617.87702547147</v>
      </c>
      <c r="P102" s="12">
        <v>9171.6257331768193</v>
      </c>
      <c r="Q102" s="12"/>
      <c r="R102" s="13">
        <f t="shared" si="4"/>
        <v>6.9362928804765396</v>
      </c>
      <c r="S102">
        <f t="shared" si="2"/>
        <v>12.444690149030821</v>
      </c>
      <c r="T102" s="3">
        <f t="shared" si="2"/>
        <v>13.481169085881314</v>
      </c>
      <c r="U102" s="3">
        <f t="shared" si="5"/>
        <v>0.1594959480180452</v>
      </c>
      <c r="W102">
        <f t="shared" si="3"/>
        <v>13.244029979836185</v>
      </c>
    </row>
    <row r="103" spans="1:23" x14ac:dyDescent="0.25">
      <c r="A103">
        <v>265</v>
      </c>
      <c r="B103" t="s">
        <v>108</v>
      </c>
      <c r="C103" t="s">
        <v>18</v>
      </c>
      <c r="D103">
        <v>1979</v>
      </c>
      <c r="E103" s="12">
        <v>2826605.6332160798</v>
      </c>
      <c r="F103" s="12">
        <v>4277.4505426073401</v>
      </c>
      <c r="G103" s="12">
        <v>456699.19046558102</v>
      </c>
      <c r="H103" s="12">
        <v>393360.19352707802</v>
      </c>
      <c r="I103" s="12">
        <v>3.8198420186900902E-9</v>
      </c>
      <c r="J103" s="12">
        <v>11804.211813981799</v>
      </c>
      <c r="K103" s="12">
        <v>1103750.0257327999</v>
      </c>
      <c r="L103" s="12">
        <v>850378.26248323405</v>
      </c>
      <c r="M103" s="12">
        <v>2646.6571685384001</v>
      </c>
      <c r="N103" s="12">
        <v>0</v>
      </c>
      <c r="O103" s="12">
        <v>3.8142582386669803E-9</v>
      </c>
      <c r="P103" s="12">
        <v>3689.6414822453698</v>
      </c>
      <c r="Q103" s="12"/>
      <c r="R103" s="13">
        <f t="shared" si="4"/>
        <v>8.3611124434802981</v>
      </c>
      <c r="S103">
        <f t="shared" si="2"/>
        <v>13.031780226597798</v>
      </c>
      <c r="T103" s="3">
        <f t="shared" si="2"/>
        <v>12.88248099407034</v>
      </c>
      <c r="U103" s="3">
        <f t="shared" si="5"/>
        <v>0.43779084503951871</v>
      </c>
      <c r="W103">
        <f t="shared" si="3"/>
        <v>13.914224054214282</v>
      </c>
    </row>
    <row r="104" spans="1:23" x14ac:dyDescent="0.25">
      <c r="A104">
        <v>266</v>
      </c>
      <c r="B104" t="s">
        <v>108</v>
      </c>
      <c r="C104" t="s">
        <v>18</v>
      </c>
      <c r="D104">
        <v>1980</v>
      </c>
      <c r="E104" s="12">
        <v>5080050.2978893099</v>
      </c>
      <c r="F104" s="12">
        <v>4428.8258091059397</v>
      </c>
      <c r="G104" s="12">
        <v>1013492.77841135</v>
      </c>
      <c r="H104" s="12">
        <v>1630147.3114509101</v>
      </c>
      <c r="I104" s="12">
        <v>1.6940201198567701E-5</v>
      </c>
      <c r="J104" s="12">
        <v>4422.7672335836996</v>
      </c>
      <c r="K104" s="12">
        <v>1539430.1636016699</v>
      </c>
      <c r="L104" s="12">
        <v>880689.55011026002</v>
      </c>
      <c r="M104" s="12">
        <v>0</v>
      </c>
      <c r="N104" s="12">
        <v>2.3080728824699199E-8</v>
      </c>
      <c r="O104" s="12">
        <v>7438.9012547132897</v>
      </c>
      <c r="P104" s="12">
        <v>2.07711446543433E-7</v>
      </c>
      <c r="Q104" s="12"/>
      <c r="R104" s="13">
        <f t="shared" si="4"/>
        <v>8.3958897735281699</v>
      </c>
      <c r="S104">
        <f t="shared" si="2"/>
        <v>13.828913119452999</v>
      </c>
      <c r="T104" s="3">
        <f t="shared" si="2"/>
        <v>14.304180943822617</v>
      </c>
      <c r="U104" s="3">
        <f t="shared" si="5"/>
        <v>1.2724007172248204</v>
      </c>
      <c r="W104">
        <f t="shared" si="3"/>
        <v>14.246922882278895</v>
      </c>
    </row>
    <row r="105" spans="1:23" x14ac:dyDescent="0.25">
      <c r="A105">
        <v>267</v>
      </c>
      <c r="B105" t="s">
        <v>108</v>
      </c>
      <c r="C105" t="s">
        <v>18</v>
      </c>
      <c r="D105">
        <v>1981</v>
      </c>
      <c r="E105" s="12">
        <v>8756831.2378845494</v>
      </c>
      <c r="F105" s="12">
        <v>393.05453001973598</v>
      </c>
      <c r="G105" s="12">
        <v>788791.18596214103</v>
      </c>
      <c r="H105" s="12">
        <v>4461321.0389003903</v>
      </c>
      <c r="I105" s="12">
        <v>0</v>
      </c>
      <c r="J105" s="12">
        <v>0</v>
      </c>
      <c r="K105" s="12">
        <v>1950161.3688523399</v>
      </c>
      <c r="L105" s="12">
        <v>1547265.50798596</v>
      </c>
      <c r="M105" s="12">
        <v>0</v>
      </c>
      <c r="N105" s="12">
        <v>0</v>
      </c>
      <c r="O105" s="12">
        <v>4586.4003768183402</v>
      </c>
      <c r="P105" s="12">
        <v>4.1716511661797104E-9</v>
      </c>
      <c r="Q105" s="12"/>
      <c r="R105" s="13">
        <f t="shared" si="4"/>
        <v>5.9739483554748025</v>
      </c>
      <c r="S105">
        <f t="shared" si="2"/>
        <v>13.578256908225047</v>
      </c>
      <c r="T105" s="3">
        <f t="shared" si="2"/>
        <v>15.310955477201425</v>
      </c>
      <c r="U105" s="3">
        <f t="shared" si="5"/>
        <v>1.4820423577484254</v>
      </c>
      <c r="W105">
        <f t="shared" si="3"/>
        <v>14.483422680373678</v>
      </c>
    </row>
    <row r="106" spans="1:23" x14ac:dyDescent="0.25">
      <c r="A106">
        <v>268</v>
      </c>
      <c r="B106" t="s">
        <v>108</v>
      </c>
      <c r="C106" t="s">
        <v>18</v>
      </c>
      <c r="D106">
        <v>1982</v>
      </c>
      <c r="E106" s="12">
        <v>4660805.78651175</v>
      </c>
      <c r="F106" s="12">
        <v>8951.0373695754206</v>
      </c>
      <c r="G106" s="12">
        <v>490173.61471983098</v>
      </c>
      <c r="H106" s="12">
        <v>2456927.5679794601</v>
      </c>
      <c r="I106" s="12">
        <v>24291.8103872053</v>
      </c>
      <c r="J106" s="12">
        <v>9730.5346978797606</v>
      </c>
      <c r="K106" s="12">
        <v>145843.80927559899</v>
      </c>
      <c r="L106" s="12">
        <v>1520143.7035449401</v>
      </c>
      <c r="M106" s="12">
        <v>4743.7085372534002</v>
      </c>
      <c r="N106" s="12">
        <v>0</v>
      </c>
      <c r="O106" s="12">
        <v>0</v>
      </c>
      <c r="P106" s="12">
        <v>0</v>
      </c>
      <c r="Q106" s="12"/>
      <c r="R106" s="13">
        <f t="shared" si="4"/>
        <v>9.0995247117673088</v>
      </c>
      <c r="S106">
        <f t="shared" si="2"/>
        <v>13.102514923086563</v>
      </c>
      <c r="T106" s="3">
        <f t="shared" si="2"/>
        <v>14.714422171206937</v>
      </c>
      <c r="U106" s="3">
        <f t="shared" si="5"/>
        <v>1.1361652629818906</v>
      </c>
      <c r="W106">
        <f t="shared" si="3"/>
        <v>11.890291528564363</v>
      </c>
    </row>
    <row r="107" spans="1:23" x14ac:dyDescent="0.25">
      <c r="A107">
        <v>269</v>
      </c>
      <c r="B107" t="s">
        <v>108</v>
      </c>
      <c r="C107" t="s">
        <v>18</v>
      </c>
      <c r="D107">
        <v>1983</v>
      </c>
      <c r="E107" s="12">
        <v>3308264.2484194301</v>
      </c>
      <c r="F107" s="12">
        <v>802.91602029996795</v>
      </c>
      <c r="G107" s="12">
        <v>1389278.69305605</v>
      </c>
      <c r="H107" s="12">
        <v>949602.27692846698</v>
      </c>
      <c r="I107" s="12">
        <v>74909.355827738298</v>
      </c>
      <c r="J107" s="12">
        <v>5950.05547355815</v>
      </c>
      <c r="K107" s="12">
        <v>631141.11252918805</v>
      </c>
      <c r="L107" s="12">
        <v>242958.82858196701</v>
      </c>
      <c r="M107" s="12">
        <v>10680.3978572139</v>
      </c>
      <c r="N107" s="12">
        <v>0</v>
      </c>
      <c r="O107" s="12">
        <v>4.4480613474468699E-9</v>
      </c>
      <c r="P107" s="12">
        <v>2940.61214493954</v>
      </c>
      <c r="Q107" s="12"/>
      <c r="R107" s="13">
        <f t="shared" si="4"/>
        <v>6.68825012603675</v>
      </c>
      <c r="S107">
        <f t="shared" si="2"/>
        <v>14.144295244559297</v>
      </c>
      <c r="T107" s="3">
        <f t="shared" si="2"/>
        <v>13.763798520051118</v>
      </c>
      <c r="U107" s="3">
        <f t="shared" si="5"/>
        <v>0.66128359696455574</v>
      </c>
      <c r="W107">
        <f t="shared" si="3"/>
        <v>13.355284749689465</v>
      </c>
    </row>
    <row r="108" spans="1:23" x14ac:dyDescent="0.25">
      <c r="A108">
        <v>270</v>
      </c>
      <c r="B108" t="s">
        <v>108</v>
      </c>
      <c r="C108" t="s">
        <v>18</v>
      </c>
      <c r="D108">
        <v>1984</v>
      </c>
      <c r="E108" s="12">
        <v>3876353.2650853102</v>
      </c>
      <c r="F108" s="12">
        <v>4917.3340904955903</v>
      </c>
      <c r="G108" s="12">
        <v>1059832.7874907299</v>
      </c>
      <c r="H108" s="12">
        <v>1322933.66374814</v>
      </c>
      <c r="I108" s="12">
        <v>2206.2049789725102</v>
      </c>
      <c r="J108" s="12">
        <v>17348.802724379701</v>
      </c>
      <c r="K108" s="12">
        <v>761179.38808281301</v>
      </c>
      <c r="L108" s="12">
        <v>704090.22788529401</v>
      </c>
      <c r="M108" s="12">
        <v>1393.6299949372001</v>
      </c>
      <c r="N108" s="12">
        <v>0</v>
      </c>
      <c r="O108" s="12">
        <v>958.34263840655001</v>
      </c>
      <c r="P108" s="12">
        <v>1492.88345113526</v>
      </c>
      <c r="Q108" s="12"/>
      <c r="R108" s="13">
        <f t="shared" si="4"/>
        <v>8.5005218111064789</v>
      </c>
      <c r="S108">
        <f t="shared" si="2"/>
        <v>13.873621705994525</v>
      </c>
      <c r="T108" s="3">
        <f t="shared" si="2"/>
        <v>14.095362301060062</v>
      </c>
      <c r="U108" s="3">
        <f t="shared" si="5"/>
        <v>-4.8932943499234216E-2</v>
      </c>
      <c r="W108">
        <f t="shared" si="3"/>
        <v>13.542624335848878</v>
      </c>
    </row>
    <row r="109" spans="1:23" x14ac:dyDescent="0.25">
      <c r="A109">
        <v>271</v>
      </c>
      <c r="B109" t="s">
        <v>108</v>
      </c>
      <c r="C109" t="s">
        <v>18</v>
      </c>
      <c r="D109">
        <v>1985</v>
      </c>
      <c r="E109" s="12">
        <v>4237309.7456493396</v>
      </c>
      <c r="F109" s="12">
        <v>5105.3350650537304</v>
      </c>
      <c r="G109" s="12">
        <v>772537.97707117395</v>
      </c>
      <c r="H109" s="12">
        <v>1633506.2452420599</v>
      </c>
      <c r="I109" s="12">
        <v>5049.5319336754501</v>
      </c>
      <c r="J109" s="12">
        <v>5872.9409303029497</v>
      </c>
      <c r="K109" s="12">
        <v>1344991.4053112699</v>
      </c>
      <c r="L109" s="12">
        <v>464176.51218222402</v>
      </c>
      <c r="M109" s="12">
        <v>3.9253620072663201E-9</v>
      </c>
      <c r="N109" s="12">
        <v>0</v>
      </c>
      <c r="O109" s="12">
        <v>6069.7979135674505</v>
      </c>
      <c r="P109" s="12">
        <v>3.9253521711766097E-9</v>
      </c>
      <c r="Q109" s="12"/>
      <c r="R109" s="13">
        <f t="shared" si="4"/>
        <v>8.53804136312732</v>
      </c>
      <c r="S109">
        <f t="shared" si="2"/>
        <v>13.557436447802846</v>
      </c>
      <c r="T109" s="3">
        <f t="shared" si="2"/>
        <v>14.306239333243417</v>
      </c>
      <c r="U109" s="3">
        <f t="shared" si="5"/>
        <v>0.43261762724888997</v>
      </c>
      <c r="W109">
        <f t="shared" si="3"/>
        <v>14.111898180894515</v>
      </c>
    </row>
    <row r="110" spans="1:23" x14ac:dyDescent="0.25">
      <c r="A110">
        <v>272</v>
      </c>
      <c r="B110" t="s">
        <v>108</v>
      </c>
      <c r="C110" t="s">
        <v>18</v>
      </c>
      <c r="D110">
        <v>1986</v>
      </c>
      <c r="E110" s="12">
        <v>3991315.6484711198</v>
      </c>
      <c r="F110" s="12">
        <v>2.0980280961650702E-9</v>
      </c>
      <c r="G110" s="12">
        <v>163880.66985914001</v>
      </c>
      <c r="H110" s="12">
        <v>2360631.3889430501</v>
      </c>
      <c r="I110" s="12">
        <v>11988.324016779199</v>
      </c>
      <c r="J110" s="12">
        <v>0</v>
      </c>
      <c r="K110" s="12">
        <v>592812.20035199495</v>
      </c>
      <c r="L110" s="12">
        <v>860503.65435635205</v>
      </c>
      <c r="M110" s="12">
        <v>2.1125490756234599E-9</v>
      </c>
      <c r="N110" s="12">
        <v>0</v>
      </c>
      <c r="O110" s="12">
        <v>2.1143973752199499E-9</v>
      </c>
      <c r="P110" s="12">
        <v>1499.41094379123</v>
      </c>
      <c r="Q110" s="12"/>
      <c r="R110" s="13">
        <f t="shared" si="4"/>
        <v>-19.982267935181582</v>
      </c>
      <c r="S110">
        <f t="shared" si="2"/>
        <v>12.006893819150257</v>
      </c>
      <c r="T110" s="3">
        <f t="shared" si="2"/>
        <v>14.674439678907701</v>
      </c>
      <c r="U110" s="3">
        <f t="shared" si="5"/>
        <v>1.1170032311048548</v>
      </c>
      <c r="W110">
        <f t="shared" si="3"/>
        <v>13.29263293364291</v>
      </c>
    </row>
    <row r="111" spans="1:23" x14ac:dyDescent="0.25">
      <c r="A111">
        <v>273</v>
      </c>
      <c r="B111" t="s">
        <v>108</v>
      </c>
      <c r="C111" t="s">
        <v>18</v>
      </c>
      <c r="D111">
        <v>1987</v>
      </c>
      <c r="E111" s="12">
        <v>2319010.0767258001</v>
      </c>
      <c r="F111" s="12">
        <v>248.558936247438</v>
      </c>
      <c r="G111" s="12">
        <v>179535.99759323901</v>
      </c>
      <c r="H111" s="12">
        <v>941344.98151650699</v>
      </c>
      <c r="I111" s="12">
        <v>18750.739899588301</v>
      </c>
      <c r="J111" s="12">
        <v>7908.8484469036403</v>
      </c>
      <c r="K111" s="12">
        <v>225871.890081394</v>
      </c>
      <c r="L111" s="12">
        <v>943847.47675232706</v>
      </c>
      <c r="M111" s="12">
        <v>1501.58349958441</v>
      </c>
      <c r="N111" s="12">
        <v>0</v>
      </c>
      <c r="O111" s="12">
        <v>2.4719352892394698E-9</v>
      </c>
      <c r="P111" s="12">
        <v>0</v>
      </c>
      <c r="Q111" s="12"/>
      <c r="R111" s="13">
        <f t="shared" si="4"/>
        <v>5.515679985414538</v>
      </c>
      <c r="S111">
        <f t="shared" si="2"/>
        <v>12.098131010499197</v>
      </c>
      <c r="T111" s="3">
        <f t="shared" si="2"/>
        <v>13.755064962982868</v>
      </c>
      <c r="U111" s="3">
        <f t="shared" si="5"/>
        <v>1.7481711438326109</v>
      </c>
      <c r="W111">
        <f t="shared" si="3"/>
        <v>12.327723259482729</v>
      </c>
    </row>
    <row r="112" spans="1:23" x14ac:dyDescent="0.25">
      <c r="A112">
        <v>274</v>
      </c>
      <c r="B112" t="s">
        <v>108</v>
      </c>
      <c r="C112" t="s">
        <v>18</v>
      </c>
      <c r="D112">
        <v>1988</v>
      </c>
      <c r="E112" s="12">
        <v>1962972.6339079801</v>
      </c>
      <c r="F112" s="12">
        <v>2109.9917252110799</v>
      </c>
      <c r="G112" s="12">
        <v>513736.30260592001</v>
      </c>
      <c r="H112" s="12">
        <v>556011.89752340096</v>
      </c>
      <c r="I112" s="12">
        <v>27630.3945395189</v>
      </c>
      <c r="J112" s="12">
        <v>30951.349178553101</v>
      </c>
      <c r="K112" s="12">
        <v>351039.263127891</v>
      </c>
      <c r="L112" s="12">
        <v>477076.06500003597</v>
      </c>
      <c r="M112" s="12">
        <v>4417.3702074373996</v>
      </c>
      <c r="N112" s="12">
        <v>0</v>
      </c>
      <c r="O112" s="12">
        <v>2.1936379791831901E-9</v>
      </c>
      <c r="P112" s="12">
        <v>2.19270795798612E-9</v>
      </c>
      <c r="Q112" s="12"/>
      <c r="R112" s="13">
        <f t="shared" si="4"/>
        <v>7.654439304761512</v>
      </c>
      <c r="S112">
        <f t="shared" si="2"/>
        <v>13.149465382842838</v>
      </c>
      <c r="T112" s="3">
        <f t="shared" si="2"/>
        <v>13.228544971427159</v>
      </c>
      <c r="U112" s="3">
        <f t="shared" si="5"/>
        <v>1.1304139609279629</v>
      </c>
      <c r="W112">
        <f t="shared" si="3"/>
        <v>12.768653356955276</v>
      </c>
    </row>
    <row r="113" spans="1:23" x14ac:dyDescent="0.25">
      <c r="A113">
        <v>275</v>
      </c>
      <c r="B113" t="s">
        <v>108</v>
      </c>
      <c r="C113" t="s">
        <v>18</v>
      </c>
      <c r="D113">
        <v>1989</v>
      </c>
      <c r="E113" s="12">
        <v>3669831.2953558001</v>
      </c>
      <c r="F113" s="12">
        <v>7751.9495698566798</v>
      </c>
      <c r="G113" s="12">
        <v>828787.44239460002</v>
      </c>
      <c r="H113" s="12">
        <v>827818.96554525394</v>
      </c>
      <c r="I113" s="12">
        <v>5897.07966071996</v>
      </c>
      <c r="J113" s="12">
        <v>31776.936589988702</v>
      </c>
      <c r="K113" s="12">
        <v>1575843.643555</v>
      </c>
      <c r="L113" s="12">
        <v>382132.65738626698</v>
      </c>
      <c r="M113" s="12">
        <v>7613.81865197156</v>
      </c>
      <c r="N113" s="12">
        <v>4.3813905561217802E-9</v>
      </c>
      <c r="O113" s="12">
        <v>4.4019029894151396E-9</v>
      </c>
      <c r="P113" s="12">
        <v>4.4024105789444902E-9</v>
      </c>
      <c r="Q113" s="12"/>
      <c r="R113" s="13">
        <f t="shared" si="4"/>
        <v>8.9556996481129971</v>
      </c>
      <c r="S113">
        <f t="shared" si="2"/>
        <v>13.627718998821653</v>
      </c>
      <c r="T113" s="3">
        <f t="shared" si="2"/>
        <v>13.626549768816218</v>
      </c>
      <c r="U113" s="3">
        <f t="shared" si="5"/>
        <v>0.47708438597337921</v>
      </c>
      <c r="W113">
        <f t="shared" si="3"/>
        <v>14.270301333535972</v>
      </c>
    </row>
    <row r="114" spans="1:23" x14ac:dyDescent="0.25">
      <c r="A114">
        <v>276</v>
      </c>
      <c r="B114" t="s">
        <v>108</v>
      </c>
      <c r="C114" t="s">
        <v>18</v>
      </c>
      <c r="D114">
        <v>1990</v>
      </c>
      <c r="E114" s="12">
        <v>8300331.6006911201</v>
      </c>
      <c r="F114" s="12">
        <v>4.6639114819481301E-9</v>
      </c>
      <c r="G114" s="12">
        <v>1858983.8254485801</v>
      </c>
      <c r="H114" s="12">
        <v>3274444.93950671</v>
      </c>
      <c r="I114" s="12">
        <v>12059.872515101</v>
      </c>
      <c r="J114" s="12">
        <v>2489.4807527399198</v>
      </c>
      <c r="K114" s="12">
        <v>1612753.36439599</v>
      </c>
      <c r="L114" s="12">
        <v>1527671.6691663</v>
      </c>
      <c r="M114" s="12">
        <v>4.6960461184165404E-9</v>
      </c>
      <c r="N114" s="12">
        <v>0</v>
      </c>
      <c r="O114" s="12">
        <v>4.6867550021817498E-9</v>
      </c>
      <c r="P114" s="12">
        <v>4.6921156395950303E-9</v>
      </c>
      <c r="Q114" s="12"/>
      <c r="R114" s="13">
        <f t="shared" si="4"/>
        <v>-19.183411367077436</v>
      </c>
      <c r="S114">
        <f t="shared" si="2"/>
        <v>14.435540565992561</v>
      </c>
      <c r="T114" s="3">
        <f t="shared" si="2"/>
        <v>15.001658928567345</v>
      </c>
      <c r="U114" s="3">
        <f t="shared" si="5"/>
        <v>1.3739399297456916</v>
      </c>
      <c r="W114">
        <f t="shared" si="3"/>
        <v>14.293453440516007</v>
      </c>
    </row>
    <row r="115" spans="1:23" x14ac:dyDescent="0.25">
      <c r="A115">
        <v>277</v>
      </c>
      <c r="B115" t="s">
        <v>108</v>
      </c>
      <c r="C115" t="s">
        <v>18</v>
      </c>
      <c r="D115">
        <v>1991</v>
      </c>
      <c r="E115" s="12">
        <v>9754424.6324957702</v>
      </c>
      <c r="F115" s="12">
        <v>0</v>
      </c>
      <c r="G115" s="12">
        <v>369590.25597383699</v>
      </c>
      <c r="H115" s="12">
        <v>6684278.9404058196</v>
      </c>
      <c r="I115" s="12">
        <v>54935.128784971203</v>
      </c>
      <c r="J115" s="12">
        <v>2471.6078581962001</v>
      </c>
      <c r="K115" s="12">
        <v>1219364.5269295699</v>
      </c>
      <c r="L115" s="12">
        <v>1407689.14807708</v>
      </c>
      <c r="M115" s="12">
        <v>1429.6201029449401</v>
      </c>
      <c r="N115" s="12">
        <v>0</v>
      </c>
      <c r="O115" s="12">
        <v>3.8466614768279704E-9</v>
      </c>
      <c r="P115" s="12">
        <v>3.8490292916876799E-9</v>
      </c>
      <c r="Q115" s="12"/>
      <c r="R115" s="13" t="e">
        <f t="shared" si="4"/>
        <v>#NUM!</v>
      </c>
      <c r="S115">
        <f t="shared" si="2"/>
        <v>12.820150254694987</v>
      </c>
      <c r="T115" s="3">
        <f t="shared" si="2"/>
        <v>15.715268900382869</v>
      </c>
      <c r="U115" s="3">
        <f t="shared" si="5"/>
        <v>1.2797283343903076</v>
      </c>
      <c r="W115">
        <f t="shared" si="3"/>
        <v>14.013840401438626</v>
      </c>
    </row>
    <row r="116" spans="1:23" x14ac:dyDescent="0.25">
      <c r="A116">
        <v>278</v>
      </c>
      <c r="B116" t="s">
        <v>108</v>
      </c>
      <c r="C116" t="s">
        <v>18</v>
      </c>
      <c r="D116">
        <v>1992</v>
      </c>
      <c r="E116" s="12">
        <v>5222906.7850653399</v>
      </c>
      <c r="F116" s="12">
        <v>1191.78261996315</v>
      </c>
      <c r="G116" s="12">
        <v>354737.96229919599</v>
      </c>
      <c r="H116" s="12">
        <v>1244917.68044809</v>
      </c>
      <c r="I116" s="12">
        <v>439131.494950736</v>
      </c>
      <c r="J116" s="12">
        <v>31753.372046588502</v>
      </c>
      <c r="K116" s="12">
        <v>616859.46985140699</v>
      </c>
      <c r="L116" s="12">
        <v>2484591.1239052</v>
      </c>
      <c r="M116" s="12">
        <v>37992.487835152497</v>
      </c>
      <c r="N116" s="12">
        <v>0</v>
      </c>
      <c r="O116" s="12">
        <v>4.5362226819211504E-9</v>
      </c>
      <c r="P116" s="12">
        <v>8662.4030464093103</v>
      </c>
      <c r="Q116" s="12"/>
      <c r="R116" s="13">
        <f t="shared" si="4"/>
        <v>7.0832054651919032</v>
      </c>
      <c r="S116">
        <f t="shared" si="2"/>
        <v>12.779134661533789</v>
      </c>
      <c r="T116" s="3">
        <f t="shared" si="2"/>
        <v>14.034579965572897</v>
      </c>
      <c r="U116" s="3">
        <f t="shared" si="5"/>
        <v>1.2144297108779107</v>
      </c>
      <c r="W116">
        <f t="shared" si="3"/>
        <v>13.332396513333473</v>
      </c>
    </row>
    <row r="117" spans="1:23" x14ac:dyDescent="0.25">
      <c r="A117">
        <v>279</v>
      </c>
      <c r="B117" t="s">
        <v>108</v>
      </c>
      <c r="C117" t="s">
        <v>18</v>
      </c>
      <c r="D117">
        <v>1993</v>
      </c>
      <c r="E117" s="12">
        <v>5577184.7624205304</v>
      </c>
      <c r="F117" s="12">
        <v>5.1013857153651398E-9</v>
      </c>
      <c r="G117" s="12">
        <v>360910.25953049498</v>
      </c>
      <c r="H117" s="12">
        <v>1120895.2596783401</v>
      </c>
      <c r="I117" s="12">
        <v>119538.615473596</v>
      </c>
      <c r="J117" s="12">
        <v>4535.8292455398196</v>
      </c>
      <c r="K117" s="12">
        <v>780077.42979102803</v>
      </c>
      <c r="L117" s="12">
        <v>3148639.6622401602</v>
      </c>
      <c r="M117" s="12">
        <v>41844.901944422498</v>
      </c>
      <c r="N117" s="12">
        <v>0</v>
      </c>
      <c r="O117" s="12">
        <v>5.1010994600749299E-9</v>
      </c>
      <c r="P117" s="12">
        <v>5.1011050368597E-9</v>
      </c>
      <c r="Q117" s="12"/>
      <c r="R117" s="13">
        <f t="shared" si="4"/>
        <v>-19.093753625227183</v>
      </c>
      <c r="S117">
        <f t="shared" si="2"/>
        <v>12.796384617853574</v>
      </c>
      <c r="T117" s="3">
        <f t="shared" si="2"/>
        <v>13.92963826296852</v>
      </c>
      <c r="U117" s="3">
        <f t="shared" si="5"/>
        <v>1.1505036014347318</v>
      </c>
      <c r="W117">
        <f t="shared" si="3"/>
        <v>13.567148462701793</v>
      </c>
    </row>
    <row r="118" spans="1:23" x14ac:dyDescent="0.25">
      <c r="A118">
        <v>280</v>
      </c>
      <c r="B118" t="s">
        <v>108</v>
      </c>
      <c r="C118" t="s">
        <v>18</v>
      </c>
      <c r="D118">
        <v>1994</v>
      </c>
      <c r="E118" s="12">
        <v>3700808.2410730598</v>
      </c>
      <c r="F118" s="12">
        <v>11436.804549615301</v>
      </c>
      <c r="G118" s="12">
        <v>659726.89678935194</v>
      </c>
      <c r="H118" s="12">
        <v>819386.62242311204</v>
      </c>
      <c r="I118" s="12">
        <v>18881.1758009103</v>
      </c>
      <c r="J118" s="12">
        <v>54894.243808705003</v>
      </c>
      <c r="K118" s="12">
        <v>1406718.53377192</v>
      </c>
      <c r="L118" s="12">
        <v>716195.40084192704</v>
      </c>
      <c r="M118" s="12">
        <v>11303.9694216425</v>
      </c>
      <c r="N118" s="12">
        <v>0</v>
      </c>
      <c r="O118" s="12">
        <v>4.9456324689915304E-9</v>
      </c>
      <c r="P118" s="12">
        <v>4.9350779860145497E-9</v>
      </c>
      <c r="Q118" s="12"/>
      <c r="R118" s="13">
        <f t="shared" si="4"/>
        <v>9.3445919033298939</v>
      </c>
      <c r="S118">
        <f t="shared" si="2"/>
        <v>13.39958123562336</v>
      </c>
      <c r="T118" s="3">
        <f t="shared" si="2"/>
        <v>13.61631131789758</v>
      </c>
      <c r="U118" s="3">
        <f t="shared" si="5"/>
        <v>0.81992670004400448</v>
      </c>
      <c r="W118">
        <f t="shared" si="3"/>
        <v>14.156770269014023</v>
      </c>
    </row>
    <row r="119" spans="1:23" x14ac:dyDescent="0.25">
      <c r="A119">
        <v>281</v>
      </c>
      <c r="B119" t="s">
        <v>108</v>
      </c>
      <c r="C119" t="s">
        <v>18</v>
      </c>
      <c r="D119">
        <v>1995</v>
      </c>
      <c r="E119" s="12">
        <v>3440141.64410542</v>
      </c>
      <c r="F119" s="12">
        <v>0</v>
      </c>
      <c r="G119" s="12">
        <v>451505.36426189798</v>
      </c>
      <c r="H119" s="12">
        <v>911101.43911156</v>
      </c>
      <c r="I119" s="12">
        <v>5.9856372683533304E-9</v>
      </c>
      <c r="J119" s="12">
        <v>2602.94848009323</v>
      </c>
      <c r="K119" s="12">
        <v>1531081.4602770901</v>
      </c>
      <c r="L119" s="12">
        <v>537975.15198208601</v>
      </c>
      <c r="M119" s="12">
        <v>3330.3436808655201</v>
      </c>
      <c r="N119" s="12">
        <v>0</v>
      </c>
      <c r="O119" s="12">
        <v>2544.9363118014398</v>
      </c>
      <c r="P119" s="12">
        <v>5.9856446377883201E-9</v>
      </c>
      <c r="Q119" s="12"/>
      <c r="R119" s="13" t="e">
        <f t="shared" si="4"/>
        <v>#NUM!</v>
      </c>
      <c r="S119">
        <f t="shared" si="2"/>
        <v>13.020342532747332</v>
      </c>
      <c r="T119" s="3">
        <f t="shared" si="2"/>
        <v>13.722409519232652</v>
      </c>
      <c r="U119" s="3">
        <f t="shared" si="5"/>
        <v>0.32282828360929233</v>
      </c>
      <c r="W119">
        <f t="shared" si="3"/>
        <v>14.241484880459565</v>
      </c>
    </row>
    <row r="120" spans="1:23" x14ac:dyDescent="0.25">
      <c r="A120">
        <v>282</v>
      </c>
      <c r="B120" t="s">
        <v>108</v>
      </c>
      <c r="C120" t="s">
        <v>18</v>
      </c>
      <c r="D120">
        <v>1996</v>
      </c>
      <c r="E120" s="12">
        <v>4662460.9270438496</v>
      </c>
      <c r="F120" s="12">
        <v>122.458983367356</v>
      </c>
      <c r="G120" s="12">
        <v>158742.82499043501</v>
      </c>
      <c r="H120" s="12">
        <v>3533615.6734382398</v>
      </c>
      <c r="I120" s="12">
        <v>5004.6831599917596</v>
      </c>
      <c r="J120" s="12">
        <v>487.36895056881599</v>
      </c>
      <c r="K120" s="12">
        <v>139216.17117608499</v>
      </c>
      <c r="L120" s="12">
        <v>819654.02495112002</v>
      </c>
      <c r="M120" s="12">
        <v>3.20761446136988E-9</v>
      </c>
      <c r="N120" s="12">
        <v>0</v>
      </c>
      <c r="O120" s="12">
        <v>3.2074845845759999E-9</v>
      </c>
      <c r="P120" s="12">
        <v>3.2086070200606899E-9</v>
      </c>
      <c r="Q120" s="12"/>
      <c r="R120" s="13">
        <f t="shared" si="4"/>
        <v>4.8077761442625802</v>
      </c>
      <c r="S120">
        <f t="shared" si="2"/>
        <v>11.975040718822882</v>
      </c>
      <c r="T120" s="3">
        <f t="shared" si="2"/>
        <v>15.077832174798607</v>
      </c>
      <c r="U120" s="3">
        <f t="shared" si="5"/>
        <v>2.0574896420512738</v>
      </c>
      <c r="W120">
        <f t="shared" si="3"/>
        <v>11.843783192376973</v>
      </c>
    </row>
    <row r="121" spans="1:23" x14ac:dyDescent="0.25">
      <c r="A121">
        <v>283</v>
      </c>
      <c r="B121" t="s">
        <v>108</v>
      </c>
      <c r="C121" t="s">
        <v>18</v>
      </c>
      <c r="D121">
        <v>1997</v>
      </c>
      <c r="E121" s="12">
        <v>1910810.1955949201</v>
      </c>
      <c r="F121" s="12">
        <v>4949.9230478320596</v>
      </c>
      <c r="G121" s="12">
        <v>352180.96521515597</v>
      </c>
      <c r="H121" s="12">
        <v>751849.02365249395</v>
      </c>
      <c r="I121" s="12">
        <v>62714.279737286197</v>
      </c>
      <c r="J121" s="12">
        <v>14445.3446731611</v>
      </c>
      <c r="K121" s="12">
        <v>282464.84735420201</v>
      </c>
      <c r="L121" s="12">
        <v>424425.07857696799</v>
      </c>
      <c r="M121" s="12">
        <v>16163.599681504</v>
      </c>
      <c r="N121" s="12">
        <v>1617.12580764688</v>
      </c>
      <c r="O121" s="12">
        <v>3.6850714492629999E-3</v>
      </c>
      <c r="P121" s="12">
        <v>3.6090758302614002E-3</v>
      </c>
      <c r="Q121" s="12"/>
      <c r="R121" s="13">
        <f t="shared" si="4"/>
        <v>8.507127309549384</v>
      </c>
      <c r="S121">
        <f t="shared" si="2"/>
        <v>12.771900428198038</v>
      </c>
      <c r="T121" s="3">
        <f t="shared" si="2"/>
        <v>13.530290816356146</v>
      </c>
      <c r="U121" s="3">
        <f t="shared" si="5"/>
        <v>1.5552500975332642</v>
      </c>
      <c r="W121">
        <f t="shared" si="3"/>
        <v>12.551309387681645</v>
      </c>
    </row>
    <row r="122" spans="1:23" x14ac:dyDescent="0.25">
      <c r="A122" s="15">
        <v>284</v>
      </c>
      <c r="B122" s="15" t="s">
        <v>108</v>
      </c>
      <c r="C122" s="15" t="s">
        <v>18</v>
      </c>
      <c r="D122" s="15">
        <v>1998</v>
      </c>
      <c r="E122" s="16">
        <v>2365116.3177929302</v>
      </c>
      <c r="F122" s="16">
        <v>8708.2254670475395</v>
      </c>
      <c r="G122" s="16">
        <v>504530.82753853098</v>
      </c>
      <c r="H122" s="16">
        <v>1121937.8079447499</v>
      </c>
      <c r="I122" s="16">
        <v>11956.294081423801</v>
      </c>
      <c r="J122" s="16">
        <v>17068.575962732299</v>
      </c>
      <c r="K122" s="16">
        <v>430638.54402284703</v>
      </c>
      <c r="L122" s="16">
        <v>265278.32372696599</v>
      </c>
      <c r="M122" s="16">
        <v>1458.4429029477701</v>
      </c>
      <c r="N122" s="16">
        <v>0</v>
      </c>
      <c r="O122" s="16">
        <v>3539.2761456807498</v>
      </c>
      <c r="P122" s="16">
        <v>1.5171219282595001E-9</v>
      </c>
      <c r="Q122" s="12"/>
      <c r="R122" s="13">
        <f t="shared" si="4"/>
        <v>9.0720233139631539</v>
      </c>
      <c r="S122">
        <f t="shared" si="2"/>
        <v>13.131384222039843</v>
      </c>
      <c r="T122" s="3">
        <f t="shared" si="2"/>
        <v>13.93056793388924</v>
      </c>
      <c r="U122" s="3">
        <f t="shared" si="5"/>
        <v>1.1586675056912021</v>
      </c>
      <c r="W122">
        <f t="shared" si="3"/>
        <v>12.973024372267872</v>
      </c>
    </row>
    <row r="123" spans="1:23" x14ac:dyDescent="0.25">
      <c r="A123">
        <v>285</v>
      </c>
      <c r="B123" t="s">
        <v>108</v>
      </c>
      <c r="C123" t="s">
        <v>18</v>
      </c>
      <c r="D123">
        <v>1999</v>
      </c>
      <c r="E123" s="12">
        <v>4701483.5904271398</v>
      </c>
      <c r="F123" s="12">
        <v>1386.1427025681901</v>
      </c>
      <c r="G123" s="12">
        <v>2425255.4996235399</v>
      </c>
      <c r="H123" s="12">
        <v>758141.95257232699</v>
      </c>
      <c r="I123" s="12">
        <v>24034.424789617002</v>
      </c>
      <c r="J123" s="12">
        <v>502.13946844096301</v>
      </c>
      <c r="K123" s="12">
        <v>730718.838285128</v>
      </c>
      <c r="L123" s="12">
        <v>761444.59298550501</v>
      </c>
      <c r="M123" s="12">
        <v>3.5315418997036301E-9</v>
      </c>
      <c r="N123" s="12">
        <v>0</v>
      </c>
      <c r="O123" s="12">
        <v>3.5318734126741602E-9</v>
      </c>
      <c r="P123" s="12">
        <v>3.5314595088856701E-9</v>
      </c>
      <c r="Q123" s="12"/>
      <c r="R123" s="13">
        <f t="shared" si="4"/>
        <v>7.2342801344557399</v>
      </c>
      <c r="S123">
        <f>LN(G123)</f>
        <v>14.701447437473176</v>
      </c>
      <c r="T123" s="3">
        <f>LN(H123)</f>
        <v>13.538625919614057</v>
      </c>
      <c r="U123" s="3">
        <f t="shared" si="5"/>
        <v>0.4072416975742153</v>
      </c>
      <c r="W123">
        <f>LN(K123)</f>
        <v>13.501784038595371</v>
      </c>
    </row>
    <row r="124" spans="1:23" x14ac:dyDescent="0.25">
      <c r="A124">
        <v>286</v>
      </c>
      <c r="B124" t="s">
        <v>108</v>
      </c>
      <c r="C124" t="s">
        <v>18</v>
      </c>
      <c r="D124">
        <v>2000</v>
      </c>
      <c r="E124" s="12">
        <v>3967486.10829848</v>
      </c>
      <c r="F124" s="12">
        <v>0</v>
      </c>
      <c r="G124" s="12">
        <v>340634.56610331603</v>
      </c>
      <c r="H124" s="12">
        <v>3130745.3281190102</v>
      </c>
      <c r="I124" s="12">
        <v>1696.1989313700501</v>
      </c>
      <c r="J124" s="12">
        <v>0</v>
      </c>
      <c r="K124" s="12">
        <v>117753.99951469</v>
      </c>
      <c r="L124" s="12">
        <v>376373.315808193</v>
      </c>
      <c r="M124" s="12">
        <v>0</v>
      </c>
      <c r="N124" s="12">
        <v>0</v>
      </c>
      <c r="O124" s="12">
        <v>2.08469981908446E-9</v>
      </c>
      <c r="P124" s="12">
        <v>2.08468311887446E-9</v>
      </c>
      <c r="Q124" s="12"/>
      <c r="R124" s="13"/>
      <c r="S124">
        <f t="shared" ref="S124:T148" si="6">LN(G124)</f>
        <v>12.738565527978336</v>
      </c>
      <c r="T124" s="3">
        <f t="shared" si="6"/>
        <v>14.956781658169</v>
      </c>
      <c r="U124" s="3">
        <f t="shared" si="5"/>
        <v>0.25533422069582401</v>
      </c>
      <c r="W124">
        <f t="shared" ref="W124:W148" si="7">LN(K124)</f>
        <v>11.676352977456308</v>
      </c>
    </row>
    <row r="125" spans="1:23" x14ac:dyDescent="0.25">
      <c r="A125">
        <v>287</v>
      </c>
      <c r="B125" t="s">
        <v>108</v>
      </c>
      <c r="C125" t="s">
        <v>18</v>
      </c>
      <c r="D125">
        <v>2001</v>
      </c>
      <c r="E125" s="12">
        <v>5991184.94059195</v>
      </c>
      <c r="F125" s="12">
        <v>1064.66804961309</v>
      </c>
      <c r="G125" s="12">
        <v>97471.497438125807</v>
      </c>
      <c r="H125" s="12">
        <v>5591154.3375817696</v>
      </c>
      <c r="I125" s="12">
        <v>68798.096091986794</v>
      </c>
      <c r="J125" s="12">
        <v>6840.81230471444</v>
      </c>
      <c r="K125" s="12">
        <v>49654.191527873198</v>
      </c>
      <c r="L125" s="12">
        <v>172127.94577070899</v>
      </c>
      <c r="M125" s="12">
        <v>2742.5567651360402</v>
      </c>
      <c r="N125" s="12">
        <v>0</v>
      </c>
      <c r="O125" s="12">
        <v>1.84895313593357E-9</v>
      </c>
      <c r="P125" s="12">
        <v>1.84865291955125E-9</v>
      </c>
      <c r="Q125" s="12"/>
      <c r="R125" s="13">
        <f t="shared" si="4"/>
        <v>6.9704183390538033</v>
      </c>
      <c r="S125">
        <f t="shared" si="6"/>
        <v>11.487315280280095</v>
      </c>
      <c r="T125" s="3">
        <f t="shared" si="6"/>
        <v>15.536696324274851</v>
      </c>
      <c r="U125" s="3">
        <f t="shared" si="5"/>
        <v>2.7981307962965154</v>
      </c>
      <c r="W125">
        <f t="shared" si="7"/>
        <v>10.812838087418044</v>
      </c>
    </row>
    <row r="126" spans="1:23" x14ac:dyDescent="0.25">
      <c r="A126">
        <v>288</v>
      </c>
      <c r="B126" t="s">
        <v>108</v>
      </c>
      <c r="C126" t="s">
        <v>18</v>
      </c>
      <c r="D126">
        <v>2002</v>
      </c>
      <c r="E126" s="12">
        <v>2813597.6574773602</v>
      </c>
      <c r="F126" s="12">
        <v>0</v>
      </c>
      <c r="G126" s="12">
        <v>595642.30028703599</v>
      </c>
      <c r="H126" s="12">
        <v>899635.54032314406</v>
      </c>
      <c r="I126" s="12">
        <v>107358.681417431</v>
      </c>
      <c r="J126" s="12">
        <v>1475.2079336621</v>
      </c>
      <c r="K126" s="12">
        <v>825499.87610383204</v>
      </c>
      <c r="L126" s="12">
        <v>379239.65467022202</v>
      </c>
      <c r="M126" s="12">
        <v>3335.4373463800598</v>
      </c>
      <c r="N126" s="12">
        <v>1.23481269281921E-9</v>
      </c>
      <c r="O126" s="12">
        <v>897.88325177975901</v>
      </c>
      <c r="P126" s="12">
        <v>256.53807193795598</v>
      </c>
      <c r="Q126" s="12"/>
      <c r="R126" s="13"/>
      <c r="S126">
        <f t="shared" si="6"/>
        <v>13.297395598571367</v>
      </c>
      <c r="T126" s="3">
        <f t="shared" si="6"/>
        <v>13.709745005093444</v>
      </c>
      <c r="U126" s="3">
        <f t="shared" si="5"/>
        <v>2.2224297248133484</v>
      </c>
      <c r="W126">
        <f t="shared" si="7"/>
        <v>13.623744392256096</v>
      </c>
    </row>
    <row r="127" spans="1:23" x14ac:dyDescent="0.25">
      <c r="A127">
        <v>289</v>
      </c>
      <c r="B127" t="s">
        <v>108</v>
      </c>
      <c r="C127" t="s">
        <v>18</v>
      </c>
      <c r="D127">
        <v>2003</v>
      </c>
      <c r="E127" s="12">
        <v>4861853.11575964</v>
      </c>
      <c r="F127" s="12">
        <v>2965.7954579215998</v>
      </c>
      <c r="G127" s="12">
        <v>713059.888060236</v>
      </c>
      <c r="H127" s="12">
        <v>1957153.56816868</v>
      </c>
      <c r="I127" s="12">
        <v>15456.492024888799</v>
      </c>
      <c r="J127" s="12">
        <v>7565.7414076630703</v>
      </c>
      <c r="K127" s="12">
        <v>553804.86029673705</v>
      </c>
      <c r="L127" s="12">
        <v>1604686.5529708001</v>
      </c>
      <c r="M127" s="12">
        <v>2675.55197780762</v>
      </c>
      <c r="N127" s="12">
        <v>0</v>
      </c>
      <c r="O127" s="12">
        <v>4484.6653949022102</v>
      </c>
      <c r="P127" s="12">
        <v>1.4792599096455799E-9</v>
      </c>
      <c r="Q127" s="12"/>
      <c r="R127" s="13">
        <f t="shared" si="4"/>
        <v>7.9949005580547325</v>
      </c>
      <c r="S127">
        <f t="shared" si="6"/>
        <v>13.477320690343479</v>
      </c>
      <c r="T127" s="3">
        <f t="shared" si="6"/>
        <v>14.487001714514982</v>
      </c>
      <c r="U127" s="3">
        <f t="shared" si="5"/>
        <v>1.189606115943614</v>
      </c>
      <c r="W127">
        <f t="shared" si="7"/>
        <v>13.224567665947617</v>
      </c>
    </row>
    <row r="128" spans="1:23" x14ac:dyDescent="0.25">
      <c r="A128">
        <v>290</v>
      </c>
      <c r="B128" t="s">
        <v>108</v>
      </c>
      <c r="C128" t="s">
        <v>18</v>
      </c>
      <c r="D128">
        <v>2004</v>
      </c>
      <c r="E128" s="12">
        <v>4066709.7034054999</v>
      </c>
      <c r="F128" s="12">
        <v>0</v>
      </c>
      <c r="G128" s="12">
        <v>1207028.8647542601</v>
      </c>
      <c r="H128" s="12">
        <v>1388588.2159808499</v>
      </c>
      <c r="I128" s="12">
        <v>17915.9922454029</v>
      </c>
      <c r="J128" s="12">
        <v>3.7248717353751799E-9</v>
      </c>
      <c r="K128" s="12">
        <v>707967.12169368705</v>
      </c>
      <c r="L128" s="12">
        <v>742520.17293670203</v>
      </c>
      <c r="M128" s="12">
        <v>2229.29097956638</v>
      </c>
      <c r="N128" s="12">
        <v>0</v>
      </c>
      <c r="O128" s="12">
        <v>3.73628209790541E-9</v>
      </c>
      <c r="P128" s="12">
        <v>3.7377937016262401E-9</v>
      </c>
      <c r="Q128" s="12"/>
      <c r="R128" s="13"/>
      <c r="S128">
        <f t="shared" si="6"/>
        <v>14.003672414254584</v>
      </c>
      <c r="T128" s="3">
        <f t="shared" si="6"/>
        <v>14.143798117006371</v>
      </c>
      <c r="U128" s="3">
        <f t="shared" si="5"/>
        <v>0.66647742666289278</v>
      </c>
      <c r="W128">
        <f t="shared" si="7"/>
        <v>13.470152933311814</v>
      </c>
    </row>
    <row r="129" spans="1:23" x14ac:dyDescent="0.25">
      <c r="A129">
        <v>291</v>
      </c>
      <c r="B129" t="s">
        <v>108</v>
      </c>
      <c r="C129" t="s">
        <v>18</v>
      </c>
      <c r="D129">
        <v>2005</v>
      </c>
      <c r="E129" s="12">
        <v>8765371.0062913205</v>
      </c>
      <c r="F129" s="12">
        <v>48568.928027286602</v>
      </c>
      <c r="G129" s="12">
        <v>484233.35531632201</v>
      </c>
      <c r="H129" s="12">
        <v>6824908.7778572896</v>
      </c>
      <c r="I129" s="12">
        <v>14886.7267398488</v>
      </c>
      <c r="J129" s="12">
        <v>10587.7927433843</v>
      </c>
      <c r="K129" s="12">
        <v>453896.90167534899</v>
      </c>
      <c r="L129" s="12">
        <v>927938.72717468196</v>
      </c>
      <c r="M129" s="12">
        <v>2.69184976413538E-9</v>
      </c>
      <c r="N129" s="12">
        <v>0</v>
      </c>
      <c r="O129" s="12">
        <v>2.69142243599772E-9</v>
      </c>
      <c r="P129" s="12">
        <v>2.69137713459147E-9</v>
      </c>
      <c r="Q129" s="12"/>
      <c r="R129" s="13">
        <f t="shared" si="4"/>
        <v>10.79073926442064</v>
      </c>
      <c r="S129">
        <f t="shared" si="6"/>
        <v>13.090322208590376</v>
      </c>
      <c r="T129" s="3">
        <f t="shared" si="6"/>
        <v>15.736089533064257</v>
      </c>
      <c r="U129" s="3">
        <f t="shared" si="5"/>
        <v>1.7324171188096735</v>
      </c>
      <c r="W129">
        <f t="shared" si="7"/>
        <v>13.025625362414097</v>
      </c>
    </row>
    <row r="130" spans="1:23" x14ac:dyDescent="0.25">
      <c r="A130">
        <v>292</v>
      </c>
      <c r="B130" t="s">
        <v>108</v>
      </c>
      <c r="C130" t="s">
        <v>18</v>
      </c>
      <c r="D130">
        <v>2006</v>
      </c>
      <c r="E130" s="12">
        <v>5342241.0853943201</v>
      </c>
      <c r="F130" s="12">
        <v>8942.0589031560503</v>
      </c>
      <c r="G130" s="12">
        <v>1471105.54402306</v>
      </c>
      <c r="H130" s="12">
        <v>2926493.29707033</v>
      </c>
      <c r="I130" s="12">
        <v>79276.559984244799</v>
      </c>
      <c r="J130" s="12">
        <v>1829.33528582607</v>
      </c>
      <c r="K130" s="12">
        <v>396239.388226401</v>
      </c>
      <c r="L130" s="12">
        <v>454432.11769895302</v>
      </c>
      <c r="M130" s="12">
        <v>1095.3671998575701</v>
      </c>
      <c r="N130" s="12">
        <v>0</v>
      </c>
      <c r="O130" s="12">
        <v>1732.04980263171</v>
      </c>
      <c r="P130" s="12">
        <v>1095.3671998575701</v>
      </c>
      <c r="Q130" s="12"/>
      <c r="R130" s="13">
        <f t="shared" si="4"/>
        <v>9.0985211440184894</v>
      </c>
      <c r="S130">
        <f t="shared" si="6"/>
        <v>14.201524746855402</v>
      </c>
      <c r="T130" s="3">
        <f t="shared" si="6"/>
        <v>14.889315437285479</v>
      </c>
      <c r="U130" s="3">
        <f t="shared" si="5"/>
        <v>1.7989932286951031</v>
      </c>
      <c r="W130">
        <f t="shared" si="7"/>
        <v>12.889773823313828</v>
      </c>
    </row>
    <row r="131" spans="1:23" x14ac:dyDescent="0.25">
      <c r="A131">
        <v>293</v>
      </c>
      <c r="B131" t="s">
        <v>108</v>
      </c>
      <c r="C131" t="s">
        <v>18</v>
      </c>
      <c r="D131">
        <v>2007</v>
      </c>
      <c r="E131" s="12">
        <v>8438491.6733139399</v>
      </c>
      <c r="F131" s="12">
        <v>0</v>
      </c>
      <c r="G131" s="12">
        <v>3692037.1925430899</v>
      </c>
      <c r="H131" s="12">
        <v>3683675.6780987601</v>
      </c>
      <c r="I131" s="12">
        <v>50778.732110537698</v>
      </c>
      <c r="J131" s="12">
        <v>3.2523510136595099E-9</v>
      </c>
      <c r="K131" s="12">
        <v>250688.43993716099</v>
      </c>
      <c r="L131" s="12">
        <v>761311.63062437705</v>
      </c>
      <c r="M131" s="12">
        <v>3.2481012929767998E-9</v>
      </c>
      <c r="N131" s="12">
        <v>0</v>
      </c>
      <c r="O131" s="12">
        <v>3.2493356738472201E-9</v>
      </c>
      <c r="P131" s="12">
        <v>4.8720200790733201E-9</v>
      </c>
      <c r="Q131" s="12"/>
      <c r="R131" s="13"/>
      <c r="S131">
        <f t="shared" si="6"/>
        <v>15.121688948374045</v>
      </c>
      <c r="T131" s="3">
        <f t="shared" si="6"/>
        <v>15.11942163722108</v>
      </c>
      <c r="U131" s="3">
        <f t="shared" si="5"/>
        <v>0.91789689036567912</v>
      </c>
      <c r="W131">
        <f t="shared" si="7"/>
        <v>12.431966171943071</v>
      </c>
    </row>
    <row r="132" spans="1:23" x14ac:dyDescent="0.25">
      <c r="A132">
        <v>294</v>
      </c>
      <c r="B132" t="s">
        <v>108</v>
      </c>
      <c r="C132" t="s">
        <v>18</v>
      </c>
      <c r="D132">
        <v>2008</v>
      </c>
      <c r="E132" s="12">
        <v>9129940.8836012408</v>
      </c>
      <c r="F132" s="12">
        <v>36671.947163967299</v>
      </c>
      <c r="G132" s="12">
        <v>986911.33689931803</v>
      </c>
      <c r="H132" s="12">
        <v>7549811.97513243</v>
      </c>
      <c r="I132" s="12">
        <v>93383.781823712503</v>
      </c>
      <c r="J132" s="12">
        <v>3321.2006996827199</v>
      </c>
      <c r="K132" s="12">
        <v>247183.18728972401</v>
      </c>
      <c r="L132" s="12">
        <v>209237.616578944</v>
      </c>
      <c r="M132" s="12">
        <v>3.3197771016641499E-9</v>
      </c>
      <c r="N132" s="12">
        <v>0</v>
      </c>
      <c r="O132" s="12">
        <v>3.3196055014094501E-9</v>
      </c>
      <c r="P132" s="12">
        <v>3.31964912707174E-9</v>
      </c>
      <c r="Q132" s="12"/>
      <c r="R132" s="13">
        <f t="shared" si="4"/>
        <v>10.509767359300231</v>
      </c>
      <c r="S132">
        <f t="shared" si="6"/>
        <v>13.802335483478169</v>
      </c>
      <c r="T132" s="3">
        <f t="shared" si="6"/>
        <v>15.83703321695913</v>
      </c>
      <c r="U132" s="3">
        <f t="shared" si="5"/>
        <v>0.71534426858508493</v>
      </c>
      <c r="W132">
        <f t="shared" si="7"/>
        <v>12.417884989670689</v>
      </c>
    </row>
    <row r="133" spans="1:23" x14ac:dyDescent="0.25">
      <c r="A133">
        <v>295</v>
      </c>
      <c r="B133" t="s">
        <v>108</v>
      </c>
      <c r="C133" t="s">
        <v>18</v>
      </c>
      <c r="D133">
        <v>2009</v>
      </c>
      <c r="E133" s="12">
        <v>4912919.8614532901</v>
      </c>
      <c r="F133" s="12">
        <v>50441.695996049602</v>
      </c>
      <c r="G133" s="12">
        <v>1302924.7710825</v>
      </c>
      <c r="H133" s="12">
        <v>1652172.7924814799</v>
      </c>
      <c r="I133" s="12">
        <v>279025.57895331201</v>
      </c>
      <c r="J133" s="12">
        <v>10574.3937923708</v>
      </c>
      <c r="K133" s="12">
        <v>979063.191611649</v>
      </c>
      <c r="L133" s="12">
        <v>615269.01427387202</v>
      </c>
      <c r="M133" s="12">
        <v>21791.888214921</v>
      </c>
      <c r="N133" s="12">
        <v>0</v>
      </c>
      <c r="O133" s="12">
        <v>1656.5350471316699</v>
      </c>
      <c r="P133" s="12">
        <v>0</v>
      </c>
      <c r="Q133" s="12"/>
      <c r="R133" s="13">
        <f t="shared" si="4"/>
        <v>10.828573413543113</v>
      </c>
      <c r="S133">
        <f t="shared" si="6"/>
        <v>14.080122119277158</v>
      </c>
      <c r="T133" s="3">
        <f t="shared" si="6"/>
        <v>14.317601823526386</v>
      </c>
      <c r="U133" s="3">
        <f t="shared" si="5"/>
        <v>0.51526634004821836</v>
      </c>
      <c r="W133">
        <f t="shared" si="7"/>
        <v>13.794351466530339</v>
      </c>
    </row>
    <row r="134" spans="1:23" x14ac:dyDescent="0.25">
      <c r="A134">
        <v>296</v>
      </c>
      <c r="B134" t="s">
        <v>108</v>
      </c>
      <c r="C134" t="s">
        <v>18</v>
      </c>
      <c r="D134">
        <v>2010</v>
      </c>
      <c r="E134" s="12">
        <v>5436897.8995730802</v>
      </c>
      <c r="F134" s="12">
        <v>17540.5492511427</v>
      </c>
      <c r="G134" s="12">
        <v>1657238.2775297801</v>
      </c>
      <c r="H134" s="12">
        <v>2255794.84990553</v>
      </c>
      <c r="I134" s="12">
        <v>15654.8697244098</v>
      </c>
      <c r="J134" s="12">
        <v>18821.2318274557</v>
      </c>
      <c r="K134" s="12">
        <v>801427.18788593705</v>
      </c>
      <c r="L134" s="12">
        <v>665454.38078784896</v>
      </c>
      <c r="M134" s="12">
        <v>4966.5526609647404</v>
      </c>
      <c r="N134" s="12">
        <v>0</v>
      </c>
      <c r="O134" s="12">
        <v>3.1301339215897401E-9</v>
      </c>
      <c r="P134" s="12">
        <v>0</v>
      </c>
      <c r="Q134" s="12"/>
      <c r="R134" s="13">
        <f t="shared" si="4"/>
        <v>9.7722705796401534</v>
      </c>
      <c r="S134">
        <f t="shared" si="6"/>
        <v>14.320663086631512</v>
      </c>
      <c r="T134" s="3">
        <f t="shared" si="6"/>
        <v>14.629012952139655</v>
      </c>
      <c r="U134" s="3">
        <f t="shared" si="5"/>
        <v>0.54889083286249796</v>
      </c>
      <c r="W134">
        <f t="shared" si="7"/>
        <v>13.594149402096543</v>
      </c>
    </row>
    <row r="135" spans="1:23" x14ac:dyDescent="0.25">
      <c r="A135">
        <v>297</v>
      </c>
      <c r="B135" t="s">
        <v>108</v>
      </c>
      <c r="C135" t="s">
        <v>18</v>
      </c>
      <c r="D135">
        <v>2011</v>
      </c>
      <c r="E135" s="12">
        <v>5520113.2306093499</v>
      </c>
      <c r="F135" s="12">
        <v>23086.895262958598</v>
      </c>
      <c r="G135" s="12">
        <v>1861894.7592203</v>
      </c>
      <c r="H135" s="12">
        <v>1928248.1182961001</v>
      </c>
      <c r="I135" s="12">
        <v>24685.001680994301</v>
      </c>
      <c r="J135" s="12">
        <v>14339.3566796502</v>
      </c>
      <c r="K135" s="12">
        <v>717671.06621628196</v>
      </c>
      <c r="L135" s="12">
        <v>947784.83686040703</v>
      </c>
      <c r="M135" s="12">
        <v>1408.8923666113401</v>
      </c>
      <c r="N135" s="12">
        <v>0</v>
      </c>
      <c r="O135" s="12">
        <v>2.5751982991952499E-9</v>
      </c>
      <c r="P135" s="12">
        <v>5.1471070220423904E-9</v>
      </c>
      <c r="Q135" s="12"/>
      <c r="R135" s="13">
        <f t="shared" si="4"/>
        <v>10.047020430897899</v>
      </c>
      <c r="S135">
        <f t="shared" si="6"/>
        <v>14.437105214931968</v>
      </c>
      <c r="T135" s="3">
        <f t="shared" si="6"/>
        <v>14.472122437934807</v>
      </c>
      <c r="U135" s="3">
        <f t="shared" si="5"/>
        <v>0.15145935130329463</v>
      </c>
      <c r="W135">
        <f t="shared" si="7"/>
        <v>13.48376661801206</v>
      </c>
    </row>
    <row r="136" spans="1:23" x14ac:dyDescent="0.25">
      <c r="A136">
        <v>298</v>
      </c>
      <c r="B136" t="s">
        <v>108</v>
      </c>
      <c r="C136" t="s">
        <v>18</v>
      </c>
      <c r="D136">
        <v>2012</v>
      </c>
      <c r="E136" s="12">
        <v>3322918.2410373702</v>
      </c>
      <c r="F136" s="12">
        <v>5414.9460641036903</v>
      </c>
      <c r="G136" s="12">
        <v>580269.33944772405</v>
      </c>
      <c r="H136" s="12">
        <v>1539525.3050987299</v>
      </c>
      <c r="I136" s="12">
        <v>33266.282320870399</v>
      </c>
      <c r="J136" s="12">
        <v>13079.8672665994</v>
      </c>
      <c r="K136" s="12">
        <v>645374.19922285003</v>
      </c>
      <c r="L136" s="12">
        <v>499064.36153670901</v>
      </c>
      <c r="M136" s="12">
        <v>4193.9207302548302</v>
      </c>
      <c r="N136" s="12">
        <v>0</v>
      </c>
      <c r="O136" s="12">
        <v>88.517653801589702</v>
      </c>
      <c r="P136" s="12">
        <v>2552.98404192116</v>
      </c>
      <c r="Q136" s="12"/>
      <c r="R136" s="13">
        <f t="shared" si="4"/>
        <v>8.5969181989244863</v>
      </c>
      <c r="S136">
        <f t="shared" si="6"/>
        <v>13.271247653090485</v>
      </c>
      <c r="T136" s="3">
        <f t="shared" si="6"/>
        <v>14.246984683430654</v>
      </c>
      <c r="U136" s="3">
        <f t="shared" si="5"/>
        <v>-0.19012053150131394</v>
      </c>
      <c r="W136">
        <f t="shared" si="7"/>
        <v>13.377585581387612</v>
      </c>
    </row>
    <row r="137" spans="1:23" x14ac:dyDescent="0.25">
      <c r="A137">
        <v>299</v>
      </c>
      <c r="B137" t="s">
        <v>108</v>
      </c>
      <c r="C137" t="s">
        <v>18</v>
      </c>
      <c r="D137">
        <v>2013</v>
      </c>
      <c r="E137" s="12">
        <v>3074881.6218167301</v>
      </c>
      <c r="F137" s="12">
        <v>97716.520382183895</v>
      </c>
      <c r="G137" s="12">
        <v>457482.25027506601</v>
      </c>
      <c r="H137" s="12">
        <v>1595287.0977614301</v>
      </c>
      <c r="I137" s="12">
        <v>31151.759922367401</v>
      </c>
      <c r="J137" s="12">
        <v>5755.8911854951402</v>
      </c>
      <c r="K137" s="12">
        <v>360751.12804429099</v>
      </c>
      <c r="L137" s="12">
        <v>524183.91149545502</v>
      </c>
      <c r="M137" s="12">
        <v>1305.01065664423</v>
      </c>
      <c r="N137" s="12">
        <v>0</v>
      </c>
      <c r="O137" s="12">
        <v>5.1938571267402801E-9</v>
      </c>
      <c r="P137" s="12">
        <v>79.371418684692202</v>
      </c>
      <c r="Q137" s="12"/>
      <c r="R137" s="13">
        <f t="shared" si="4"/>
        <v>11.489825916696187</v>
      </c>
      <c r="S137">
        <f t="shared" si="6"/>
        <v>13.033493365732111</v>
      </c>
      <c r="T137" s="3">
        <f t="shared" si="6"/>
        <v>14.282564276599786</v>
      </c>
      <c r="U137" s="3">
        <f t="shared" si="5"/>
        <v>1.0113166235092999</v>
      </c>
      <c r="W137">
        <f t="shared" si="7"/>
        <v>12.79594360357313</v>
      </c>
    </row>
    <row r="138" spans="1:23" x14ac:dyDescent="0.25">
      <c r="A138">
        <v>300</v>
      </c>
      <c r="B138" t="s">
        <v>108</v>
      </c>
      <c r="C138" t="s">
        <v>18</v>
      </c>
      <c r="D138">
        <v>2014</v>
      </c>
      <c r="E138" s="12">
        <v>5323139.5861578202</v>
      </c>
      <c r="F138" s="12">
        <v>82430.971980851697</v>
      </c>
      <c r="G138" s="12">
        <v>3220884.8110226402</v>
      </c>
      <c r="H138" s="12">
        <v>889893.76093709795</v>
      </c>
      <c r="I138" s="12">
        <v>6352.10549736133</v>
      </c>
      <c r="J138" s="12">
        <v>37968.617090444699</v>
      </c>
      <c r="K138" s="12">
        <v>396535.76060724503</v>
      </c>
      <c r="L138" s="12">
        <v>688888.40569972002</v>
      </c>
      <c r="M138" s="12">
        <v>92.576661226961306</v>
      </c>
      <c r="N138" s="12">
        <v>0</v>
      </c>
      <c r="O138" s="12">
        <v>3.3035660978766199E-9</v>
      </c>
      <c r="P138" s="12">
        <v>3.30273817841806E-9</v>
      </c>
      <c r="Q138" s="12"/>
      <c r="R138" s="13">
        <f t="shared" si="4"/>
        <v>11.319716518828821</v>
      </c>
      <c r="S138">
        <f t="shared" si="6"/>
        <v>14.9851666658057</v>
      </c>
      <c r="T138" s="3">
        <f t="shared" si="6"/>
        <v>13.698857364849591</v>
      </c>
      <c r="U138" s="3">
        <f t="shared" si="5"/>
        <v>0.6653639991174799</v>
      </c>
      <c r="W138">
        <f t="shared" si="7"/>
        <v>12.890521506676725</v>
      </c>
    </row>
    <row r="139" spans="1:23" x14ac:dyDescent="0.25">
      <c r="A139">
        <v>301</v>
      </c>
      <c r="B139" t="s">
        <v>108</v>
      </c>
      <c r="C139" t="s">
        <v>18</v>
      </c>
      <c r="D139">
        <v>2015</v>
      </c>
      <c r="E139" s="12">
        <v>6090439.2308988003</v>
      </c>
      <c r="F139" s="12">
        <v>11744.187403464701</v>
      </c>
      <c r="G139" s="12">
        <v>2215738.1961411</v>
      </c>
      <c r="H139" s="12">
        <v>2291356.3215908301</v>
      </c>
      <c r="I139" s="12">
        <v>564.22594389450603</v>
      </c>
      <c r="J139" s="12">
        <v>41339.210499692097</v>
      </c>
      <c r="K139" s="12">
        <v>1371746.6356786201</v>
      </c>
      <c r="L139" s="12">
        <v>157949.86210266201</v>
      </c>
      <c r="M139" s="12">
        <v>0</v>
      </c>
      <c r="N139" s="12">
        <v>0</v>
      </c>
      <c r="O139" s="12">
        <v>0.44487123153382502</v>
      </c>
      <c r="P139" s="12">
        <v>0</v>
      </c>
      <c r="Q139" s="12"/>
      <c r="R139" s="13">
        <f t="shared" si="4"/>
        <v>9.371113708106467</v>
      </c>
      <c r="S139">
        <f t="shared" si="6"/>
        <v>14.611096177334328</v>
      </c>
      <c r="T139" s="3">
        <f t="shared" si="6"/>
        <v>14.644654480372417</v>
      </c>
      <c r="U139" s="3">
        <f t="shared" si="5"/>
        <v>-0.34051218543328388</v>
      </c>
      <c r="W139">
        <f t="shared" si="7"/>
        <v>14.131595402342031</v>
      </c>
    </row>
    <row r="140" spans="1:23" x14ac:dyDescent="0.25">
      <c r="A140">
        <v>302</v>
      </c>
      <c r="B140" t="s">
        <v>108</v>
      </c>
      <c r="C140" t="s">
        <v>18</v>
      </c>
      <c r="D140">
        <v>2016</v>
      </c>
      <c r="E140" s="12">
        <v>5037024.1272555301</v>
      </c>
      <c r="F140" s="12">
        <v>61369.237159538403</v>
      </c>
      <c r="G140" s="12">
        <v>2391536.6975765098</v>
      </c>
      <c r="H140" s="12">
        <v>1311129.43620946</v>
      </c>
      <c r="I140" s="12">
        <v>1563.22080998603</v>
      </c>
      <c r="J140" s="12">
        <v>5726.8358481201403</v>
      </c>
      <c r="K140" s="12">
        <v>864071.633804588</v>
      </c>
      <c r="L140" s="12">
        <v>399926.54296178301</v>
      </c>
      <c r="M140" s="12">
        <v>1700.5228855315399</v>
      </c>
      <c r="N140" s="12">
        <v>0</v>
      </c>
      <c r="O140" s="12">
        <v>4.46012556820811E-9</v>
      </c>
      <c r="P140" s="12">
        <v>4.4599679813838797E-9</v>
      </c>
      <c r="Q140" s="12"/>
      <c r="R140" s="13">
        <f t="shared" si="4"/>
        <v>11.024663965120755</v>
      </c>
      <c r="S140">
        <f t="shared" si="6"/>
        <v>14.687446686988523</v>
      </c>
      <c r="T140" s="3">
        <f t="shared" si="6"/>
        <v>14.086399488771926</v>
      </c>
      <c r="U140" s="3">
        <f t="shared" si="5"/>
        <v>-0.52469668856240093</v>
      </c>
      <c r="W140">
        <f t="shared" si="7"/>
        <v>13.669410953845441</v>
      </c>
    </row>
    <row r="141" spans="1:23" x14ac:dyDescent="0.25">
      <c r="A141">
        <v>303</v>
      </c>
      <c r="B141" t="s">
        <v>108</v>
      </c>
      <c r="C141" t="s">
        <v>18</v>
      </c>
      <c r="D141">
        <v>2017</v>
      </c>
      <c r="E141" s="12">
        <v>5975665.3718311004</v>
      </c>
      <c r="F141" s="12">
        <v>32824.0604752215</v>
      </c>
      <c r="G141" s="12">
        <v>2742095.4073183602</v>
      </c>
      <c r="H141" s="12">
        <v>2012814.04076256</v>
      </c>
      <c r="I141" s="12">
        <v>74.800181199952107</v>
      </c>
      <c r="J141" s="12">
        <v>0</v>
      </c>
      <c r="K141" s="12">
        <v>616529.70987002598</v>
      </c>
      <c r="L141" s="12">
        <v>571249.20154918695</v>
      </c>
      <c r="M141" s="12">
        <v>0</v>
      </c>
      <c r="N141" s="12">
        <v>0</v>
      </c>
      <c r="O141" s="12">
        <v>12.759253485634099</v>
      </c>
      <c r="P141" s="12">
        <v>65.392421057560796</v>
      </c>
      <c r="Q141" s="12"/>
      <c r="R141" s="13">
        <f t="shared" si="4"/>
        <v>10.398917076528974</v>
      </c>
      <c r="S141">
        <f t="shared" si="6"/>
        <v>14.824232933290597</v>
      </c>
      <c r="T141" s="3">
        <f t="shared" si="6"/>
        <v>14.515044321200493</v>
      </c>
      <c r="U141" s="3">
        <f t="shared" si="5"/>
        <v>-0.17240236578802856</v>
      </c>
      <c r="W141">
        <f t="shared" si="7"/>
        <v>13.331861791617634</v>
      </c>
    </row>
    <row r="142" spans="1:23" x14ac:dyDescent="0.25">
      <c r="A142">
        <v>304</v>
      </c>
      <c r="B142" t="s">
        <v>108</v>
      </c>
      <c r="C142" t="s">
        <v>18</v>
      </c>
      <c r="D142">
        <v>2018</v>
      </c>
      <c r="E142" s="12">
        <v>6926059.9813795397</v>
      </c>
      <c r="F142" s="12">
        <v>38702.043387973499</v>
      </c>
      <c r="G142" s="12">
        <v>2955137.9957106798</v>
      </c>
      <c r="H142" s="12">
        <v>3315114.7347389301</v>
      </c>
      <c r="I142" s="12">
        <v>14097.7979561833</v>
      </c>
      <c r="J142" s="12">
        <v>2345.8814222317001</v>
      </c>
      <c r="K142" s="12">
        <v>228371.81633720201</v>
      </c>
      <c r="L142" s="12">
        <v>369747.82455905201</v>
      </c>
      <c r="M142" s="12">
        <v>1967.8834649512601</v>
      </c>
      <c r="N142" s="12">
        <v>0</v>
      </c>
      <c r="O142" s="12">
        <v>0</v>
      </c>
      <c r="P142" s="12">
        <v>540.20645191308699</v>
      </c>
      <c r="Q142" s="12"/>
      <c r="R142" s="13">
        <f t="shared" si="4"/>
        <v>10.563647678346793</v>
      </c>
      <c r="S142">
        <f t="shared" si="6"/>
        <v>14.899055906788035</v>
      </c>
      <c r="T142" s="3">
        <f t="shared" si="6"/>
        <v>15.014002791784135</v>
      </c>
      <c r="U142" s="3">
        <f t="shared" si="5"/>
        <v>0.18976985849353858</v>
      </c>
      <c r="W142">
        <f t="shared" si="7"/>
        <v>12.338730353078276</v>
      </c>
    </row>
    <row r="143" spans="1:23" x14ac:dyDescent="0.25">
      <c r="A143">
        <v>305</v>
      </c>
      <c r="B143" t="s">
        <v>108</v>
      </c>
      <c r="C143" t="s">
        <v>18</v>
      </c>
      <c r="D143">
        <v>2019</v>
      </c>
      <c r="E143" s="12">
        <v>8824530.4353730604</v>
      </c>
      <c r="F143" s="12">
        <v>1204.8765382774</v>
      </c>
      <c r="G143" s="12">
        <v>5261676.3512405502</v>
      </c>
      <c r="H143" s="12">
        <v>3159370.4546624399</v>
      </c>
      <c r="I143" s="12">
        <v>3882.0859105448599</v>
      </c>
      <c r="J143" s="12">
        <v>0.68285019627884802</v>
      </c>
      <c r="K143" s="12">
        <v>240535.02321217</v>
      </c>
      <c r="L143" s="12">
        <v>157853.499999327</v>
      </c>
      <c r="M143" s="12">
        <v>0</v>
      </c>
      <c r="N143" s="12">
        <v>0</v>
      </c>
      <c r="O143" s="12">
        <v>0</v>
      </c>
      <c r="P143" s="12">
        <v>7.4609595557948101</v>
      </c>
      <c r="Q143" s="12"/>
      <c r="R143" s="13">
        <f t="shared" si="4"/>
        <v>7.0941323828145109</v>
      </c>
      <c r="S143">
        <f t="shared" si="6"/>
        <v>15.475960231894964</v>
      </c>
      <c r="T143" s="3">
        <f t="shared" si="6"/>
        <v>14.965883342507427</v>
      </c>
      <c r="U143" s="3">
        <f t="shared" si="5"/>
        <v>6.6827435719390413E-2</v>
      </c>
      <c r="W143">
        <f t="shared" si="7"/>
        <v>12.390620984587249</v>
      </c>
    </row>
    <row r="144" spans="1:23" x14ac:dyDescent="0.25">
      <c r="A144">
        <v>306</v>
      </c>
      <c r="B144" t="s">
        <v>108</v>
      </c>
      <c r="C144" t="s">
        <v>18</v>
      </c>
      <c r="D144">
        <v>2020</v>
      </c>
      <c r="E144" s="12">
        <v>10102211.955522601</v>
      </c>
      <c r="F144" s="12">
        <v>57139.709659542903</v>
      </c>
      <c r="G144" s="12">
        <v>2594704.9917419599</v>
      </c>
      <c r="H144" s="12">
        <v>7055600.9866127102</v>
      </c>
      <c r="I144" s="12">
        <v>4.7268873845037303E-9</v>
      </c>
      <c r="J144" s="12">
        <v>4.7278590864972798E-9</v>
      </c>
      <c r="K144" s="12">
        <v>282087.10126034601</v>
      </c>
      <c r="L144" s="12">
        <v>112679.166248016</v>
      </c>
      <c r="M144" s="12">
        <v>0</v>
      </c>
      <c r="N144" s="12">
        <v>0</v>
      </c>
      <c r="O144" s="12">
        <v>4.727181838231E-9</v>
      </c>
      <c r="P144" s="12">
        <v>0</v>
      </c>
      <c r="Q144" s="12"/>
      <c r="R144" s="13">
        <f t="shared" si="4"/>
        <v>10.953254594559795</v>
      </c>
      <c r="S144">
        <f t="shared" si="6"/>
        <v>14.768983384783255</v>
      </c>
      <c r="T144" s="3">
        <f t="shared" si="6"/>
        <v>15.769332325553441</v>
      </c>
      <c r="U144" s="3">
        <f t="shared" si="5"/>
        <v>0.29337209365847683</v>
      </c>
      <c r="W144">
        <f t="shared" si="7"/>
        <v>12.549971171947359</v>
      </c>
    </row>
    <row r="145" spans="1:23" x14ac:dyDescent="0.25">
      <c r="A145">
        <v>307</v>
      </c>
      <c r="B145" t="s">
        <v>108</v>
      </c>
      <c r="C145" t="s">
        <v>18</v>
      </c>
      <c r="D145">
        <v>2021</v>
      </c>
      <c r="E145" s="12">
        <v>7180305.8740961002</v>
      </c>
      <c r="F145" s="12">
        <v>27602.540369382899</v>
      </c>
      <c r="G145" s="12">
        <v>4186127.6453765398</v>
      </c>
      <c r="H145" s="12">
        <v>2014709.36927467</v>
      </c>
      <c r="I145" s="12">
        <v>67852.586427852395</v>
      </c>
      <c r="J145" s="12">
        <v>7239.5381480281403</v>
      </c>
      <c r="K145" s="12">
        <v>423070.26948909601</v>
      </c>
      <c r="L145" s="12">
        <v>437104.72217669</v>
      </c>
      <c r="M145" s="12">
        <v>16599.202823375999</v>
      </c>
      <c r="N145" s="12">
        <v>1.04788125193027E-6</v>
      </c>
      <c r="O145" s="12">
        <v>1.04708052401707E-6</v>
      </c>
      <c r="P145" s="12">
        <v>1.0468409091139199E-6</v>
      </c>
      <c r="Q145" s="12"/>
      <c r="R145" s="13">
        <f t="shared" si="4"/>
        <v>10.225663089838548</v>
      </c>
      <c r="S145">
        <f t="shared" si="6"/>
        <v>15.247286674924156</v>
      </c>
      <c r="T145" s="3">
        <f t="shared" si="6"/>
        <v>14.515985509349667</v>
      </c>
      <c r="U145" s="3">
        <f t="shared" si="5"/>
        <v>-0.25299787543358682</v>
      </c>
      <c r="W145">
        <f t="shared" si="7"/>
        <v>12.95529356595536</v>
      </c>
    </row>
    <row r="146" spans="1:23" x14ac:dyDescent="0.25">
      <c r="A146">
        <v>308</v>
      </c>
      <c r="B146" t="s">
        <v>108</v>
      </c>
      <c r="C146" t="s">
        <v>18</v>
      </c>
      <c r="D146">
        <v>2022</v>
      </c>
      <c r="E146" s="12">
        <v>6455406.8033497101</v>
      </c>
      <c r="F146" s="12">
        <v>2534.02638492711</v>
      </c>
      <c r="G146" s="12">
        <v>2699792.5828704401</v>
      </c>
      <c r="H146" s="12">
        <v>2634429.6361697102</v>
      </c>
      <c r="I146" s="12">
        <v>5293.1903615320698</v>
      </c>
      <c r="J146" s="12">
        <v>4078.6055990408599</v>
      </c>
      <c r="K146" s="12">
        <v>783505.21879218402</v>
      </c>
      <c r="L146" s="12">
        <v>325060.98370174097</v>
      </c>
      <c r="M146" s="12">
        <v>1.0387687474784899E-6</v>
      </c>
      <c r="N146" s="12">
        <v>1.0392515403953199E-6</v>
      </c>
      <c r="O146" s="12">
        <v>712.55945974979204</v>
      </c>
      <c r="P146" s="12">
        <v>1.0387706293804499E-6</v>
      </c>
      <c r="Q146" s="12"/>
      <c r="R146" s="13">
        <f t="shared" si="4"/>
        <v>7.8375647731895874</v>
      </c>
      <c r="S146">
        <f t="shared" si="6"/>
        <v>14.808685506864565</v>
      </c>
      <c r="T146" s="3">
        <f t="shared" si="6"/>
        <v>14.784177259665842</v>
      </c>
      <c r="U146" s="3">
        <f t="shared" si="5"/>
        <v>-0.46310941525831467</v>
      </c>
      <c r="W146">
        <f t="shared" si="7"/>
        <v>13.571533001626717</v>
      </c>
    </row>
    <row r="147" spans="1:23" x14ac:dyDescent="0.25">
      <c r="A147">
        <v>309</v>
      </c>
      <c r="B147" t="s">
        <v>108</v>
      </c>
      <c r="C147" t="s">
        <v>18</v>
      </c>
      <c r="D147">
        <v>2023</v>
      </c>
      <c r="E147" s="12">
        <v>6895356.03057185</v>
      </c>
      <c r="F147" s="12">
        <v>34446.7134139708</v>
      </c>
      <c r="G147" s="12">
        <v>1164266.39693437</v>
      </c>
      <c r="H147" s="12">
        <v>4610666.9596486399</v>
      </c>
      <c r="I147" s="12">
        <v>86803.262905440701</v>
      </c>
      <c r="J147" s="12">
        <v>1364.76049122777</v>
      </c>
      <c r="K147" s="12">
        <v>242830.21972983101</v>
      </c>
      <c r="L147" s="12">
        <v>754343.91038111597</v>
      </c>
      <c r="M147" s="12">
        <v>2.7132352834261398E-3</v>
      </c>
      <c r="N147" s="12">
        <v>1.0147094845644099E-6</v>
      </c>
      <c r="O147" s="12">
        <v>633.80434489423305</v>
      </c>
      <c r="P147" s="12">
        <v>1.01372357436902E-6</v>
      </c>
      <c r="Q147" s="12"/>
      <c r="R147" s="13">
        <f t="shared" si="4"/>
        <v>10.447168870264388</v>
      </c>
      <c r="S147">
        <f t="shared" si="6"/>
        <v>13.967601744433978</v>
      </c>
      <c r="T147" s="3">
        <f t="shared" si="6"/>
        <v>15.343883081221536</v>
      </c>
      <c r="U147" s="3">
        <f t="shared" si="5"/>
        <v>0.53519757435697091</v>
      </c>
      <c r="W147">
        <f t="shared" si="7"/>
        <v>12.400117793889724</v>
      </c>
    </row>
    <row r="148" spans="1:23" x14ac:dyDescent="0.25">
      <c r="A148">
        <v>310</v>
      </c>
      <c r="B148" t="s">
        <v>108</v>
      </c>
      <c r="C148" t="s">
        <v>18</v>
      </c>
      <c r="D148">
        <v>2024</v>
      </c>
      <c r="E148" s="12">
        <v>3160468.8105251598</v>
      </c>
      <c r="F148" s="12">
        <v>630.19456032341498</v>
      </c>
      <c r="G148" s="12">
        <v>1532513.7724774799</v>
      </c>
      <c r="H148" s="12">
        <v>926915.42404317297</v>
      </c>
      <c r="I148" s="12">
        <v>38057.304751886397</v>
      </c>
      <c r="J148" s="12">
        <v>7.5446535233892494E-5</v>
      </c>
      <c r="K148" s="12">
        <v>424149.61342196102</v>
      </c>
      <c r="L148" s="12">
        <v>236366.55531382101</v>
      </c>
      <c r="M148" s="12">
        <v>1170.5601219821599</v>
      </c>
      <c r="N148" s="12">
        <v>1.01910246407671E-6</v>
      </c>
      <c r="O148" s="12">
        <v>665.385749921826</v>
      </c>
      <c r="P148" s="12">
        <v>1.01815219778214E-6</v>
      </c>
      <c r="Q148" s="12"/>
      <c r="R148" s="13">
        <f t="shared" si="4"/>
        <v>6.4460285976188549</v>
      </c>
      <c r="S148">
        <f t="shared" si="6"/>
        <v>14.242419933686856</v>
      </c>
      <c r="T148" s="3">
        <f t="shared" si="6"/>
        <v>13.739617604186336</v>
      </c>
      <c r="U148" s="3">
        <f t="shared" si="5"/>
        <v>-0.22798414024764344</v>
      </c>
      <c r="W148">
        <f t="shared" si="7"/>
        <v>12.957841533817243</v>
      </c>
    </row>
    <row r="150" spans="1:23" x14ac:dyDescent="0.25">
      <c r="C150" t="s">
        <v>109</v>
      </c>
      <c r="D150" t="s">
        <v>110</v>
      </c>
      <c r="E150" s="12">
        <f>AVERAGE(E123:E148)</f>
        <v>5858334.5702312291</v>
      </c>
      <c r="F150" s="12">
        <f t="shared" ref="F150:P150" si="8">AVERAGE(F123:F148)</f>
        <v>24785.719561324066</v>
      </c>
      <c r="G150" s="12">
        <f t="shared" si="8"/>
        <v>1878371.7035005502</v>
      </c>
      <c r="H150" s="12">
        <f t="shared" si="8"/>
        <v>2842436.0753499265</v>
      </c>
      <c r="I150" s="12">
        <f t="shared" si="8"/>
        <v>41611.913827187702</v>
      </c>
      <c r="J150" s="12">
        <f t="shared" si="8"/>
        <v>7490.6577930532612</v>
      </c>
      <c r="K150" s="12">
        <f t="shared" si="8"/>
        <v>527351.02229749458</v>
      </c>
      <c r="L150" s="12">
        <f t="shared" si="8"/>
        <v>532778.44257178833</v>
      </c>
      <c r="M150" s="12">
        <f t="shared" si="8"/>
        <v>2587.5083680576381</v>
      </c>
      <c r="N150" s="12">
        <f t="shared" si="8"/>
        <v>1.5854536744844341E-7</v>
      </c>
      <c r="O150" s="12">
        <f t="shared" si="8"/>
        <v>418.63864733157277</v>
      </c>
      <c r="P150" s="12">
        <f t="shared" si="8"/>
        <v>176.8200218877609</v>
      </c>
      <c r="R150" t="s">
        <v>111</v>
      </c>
      <c r="S150" s="2">
        <f>SUM(F150:P150)-SUM(G150,H150,K150,L150)</f>
        <v>77071.258218999021</v>
      </c>
    </row>
    <row r="151" spans="1:23" x14ac:dyDescent="0.25">
      <c r="D151" t="s">
        <v>112</v>
      </c>
      <c r="F151" s="17">
        <f>F150/$E$150</f>
        <v>4.2308473959939384E-3</v>
      </c>
      <c r="G151" s="17">
        <f t="shared" ref="G151:P151" si="9">G150/$E$150</f>
        <v>0.32063237102322251</v>
      </c>
      <c r="H151" s="17">
        <f t="shared" si="9"/>
        <v>0.48519524470206815</v>
      </c>
      <c r="I151" s="17">
        <f t="shared" si="9"/>
        <v>7.1030278875904617E-3</v>
      </c>
      <c r="J151" s="17">
        <f t="shared" si="9"/>
        <v>1.2786326392344649E-3</v>
      </c>
      <c r="K151" s="17">
        <f t="shared" si="9"/>
        <v>9.0017225198642067E-2</v>
      </c>
      <c r="L151" s="17">
        <f t="shared" si="9"/>
        <v>9.0943669431081925E-2</v>
      </c>
      <c r="M151" s="17">
        <f t="shared" si="9"/>
        <v>4.4167985577435345E-4</v>
      </c>
      <c r="N151" s="17">
        <f t="shared" si="9"/>
        <v>2.7063214903102677E-14</v>
      </c>
      <c r="O151" s="17">
        <f t="shared" si="9"/>
        <v>7.1460351455319678E-5</v>
      </c>
      <c r="P151" s="17">
        <f t="shared" si="9"/>
        <v>3.0182643167268237E-5</v>
      </c>
    </row>
    <row r="152" spans="1:23" x14ac:dyDescent="0.25">
      <c r="R152" t="s">
        <v>113</v>
      </c>
      <c r="T152">
        <v>5700000</v>
      </c>
      <c r="U152" t="s">
        <v>114</v>
      </c>
    </row>
    <row r="153" spans="1:23" x14ac:dyDescent="0.25">
      <c r="G153" t="s">
        <v>115</v>
      </c>
      <c r="K153" t="s">
        <v>116</v>
      </c>
    </row>
    <row r="154" spans="1:23" x14ac:dyDescent="0.25">
      <c r="H154" s="18" t="s">
        <v>117</v>
      </c>
    </row>
    <row r="155" spans="1:23" x14ac:dyDescent="0.25">
      <c r="Q155" t="s">
        <v>118</v>
      </c>
    </row>
    <row r="171" spans="3:26" x14ac:dyDescent="0.25">
      <c r="C171" t="s">
        <v>119</v>
      </c>
      <c r="K171" t="s">
        <v>120</v>
      </c>
      <c r="L171" s="12">
        <v>424149.61342196102</v>
      </c>
      <c r="M171" t="s">
        <v>121</v>
      </c>
      <c r="Q171" t="s">
        <v>122</v>
      </c>
    </row>
    <row r="172" spans="3:26" x14ac:dyDescent="0.25">
      <c r="C172" t="s">
        <v>123</v>
      </c>
      <c r="K172" t="s">
        <v>124</v>
      </c>
      <c r="L172">
        <v>1066.4000000000001</v>
      </c>
      <c r="M172">
        <v>0.4647</v>
      </c>
      <c r="N172" s="2">
        <f>L172*L171^M172</f>
        <v>439570.2084900958</v>
      </c>
      <c r="Q172" t="s">
        <v>120</v>
      </c>
      <c r="R172" s="12">
        <v>630</v>
      </c>
      <c r="S172">
        <f>LN(R172)</f>
        <v>6.4457198193855785</v>
      </c>
      <c r="T172" t="s">
        <v>125</v>
      </c>
    </row>
    <row r="173" spans="3:26" x14ac:dyDescent="0.25">
      <c r="Q173" t="s">
        <v>124</v>
      </c>
      <c r="R173">
        <v>11.637</v>
      </c>
      <c r="S173">
        <v>0.27960000000000002</v>
      </c>
      <c r="T173">
        <f>R173+S172*S173</f>
        <v>13.439223261500208</v>
      </c>
      <c r="U173" s="2">
        <f>EXP(T173)</f>
        <v>686405.10295290884</v>
      </c>
      <c r="V173" t="s">
        <v>126</v>
      </c>
      <c r="W173" t="s">
        <v>127</v>
      </c>
      <c r="Z173">
        <f>LN(780000)</f>
        <v>13.567049198665774</v>
      </c>
    </row>
    <row r="174" spans="3:26" x14ac:dyDescent="0.25">
      <c r="Q174" t="s">
        <v>128</v>
      </c>
      <c r="T174" t="s">
        <v>129</v>
      </c>
    </row>
    <row r="176" spans="3:26" ht="15.75" thickBot="1" x14ac:dyDescent="0.3">
      <c r="R176" t="s">
        <v>130</v>
      </c>
    </row>
    <row r="177" spans="3:20" ht="15.75" thickBot="1" x14ac:dyDescent="0.3">
      <c r="C177" s="19" t="s">
        <v>131</v>
      </c>
      <c r="D177" s="20"/>
      <c r="F177" s="20"/>
      <c r="G177" s="20"/>
      <c r="H177" s="20"/>
      <c r="I177" s="20"/>
      <c r="J177" s="20" t="s">
        <v>132</v>
      </c>
      <c r="K177" s="21"/>
      <c r="R177" t="s">
        <v>133</v>
      </c>
    </row>
    <row r="178" spans="3:20" ht="15.75" thickBot="1" x14ac:dyDescent="0.3">
      <c r="C178" s="22">
        <v>1.2</v>
      </c>
      <c r="D178" s="1">
        <v>636860</v>
      </c>
      <c r="E178" s="20" t="s">
        <v>134</v>
      </c>
      <c r="J178">
        <v>0.78</v>
      </c>
      <c r="K178" s="23"/>
      <c r="R178" t="s">
        <v>135</v>
      </c>
    </row>
    <row r="179" spans="3:20" x14ac:dyDescent="0.25">
      <c r="C179" s="22">
        <v>1.3</v>
      </c>
      <c r="D179" s="1">
        <v>1067529.4376952341</v>
      </c>
      <c r="E179" s="20" t="s">
        <v>136</v>
      </c>
      <c r="J179">
        <v>0.31</v>
      </c>
      <c r="K179" s="23"/>
      <c r="L179" t="s">
        <v>137</v>
      </c>
      <c r="R179" t="s">
        <v>138</v>
      </c>
      <c r="S179" s="2">
        <v>3160468.8105251598</v>
      </c>
      <c r="T179" t="s">
        <v>139</v>
      </c>
    </row>
    <row r="180" spans="3:20" x14ac:dyDescent="0.25">
      <c r="C180">
        <v>2.2000000000000002</v>
      </c>
      <c r="D180" s="2">
        <v>1057665.2050810473</v>
      </c>
      <c r="E180" t="s">
        <v>136</v>
      </c>
      <c r="J180">
        <v>2.19</v>
      </c>
      <c r="K180" s="23"/>
      <c r="L180" t="s">
        <v>140</v>
      </c>
    </row>
    <row r="181" spans="3:20" x14ac:dyDescent="0.25">
      <c r="C181" s="22">
        <v>2.2999999999999998</v>
      </c>
      <c r="D181" s="2">
        <v>439570.2084900958</v>
      </c>
      <c r="E181" t="s">
        <v>141</v>
      </c>
      <c r="J181">
        <v>0.37</v>
      </c>
      <c r="K181" s="23"/>
    </row>
    <row r="182" spans="3:20" x14ac:dyDescent="0.25">
      <c r="C182" s="22" t="s">
        <v>111</v>
      </c>
      <c r="D182" s="2">
        <v>77071.258218999021</v>
      </c>
      <c r="E182" t="s">
        <v>110</v>
      </c>
      <c r="K182" s="23"/>
    </row>
    <row r="183" spans="3:20" x14ac:dyDescent="0.25">
      <c r="C183" s="22" t="s">
        <v>142</v>
      </c>
      <c r="D183" s="1">
        <f>SUM(D178:D182)</f>
        <v>3278696.1094853766</v>
      </c>
      <c r="E183">
        <f>LN(D183)</f>
        <v>15.002956373729363</v>
      </c>
      <c r="J183">
        <v>3.66</v>
      </c>
      <c r="K183" s="23"/>
      <c r="L183" t="s">
        <v>143</v>
      </c>
      <c r="R183" s="2"/>
    </row>
    <row r="184" spans="3:20" ht="15.75" thickBot="1" x14ac:dyDescent="0.3">
      <c r="C184" s="24"/>
      <c r="D184" s="5" t="s">
        <v>144</v>
      </c>
      <c r="E184" s="5"/>
      <c r="F184" s="5"/>
      <c r="G184" s="5"/>
      <c r="H184" s="5"/>
      <c r="I184" s="5"/>
      <c r="J184" s="5"/>
      <c r="K184" s="25"/>
    </row>
    <row r="185" spans="3:20" x14ac:dyDescent="0.25">
      <c r="E185" t="s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2025-05-21T04:10:37Z</dcterms:modified>
</cp:coreProperties>
</file>