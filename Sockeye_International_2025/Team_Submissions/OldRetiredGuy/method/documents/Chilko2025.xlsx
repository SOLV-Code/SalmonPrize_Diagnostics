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13_ncr:1_{5BE57FCE-BC34-41B3-8053-22F0D6C54F52}" xr6:coauthVersionLast="47" xr6:coauthVersionMax="47" xr10:uidLastSave="{00000000-0000-0000-0000-000000000000}"/>
  <bookViews>
    <workbookView xWindow="-120" yWindow="-120" windowWidth="29040" windowHeight="15720" activeTab="2" xr2:uid="{F2506C93-5B32-4D82-B9C1-43481305A108}"/>
  </bookViews>
  <sheets>
    <sheet name="Cors" sheetId="5" r:id="rId1"/>
    <sheet name="ENVIRO" sheetId="8" r:id="rId2"/>
    <sheet name="MAINPRED" sheetId="9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3" i="9" l="1"/>
  <c r="K153" i="9" s="1"/>
  <c r="M152" i="9"/>
  <c r="R151" i="9"/>
  <c r="P151" i="9"/>
  <c r="O151" i="9"/>
  <c r="M151" i="9"/>
  <c r="R150" i="9"/>
  <c r="Q150" i="9"/>
  <c r="P150" i="9"/>
  <c r="O150" i="9"/>
  <c r="M150" i="9"/>
  <c r="R149" i="9"/>
  <c r="Q149" i="9"/>
  <c r="P149" i="9"/>
  <c r="O149" i="9"/>
  <c r="M149" i="9"/>
  <c r="R148" i="9"/>
  <c r="Q148" i="9"/>
  <c r="P148" i="9"/>
  <c r="O148" i="9"/>
  <c r="M148" i="9"/>
  <c r="R147" i="9"/>
  <c r="Q147" i="9"/>
  <c r="P147" i="9"/>
  <c r="O147" i="9"/>
  <c r="M147" i="9"/>
  <c r="R146" i="9"/>
  <c r="Q146" i="9"/>
  <c r="P146" i="9"/>
  <c r="O146" i="9"/>
  <c r="M146" i="9"/>
  <c r="R145" i="9"/>
  <c r="Q145" i="9"/>
  <c r="P145" i="9"/>
  <c r="O145" i="9"/>
  <c r="M145" i="9"/>
  <c r="R144" i="9"/>
  <c r="Q144" i="9"/>
  <c r="P144" i="9"/>
  <c r="O144" i="9"/>
  <c r="M144" i="9"/>
  <c r="R143" i="9"/>
  <c r="Q143" i="9"/>
  <c r="P143" i="9"/>
  <c r="O143" i="9"/>
  <c r="M143" i="9"/>
  <c r="R142" i="9"/>
  <c r="Q142" i="9"/>
  <c r="P142" i="9"/>
  <c r="O142" i="9"/>
  <c r="M142" i="9"/>
  <c r="R141" i="9"/>
  <c r="Q141" i="9"/>
  <c r="P141" i="9"/>
  <c r="O141" i="9"/>
  <c r="M141" i="9"/>
  <c r="R140" i="9"/>
  <c r="Q140" i="9"/>
  <c r="P140" i="9"/>
  <c r="O140" i="9"/>
  <c r="M140" i="9"/>
  <c r="R139" i="9"/>
  <c r="Q139" i="9"/>
  <c r="P139" i="9"/>
  <c r="O139" i="9"/>
  <c r="M139" i="9"/>
  <c r="R138" i="9"/>
  <c r="Q138" i="9"/>
  <c r="P138" i="9"/>
  <c r="O138" i="9"/>
  <c r="M138" i="9"/>
  <c r="R137" i="9"/>
  <c r="Q137" i="9"/>
  <c r="P137" i="9"/>
  <c r="O137" i="9"/>
  <c r="M137" i="9"/>
  <c r="R136" i="9"/>
  <c r="Q136" i="9"/>
  <c r="P136" i="9"/>
  <c r="O136" i="9"/>
  <c r="M136" i="9"/>
  <c r="R135" i="9"/>
  <c r="Q135" i="9"/>
  <c r="P135" i="9"/>
  <c r="O135" i="9"/>
  <c r="M135" i="9"/>
  <c r="R134" i="9"/>
  <c r="Q134" i="9"/>
  <c r="P134" i="9"/>
  <c r="O134" i="9"/>
  <c r="M134" i="9"/>
  <c r="R133" i="9"/>
  <c r="Q133" i="9"/>
  <c r="P133" i="9"/>
  <c r="O133" i="9"/>
  <c r="M133" i="9"/>
  <c r="R132" i="9"/>
  <c r="Q132" i="9"/>
  <c r="P132" i="9"/>
  <c r="O132" i="9"/>
  <c r="M132" i="9"/>
  <c r="R131" i="9"/>
  <c r="Q131" i="9"/>
  <c r="P131" i="9"/>
  <c r="O131" i="9"/>
  <c r="M131" i="9"/>
  <c r="R130" i="9"/>
  <c r="Q130" i="9"/>
  <c r="P130" i="9"/>
  <c r="O130" i="9"/>
  <c r="M130" i="9"/>
  <c r="R129" i="9"/>
  <c r="Q129" i="9"/>
  <c r="P129" i="9"/>
  <c r="O129" i="9"/>
  <c r="M129" i="9"/>
  <c r="R128" i="9"/>
  <c r="Q128" i="9"/>
  <c r="P128" i="9"/>
  <c r="O128" i="9"/>
  <c r="M128" i="9"/>
  <c r="R127" i="9"/>
  <c r="Q127" i="9"/>
  <c r="P127" i="9"/>
  <c r="O127" i="9"/>
  <c r="M127" i="9"/>
  <c r="R126" i="9"/>
  <c r="Q126" i="9"/>
  <c r="P126" i="9"/>
  <c r="O126" i="9"/>
  <c r="M126" i="9"/>
  <c r="R125" i="9"/>
  <c r="Q125" i="9"/>
  <c r="P125" i="9"/>
  <c r="O125" i="9"/>
  <c r="M125" i="9"/>
  <c r="R124" i="9"/>
  <c r="Q124" i="9"/>
  <c r="P124" i="9"/>
  <c r="O124" i="9"/>
  <c r="M124" i="9"/>
  <c r="R123" i="9"/>
  <c r="Q123" i="9"/>
  <c r="P123" i="9"/>
  <c r="O123" i="9"/>
  <c r="M123" i="9"/>
  <c r="R122" i="9"/>
  <c r="Q122" i="9"/>
  <c r="P122" i="9"/>
  <c r="O122" i="9"/>
  <c r="M122" i="9"/>
  <c r="R121" i="9"/>
  <c r="Q121" i="9"/>
  <c r="P121" i="9"/>
  <c r="O121" i="9"/>
  <c r="M121" i="9"/>
  <c r="R120" i="9"/>
  <c r="Q120" i="9"/>
  <c r="P120" i="9"/>
  <c r="O120" i="9"/>
  <c r="M120" i="9"/>
  <c r="R119" i="9"/>
  <c r="Q119" i="9"/>
  <c r="P119" i="9"/>
  <c r="O119" i="9"/>
  <c r="M119" i="9"/>
  <c r="R118" i="9"/>
  <c r="Q118" i="9"/>
  <c r="P118" i="9"/>
  <c r="O118" i="9"/>
  <c r="M118" i="9"/>
  <c r="R117" i="9"/>
  <c r="Q117" i="9"/>
  <c r="P117" i="9"/>
  <c r="O117" i="9"/>
  <c r="M117" i="9"/>
  <c r="R116" i="9"/>
  <c r="Q116" i="9"/>
  <c r="P116" i="9"/>
  <c r="O116" i="9"/>
  <c r="M116" i="9"/>
  <c r="R115" i="9"/>
  <c r="Q115" i="9"/>
  <c r="P115" i="9"/>
  <c r="O115" i="9"/>
  <c r="M115" i="9"/>
  <c r="R114" i="9"/>
  <c r="Q114" i="9"/>
  <c r="P114" i="9"/>
  <c r="O114" i="9"/>
  <c r="M114" i="9"/>
  <c r="R113" i="9"/>
  <c r="Q113" i="9"/>
  <c r="P113" i="9"/>
  <c r="O113" i="9"/>
  <c r="M113" i="9"/>
  <c r="R112" i="9"/>
  <c r="Q112" i="9"/>
  <c r="P112" i="9"/>
  <c r="O112" i="9"/>
  <c r="M112" i="9"/>
  <c r="R111" i="9"/>
  <c r="Q111" i="9"/>
  <c r="P111" i="9"/>
  <c r="O111" i="9"/>
  <c r="M111" i="9"/>
  <c r="R110" i="9"/>
  <c r="Q110" i="9"/>
  <c r="P110" i="9"/>
  <c r="O110" i="9"/>
  <c r="M110" i="9"/>
  <c r="R109" i="9"/>
  <c r="Q109" i="9"/>
  <c r="P109" i="9"/>
  <c r="O109" i="9"/>
  <c r="M109" i="9"/>
  <c r="R108" i="9"/>
  <c r="Q108" i="9"/>
  <c r="P108" i="9"/>
  <c r="O108" i="9"/>
  <c r="M108" i="9"/>
  <c r="W107" i="9"/>
  <c r="R107" i="9"/>
  <c r="Q107" i="9"/>
  <c r="P107" i="9"/>
  <c r="O107" i="9"/>
  <c r="M107" i="9"/>
  <c r="R106" i="9"/>
  <c r="Q106" i="9"/>
  <c r="P106" i="9"/>
  <c r="O106" i="9"/>
  <c r="M106" i="9"/>
  <c r="R105" i="9"/>
  <c r="Q105" i="9"/>
  <c r="P105" i="9"/>
  <c r="O105" i="9"/>
  <c r="M105" i="9"/>
  <c r="R104" i="9"/>
  <c r="Q104" i="9"/>
  <c r="P104" i="9"/>
  <c r="O104" i="9"/>
  <c r="M104" i="9"/>
  <c r="R103" i="9"/>
  <c r="Q103" i="9"/>
  <c r="P103" i="9"/>
  <c r="O103" i="9"/>
  <c r="M103" i="9"/>
  <c r="R102" i="9"/>
  <c r="Q102" i="9"/>
  <c r="P102" i="9"/>
  <c r="O102" i="9"/>
  <c r="M102" i="9"/>
  <c r="R101" i="9"/>
  <c r="Q101" i="9"/>
  <c r="P101" i="9"/>
  <c r="O101" i="9"/>
  <c r="M101" i="9"/>
  <c r="R100" i="9"/>
  <c r="Q100" i="9"/>
  <c r="P100" i="9"/>
  <c r="O100" i="9"/>
  <c r="M100" i="9"/>
  <c r="R99" i="9"/>
  <c r="Q99" i="9"/>
  <c r="P99" i="9"/>
  <c r="O99" i="9"/>
  <c r="M99" i="9"/>
  <c r="R98" i="9"/>
  <c r="Q98" i="9"/>
  <c r="P98" i="9"/>
  <c r="O98" i="9"/>
  <c r="M98" i="9"/>
  <c r="R97" i="9"/>
  <c r="Q97" i="9"/>
  <c r="P97" i="9"/>
  <c r="O97" i="9"/>
  <c r="M97" i="9"/>
  <c r="R96" i="9"/>
  <c r="Q96" i="9"/>
  <c r="P96" i="9"/>
  <c r="O96" i="9"/>
  <c r="M96" i="9"/>
  <c r="R95" i="9"/>
  <c r="Q95" i="9"/>
  <c r="P95" i="9"/>
  <c r="O95" i="9"/>
  <c r="M95" i="9"/>
  <c r="R94" i="9"/>
  <c r="Q94" i="9"/>
  <c r="P94" i="9"/>
  <c r="O94" i="9"/>
  <c r="M94" i="9"/>
  <c r="R93" i="9"/>
  <c r="Q93" i="9"/>
  <c r="P93" i="9"/>
  <c r="O93" i="9"/>
  <c r="M93" i="9"/>
  <c r="R92" i="9"/>
  <c r="Q92" i="9"/>
  <c r="P92" i="9"/>
  <c r="O92" i="9"/>
  <c r="M92" i="9"/>
  <c r="R91" i="9"/>
  <c r="Q91" i="9"/>
  <c r="P91" i="9"/>
  <c r="O91" i="9"/>
  <c r="M91" i="9"/>
  <c r="R90" i="9"/>
  <c r="Q90" i="9"/>
  <c r="P90" i="9"/>
  <c r="O90" i="9"/>
  <c r="M90" i="9"/>
  <c r="R89" i="9"/>
  <c r="Q89" i="9"/>
  <c r="P89" i="9"/>
  <c r="O89" i="9"/>
  <c r="M89" i="9"/>
  <c r="R88" i="9"/>
  <c r="Q88" i="9"/>
  <c r="P88" i="9"/>
  <c r="O88" i="9"/>
  <c r="M88" i="9"/>
  <c r="R87" i="9"/>
  <c r="Q87" i="9"/>
  <c r="P87" i="9"/>
  <c r="O87" i="9"/>
  <c r="M87" i="9"/>
  <c r="R86" i="9"/>
  <c r="Q86" i="9"/>
  <c r="P86" i="9"/>
  <c r="O86" i="9"/>
  <c r="M86" i="9"/>
  <c r="R85" i="9"/>
  <c r="Q85" i="9"/>
  <c r="P85" i="9"/>
  <c r="O85" i="9"/>
  <c r="M85" i="9"/>
  <c r="R84" i="9"/>
  <c r="Q84" i="9"/>
  <c r="P84" i="9"/>
  <c r="O84" i="9"/>
  <c r="M84" i="9"/>
  <c r="R83" i="9"/>
  <c r="Q83" i="9"/>
  <c r="P83" i="9"/>
  <c r="O83" i="9"/>
  <c r="M83" i="9"/>
  <c r="R82" i="9"/>
  <c r="Q82" i="9"/>
  <c r="P82" i="9"/>
  <c r="O82" i="9"/>
  <c r="M82" i="9"/>
  <c r="R81" i="9"/>
  <c r="Q81" i="9"/>
  <c r="P81" i="9"/>
  <c r="O81" i="9"/>
  <c r="M81" i="9"/>
  <c r="R80" i="9"/>
  <c r="Q80" i="9"/>
  <c r="P80" i="9"/>
  <c r="O80" i="9"/>
  <c r="M80" i="9"/>
  <c r="R79" i="9"/>
  <c r="Q79" i="9"/>
  <c r="P79" i="9"/>
  <c r="O79" i="9"/>
  <c r="M79" i="9"/>
  <c r="P78" i="9"/>
  <c r="O78" i="9"/>
  <c r="X47" i="9"/>
  <c r="X44" i="9"/>
  <c r="W44" i="9"/>
  <c r="W46" i="9" s="1"/>
  <c r="W47" i="9" s="1"/>
  <c r="W111" i="9" s="1"/>
  <c r="X111" i="9" s="1"/>
  <c r="D30" i="9"/>
  <c r="E30" i="9" s="1"/>
  <c r="D29" i="9"/>
  <c r="E29" i="9" s="1"/>
  <c r="D28" i="9"/>
  <c r="E28" i="9" s="1"/>
  <c r="D27" i="9"/>
  <c r="E27" i="9" s="1"/>
  <c r="D26" i="9"/>
  <c r="E26" i="9" s="1"/>
  <c r="D25" i="9"/>
  <c r="E25" i="9" s="1"/>
  <c r="D24" i="9"/>
  <c r="E24" i="9" s="1"/>
  <c r="D23" i="9"/>
  <c r="E23" i="9" s="1"/>
  <c r="D22" i="9"/>
  <c r="E22" i="9" s="1"/>
  <c r="D21" i="9"/>
  <c r="E21" i="9" s="1"/>
  <c r="D20" i="9"/>
  <c r="E20" i="9" s="1"/>
  <c r="D19" i="9"/>
  <c r="E19" i="9" s="1"/>
  <c r="D18" i="9"/>
  <c r="E18" i="9" s="1"/>
  <c r="D17" i="9"/>
  <c r="E17" i="9" s="1"/>
  <c r="D16" i="9"/>
  <c r="E16" i="9" s="1"/>
  <c r="D15" i="9"/>
  <c r="E15" i="9" s="1"/>
  <c r="D14" i="9"/>
  <c r="E14" i="9" s="1"/>
  <c r="D13" i="9"/>
  <c r="E13" i="9" s="1"/>
  <c r="D12" i="9"/>
  <c r="E12" i="9" s="1"/>
  <c r="D11" i="9"/>
  <c r="E11" i="9" s="1"/>
  <c r="D10" i="9"/>
  <c r="E10" i="9" s="1"/>
  <c r="D9" i="9"/>
  <c r="E9" i="9" s="1"/>
  <c r="D8" i="9"/>
  <c r="E8" i="9" s="1"/>
  <c r="D7" i="9"/>
  <c r="E7" i="9" s="1"/>
  <c r="D6" i="9"/>
  <c r="F153" i="9" l="1"/>
  <c r="G153" i="9"/>
  <c r="H153" i="9"/>
  <c r="I153" i="9"/>
  <c r="J153" i="9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G4" i="5"/>
  <c r="H5" i="5" l="1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G5" i="5"/>
  <c r="AU6" i="5" l="1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</calcChain>
</file>

<file path=xl/sharedStrings.xml><?xml version="1.0" encoding="utf-8"?>
<sst xmlns="http://schemas.openxmlformats.org/spreadsheetml/2006/main" count="231" uniqueCount="79">
  <si>
    <t>INSERT</t>
  </si>
  <si>
    <t>TIME SERIES</t>
  </si>
  <si>
    <t>DATE</t>
  </si>
  <si>
    <t>MONTH</t>
  </si>
  <si>
    <t>PRCOMP1</t>
  </si>
  <si>
    <t>DATA</t>
  </si>
  <si>
    <t>CORR-&gt;</t>
  </si>
  <si>
    <t>TIME</t>
  </si>
  <si>
    <t>PRC1 for MONTHS PREVIOUS</t>
  </si>
  <si>
    <t>Ushagik</t>
  </si>
  <si>
    <t>1.2s</t>
  </si>
  <si>
    <t>ln 1.2s</t>
  </si>
  <si>
    <t>Chilko</t>
  </si>
  <si>
    <t>ln run vs PC1 Lags correlations</t>
  </si>
  <si>
    <t>blue is before 1999, red is after 1999 showing a big shift like many other runs</t>
  </si>
  <si>
    <t>red shows a poor correlation of 0.32 at T-10 but I don't have recent data</t>
  </si>
  <si>
    <t>ln total run</t>
  </si>
  <si>
    <t>almost the same as total run</t>
  </si>
  <si>
    <t>recent correlation pattern shows no predictive value</t>
  </si>
  <si>
    <t>ln(2.1/1.1prev) vs PC1</t>
  </si>
  <si>
    <t>again we see big regime shift</t>
  </si>
  <si>
    <t>ln (run per prev 1.1)</t>
  </si>
  <si>
    <t>similar to above, as expected</t>
  </si>
  <si>
    <t>maximum correlations at T-12 (0.36) and T-16 (0.37)</t>
  </si>
  <si>
    <t>1.1s have no predicitve capability</t>
  </si>
  <si>
    <t>corr is 0.35 at T-17, doesn't amount to much</t>
  </si>
  <si>
    <t>Case:</t>
  </si>
  <si>
    <t>Data</t>
  </si>
  <si>
    <t>observations</t>
  </si>
  <si>
    <t>Year</t>
  </si>
  <si>
    <t>Xt</t>
  </si>
  <si>
    <t>ln Rects</t>
  </si>
  <si>
    <t>deltaLnR</t>
  </si>
  <si>
    <t>Looking mainly at years since 2000, which appear to be stationary</t>
  </si>
  <si>
    <t>don't need pattern finder.  By inspection, Obvious diff log analogs to 2024 are</t>
  </si>
  <si>
    <t>date</t>
  </si>
  <si>
    <t>pattern of</t>
  </si>
  <si>
    <t>delta ln run</t>
  </si>
  <si>
    <t>ln run</t>
  </si>
  <si>
    <t>2011-12</t>
  </si>
  <si>
    <t>2015-16</t>
  </si>
  <si>
    <t>2019-20</t>
  </si>
  <si>
    <t>2023-24</t>
  </si>
  <si>
    <t>?</t>
  </si>
  <si>
    <t>avg</t>
  </si>
  <si>
    <t>add 2024</t>
  </si>
  <si>
    <t>pred2025</t>
  </si>
  <si>
    <t>antilog</t>
  </si>
  <si>
    <t>There is a declining  trend in log run size, but the trend is not as noticeable in differences of the logs</t>
  </si>
  <si>
    <t>The diffs have a clear repetitive pattern recently, and appear to be predictable</t>
  </si>
  <si>
    <t>since 2010 diff log low points (declines in run size) seem to occur in pairs.  We now have a low pair, so an increase might be expected in 2025</t>
  </si>
  <si>
    <t>Is there useful information in the brood table?</t>
  </si>
  <si>
    <t>previous years</t>
  </si>
  <si>
    <t>ln</t>
  </si>
  <si>
    <t>System</t>
  </si>
  <si>
    <t>River</t>
  </si>
  <si>
    <t>ReturnYear</t>
  </si>
  <si>
    <t>Total_Returns</t>
  </si>
  <si>
    <t>AC_1.1</t>
  </si>
  <si>
    <t>AC_1.2</t>
  </si>
  <si>
    <t>AC_1.3</t>
  </si>
  <si>
    <t>AC_2.1</t>
  </si>
  <si>
    <t>AC_2.2</t>
  </si>
  <si>
    <t>AC_2.3</t>
  </si>
  <si>
    <t>1.2sper1.1</t>
  </si>
  <si>
    <t>ln(run/1.1)</t>
  </si>
  <si>
    <t>Fraser River</t>
  </si>
  <si>
    <t>the total run is 90% 1.2s on average</t>
  </si>
  <si>
    <t>r=squared is poor, but seems to have some predictive value for the higher 1.1 values, and 2025 is within the cloud</t>
  </si>
  <si>
    <t xml:space="preserve">2024 saw 5953 1.1s giving a 2025 run prediction of </t>
  </si>
  <si>
    <t>predicted</t>
  </si>
  <si>
    <t>because the run is 90%1.2s, just go straight to run size</t>
  </si>
  <si>
    <t>all three ests are imprecise and indirect</t>
  </si>
  <si>
    <t>my eyeball version of official is 918480</t>
  </si>
  <si>
    <t>take the average of my three ests</t>
  </si>
  <si>
    <t>quite similar</t>
  </si>
  <si>
    <t>from line 47</t>
  </si>
  <si>
    <t>percents</t>
  </si>
  <si>
    <t>PROB NOISY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</si>
</sst>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" fontId="1" fillId="0" borderId="0" xfId="0" applyNumberFormat="1" applyFont="1"/>
    <xf numFmtId="1" fontId="3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1" fillId="0" borderId="6" xfId="0" applyNumberFormat="1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[1]CorTemplate!$G$7:$AU$7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[1]CorTemplate!$G$5:$AU$5</c:f>
              <c:numCache>
                <c:formatCode>General</c:formatCode>
                <c:ptCount val="41"/>
                <c:pt idx="0">
                  <c:v>0.23250220767595539</c:v>
                </c:pt>
                <c:pt idx="1">
                  <c:v>0.19418495737894026</c:v>
                </c:pt>
                <c:pt idx="2">
                  <c:v>0.24480962492282948</c:v>
                </c:pt>
                <c:pt idx="3">
                  <c:v>0.17223421523244936</c:v>
                </c:pt>
                <c:pt idx="4">
                  <c:v>0.11419906818918081</c:v>
                </c:pt>
                <c:pt idx="5">
                  <c:v>0.2579026753096561</c:v>
                </c:pt>
                <c:pt idx="6">
                  <c:v>0.26056933640280466</c:v>
                </c:pt>
                <c:pt idx="7">
                  <c:v>0.24317859814811771</c:v>
                </c:pt>
                <c:pt idx="8">
                  <c:v>0.23271882222679649</c:v>
                </c:pt>
                <c:pt idx="9">
                  <c:v>0.17939586977624172</c:v>
                </c:pt>
                <c:pt idx="10">
                  <c:v>0.27123117035787181</c:v>
                </c:pt>
                <c:pt idx="11">
                  <c:v>0.3469047226065855</c:v>
                </c:pt>
                <c:pt idx="12">
                  <c:v>0.45182068630319128</c:v>
                </c:pt>
                <c:pt idx="13">
                  <c:v>0.3543722913029112</c:v>
                </c:pt>
                <c:pt idx="14">
                  <c:v>0.31166290284756998</c:v>
                </c:pt>
                <c:pt idx="15">
                  <c:v>0.33848075225612756</c:v>
                </c:pt>
                <c:pt idx="16">
                  <c:v>0.24207065961206078</c:v>
                </c:pt>
                <c:pt idx="17">
                  <c:v>0.31421534896795322</c:v>
                </c:pt>
                <c:pt idx="18">
                  <c:v>0.30173361634459944</c:v>
                </c:pt>
                <c:pt idx="19">
                  <c:v>0.34342066892694806</c:v>
                </c:pt>
                <c:pt idx="20">
                  <c:v>0.42605006226399789</c:v>
                </c:pt>
                <c:pt idx="21">
                  <c:v>0.39924915484704404</c:v>
                </c:pt>
                <c:pt idx="22">
                  <c:v>0.43677137512519842</c:v>
                </c:pt>
                <c:pt idx="23">
                  <c:v>0.4903756416006595</c:v>
                </c:pt>
                <c:pt idx="24">
                  <c:v>0.50357718221028069</c:v>
                </c:pt>
                <c:pt idx="25">
                  <c:v>0.43642354299234865</c:v>
                </c:pt>
                <c:pt idx="26">
                  <c:v>0.39491334064319572</c:v>
                </c:pt>
                <c:pt idx="27">
                  <c:v>0.29168503619934993</c:v>
                </c:pt>
                <c:pt idx="28">
                  <c:v>0.18503545015297554</c:v>
                </c:pt>
                <c:pt idx="29">
                  <c:v>0.18322866013093492</c:v>
                </c:pt>
                <c:pt idx="30">
                  <c:v>0.25986778197339788</c:v>
                </c:pt>
                <c:pt idx="31">
                  <c:v>0.25351675175491994</c:v>
                </c:pt>
                <c:pt idx="32">
                  <c:v>0.26279699201785972</c:v>
                </c:pt>
                <c:pt idx="33">
                  <c:v>0.17064659271504912</c:v>
                </c:pt>
                <c:pt idx="34">
                  <c:v>0.20698505503636089</c:v>
                </c:pt>
                <c:pt idx="35">
                  <c:v>0.24515131019009903</c:v>
                </c:pt>
                <c:pt idx="36">
                  <c:v>0.29944273231912383</c:v>
                </c:pt>
                <c:pt idx="37">
                  <c:v>0.33275297769843593</c:v>
                </c:pt>
                <c:pt idx="38">
                  <c:v>0.34778786657765137</c:v>
                </c:pt>
                <c:pt idx="39">
                  <c:v>0.40682254126251965</c:v>
                </c:pt>
                <c:pt idx="40">
                  <c:v>0.27106768349346116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A-4058-8E06-DC110C64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92303"/>
        <c:axId val="427594223"/>
      </c:scatterChart>
      <c:valAx>
        <c:axId val="4275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4223"/>
        <c:crosses val="autoZero"/>
        <c:crossBetween val="midCat"/>
      </c:valAx>
      <c:valAx>
        <c:axId val="4275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4.3866300418252159E-2</c:v>
                </c:pt>
                <c:pt idx="1">
                  <c:v>-2.4239037994170237E-2</c:v>
                </c:pt>
                <c:pt idx="2">
                  <c:v>0.20534583282084556</c:v>
                </c:pt>
                <c:pt idx="3">
                  <c:v>0.26597917881840272</c:v>
                </c:pt>
                <c:pt idx="4">
                  <c:v>0.18939954916208843</c:v>
                </c:pt>
                <c:pt idx="5">
                  <c:v>0.48380209402450192</c:v>
                </c:pt>
                <c:pt idx="6">
                  <c:v>0.16155136273019374</c:v>
                </c:pt>
                <c:pt idx="7">
                  <c:v>0.14674787224187177</c:v>
                </c:pt>
                <c:pt idx="8">
                  <c:v>8.9668756412698489E-2</c:v>
                </c:pt>
                <c:pt idx="9">
                  <c:v>0.21449690722458126</c:v>
                </c:pt>
                <c:pt idx="10">
                  <c:v>0.16156851538450787</c:v>
                </c:pt>
                <c:pt idx="11">
                  <c:v>6.5880535090388034E-2</c:v>
                </c:pt>
                <c:pt idx="12">
                  <c:v>-0.18370253899652528</c:v>
                </c:pt>
                <c:pt idx="13">
                  <c:v>-0.21681340740178642</c:v>
                </c:pt>
                <c:pt idx="14">
                  <c:v>-0.17404275845960554</c:v>
                </c:pt>
                <c:pt idx="15">
                  <c:v>-0.16171614554273883</c:v>
                </c:pt>
                <c:pt idx="16">
                  <c:v>5.3783938849843609E-2</c:v>
                </c:pt>
                <c:pt idx="17">
                  <c:v>-1.6023187793208188E-2</c:v>
                </c:pt>
                <c:pt idx="18">
                  <c:v>3.5440365290367599E-2</c:v>
                </c:pt>
                <c:pt idx="19">
                  <c:v>-0.16314261147734654</c:v>
                </c:pt>
                <c:pt idx="20">
                  <c:v>-0.31161320101783346</c:v>
                </c:pt>
                <c:pt idx="21">
                  <c:v>-0.3682017283145349</c:v>
                </c:pt>
                <c:pt idx="22">
                  <c:v>-0.42796520126479587</c:v>
                </c:pt>
                <c:pt idx="23">
                  <c:v>-0.38133956781928807</c:v>
                </c:pt>
                <c:pt idx="24">
                  <c:v>-0.3596950642937542</c:v>
                </c:pt>
                <c:pt idx="25">
                  <c:v>-0.2913758331396723</c:v>
                </c:pt>
                <c:pt idx="26">
                  <c:v>-6.8612357562922471E-2</c:v>
                </c:pt>
                <c:pt idx="27">
                  <c:v>6.5766659064326827E-2</c:v>
                </c:pt>
                <c:pt idx="28">
                  <c:v>9.9692824188992654E-2</c:v>
                </c:pt>
                <c:pt idx="29">
                  <c:v>-0.20316948690139866</c:v>
                </c:pt>
                <c:pt idx="30">
                  <c:v>0.11747706458391208</c:v>
                </c:pt>
                <c:pt idx="31">
                  <c:v>-8.3952492232988785E-2</c:v>
                </c:pt>
                <c:pt idx="32">
                  <c:v>-3.0986653556032761E-2</c:v>
                </c:pt>
                <c:pt idx="33">
                  <c:v>-3.0401158964701813E-2</c:v>
                </c:pt>
                <c:pt idx="34">
                  <c:v>0.19012325888091894</c:v>
                </c:pt>
                <c:pt idx="35">
                  <c:v>0.14427197479701265</c:v>
                </c:pt>
                <c:pt idx="36">
                  <c:v>0.22605681804194852</c:v>
                </c:pt>
                <c:pt idx="37">
                  <c:v>0.28262298256344337</c:v>
                </c:pt>
                <c:pt idx="38">
                  <c:v>0.50836805152315856</c:v>
                </c:pt>
                <c:pt idx="39">
                  <c:v>0.37275966571182662</c:v>
                </c:pt>
                <c:pt idx="40">
                  <c:v>0.53732245140733559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B-464D-8D48-6B9340721D4C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Cors!$G$4:$AU$4</c:f>
              <c:numCache>
                <c:formatCode>General</c:formatCode>
                <c:ptCount val="41"/>
                <c:pt idx="0">
                  <c:v>9.4488788861381609E-2</c:v>
                </c:pt>
                <c:pt idx="1">
                  <c:v>0.25465490885701531</c:v>
                </c:pt>
                <c:pt idx="2">
                  <c:v>8.882586785288292E-2</c:v>
                </c:pt>
                <c:pt idx="3">
                  <c:v>0.15340229885229076</c:v>
                </c:pt>
                <c:pt idx="4">
                  <c:v>0.18469136360110336</c:v>
                </c:pt>
                <c:pt idx="5">
                  <c:v>5.3182227947067361E-2</c:v>
                </c:pt>
                <c:pt idx="6">
                  <c:v>0.10099995932081185</c:v>
                </c:pt>
                <c:pt idx="7">
                  <c:v>0.24198092781063893</c:v>
                </c:pt>
                <c:pt idx="8">
                  <c:v>0.29585989875583318</c:v>
                </c:pt>
                <c:pt idx="9">
                  <c:v>0.24815869711783231</c:v>
                </c:pt>
                <c:pt idx="10">
                  <c:v>0.20307288708812496</c:v>
                </c:pt>
                <c:pt idx="11">
                  <c:v>0.33624837715474465</c:v>
                </c:pt>
                <c:pt idx="12">
                  <c:v>0.34685545372849969</c:v>
                </c:pt>
                <c:pt idx="13">
                  <c:v>0.20101629161241211</c:v>
                </c:pt>
                <c:pt idx="14">
                  <c:v>0.17137172584096352</c:v>
                </c:pt>
                <c:pt idx="15">
                  <c:v>5.6988553197191795E-2</c:v>
                </c:pt>
                <c:pt idx="16">
                  <c:v>0.34403969303888482</c:v>
                </c:pt>
                <c:pt idx="17">
                  <c:v>0.35218596188399437</c:v>
                </c:pt>
                <c:pt idx="18">
                  <c:v>0.32174554173236553</c:v>
                </c:pt>
                <c:pt idx="19">
                  <c:v>0.28717658495172582</c:v>
                </c:pt>
                <c:pt idx="20">
                  <c:v>0.20355561335667771</c:v>
                </c:pt>
                <c:pt idx="21">
                  <c:v>0.18298997899666639</c:v>
                </c:pt>
                <c:pt idx="22">
                  <c:v>0.23410094280405658</c:v>
                </c:pt>
                <c:pt idx="23">
                  <c:v>0.16635697868917346</c:v>
                </c:pt>
                <c:pt idx="24">
                  <c:v>0.17270109043447651</c:v>
                </c:pt>
                <c:pt idx="25">
                  <c:v>0.14821953086549489</c:v>
                </c:pt>
                <c:pt idx="26">
                  <c:v>-0.11334253394266107</c:v>
                </c:pt>
                <c:pt idx="27">
                  <c:v>-7.2369816741976845E-2</c:v>
                </c:pt>
                <c:pt idx="28">
                  <c:v>-0.18378330722622807</c:v>
                </c:pt>
                <c:pt idx="29">
                  <c:v>-0.1161798516558611</c:v>
                </c:pt>
                <c:pt idx="30">
                  <c:v>-0.19962494930904789</c:v>
                </c:pt>
                <c:pt idx="31">
                  <c:v>-8.2576468654195795E-2</c:v>
                </c:pt>
                <c:pt idx="32">
                  <c:v>-0.10566156011160444</c:v>
                </c:pt>
                <c:pt idx="33">
                  <c:v>-0.10292699012561608</c:v>
                </c:pt>
                <c:pt idx="34">
                  <c:v>-9.5526428662526253E-2</c:v>
                </c:pt>
                <c:pt idx="35">
                  <c:v>-0.20113673686133568</c:v>
                </c:pt>
                <c:pt idx="36">
                  <c:v>-0.26203686252034442</c:v>
                </c:pt>
                <c:pt idx="37">
                  <c:v>-0.12517839496050431</c:v>
                </c:pt>
                <c:pt idx="38">
                  <c:v>2.3278121135397885E-3</c:v>
                </c:pt>
                <c:pt idx="39">
                  <c:v>-0.28307901276362613</c:v>
                </c:pt>
                <c:pt idx="40">
                  <c:v>-9.6083311776048341E-2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E-4B16-9AA6-1221DB6CC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(run/prev1.1) at (T-17) since 1999</a:t>
            </a:r>
          </a:p>
        </c:rich>
      </c:tx>
      <c:layout>
        <c:manualLayout>
          <c:xMode val="edge"/>
          <c:yMode val="edge"/>
          <c:x val="0.2294582239720034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3390857392825891E-2"/>
                  <c:y val="-0.148159448818897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Cors!$X$27:$X$50</c:f>
              <c:numCache>
                <c:formatCode>0.000</c:formatCode>
                <c:ptCount val="24"/>
                <c:pt idx="0">
                  <c:v>-3.1512866676807603</c:v>
                </c:pt>
                <c:pt idx="1">
                  <c:v>3.053984121499234</c:v>
                </c:pt>
                <c:pt idx="2">
                  <c:v>3.394136948569225</c:v>
                </c:pt>
                <c:pt idx="3">
                  <c:v>-0.22668680423076398</c:v>
                </c:pt>
                <c:pt idx="4">
                  <c:v>0.41005423246923839</c:v>
                </c:pt>
                <c:pt idx="5">
                  <c:v>-2.8223534988307661</c:v>
                </c:pt>
                <c:pt idx="6">
                  <c:v>-1.0499957530007684</c:v>
                </c:pt>
                <c:pt idx="7">
                  <c:v>-0.34530564288076371</c:v>
                </c:pt>
                <c:pt idx="8">
                  <c:v>-1.7059552504307725</c:v>
                </c:pt>
                <c:pt idx="9">
                  <c:v>-1.3194225846907526</c:v>
                </c:pt>
                <c:pt idx="10">
                  <c:v>2.6049737380592211</c:v>
                </c:pt>
                <c:pt idx="11">
                  <c:v>3.0732084994992381</c:v>
                </c:pt>
                <c:pt idx="12">
                  <c:v>-2.4654593805307572</c:v>
                </c:pt>
                <c:pt idx="13">
                  <c:v>3.7306486162292316</c:v>
                </c:pt>
                <c:pt idx="14">
                  <c:v>2.882561274810246</c:v>
                </c:pt>
                <c:pt idx="15">
                  <c:v>0.81033411676924127</c:v>
                </c:pt>
                <c:pt idx="16">
                  <c:v>1.0610023320692252</c:v>
                </c:pt>
                <c:pt idx="17">
                  <c:v>-2.2526105113207597</c:v>
                </c:pt>
                <c:pt idx="18">
                  <c:v>-3.4209596195307723</c:v>
                </c:pt>
                <c:pt idx="19">
                  <c:v>1.3136739487692362</c:v>
                </c:pt>
                <c:pt idx="20">
                  <c:v>0.60212085066922516</c:v>
                </c:pt>
                <c:pt idx="21">
                  <c:v>-0.96561260333077037</c:v>
                </c:pt>
                <c:pt idx="22">
                  <c:v>-1.2565737220307747</c:v>
                </c:pt>
                <c:pt idx="23">
                  <c:v>7.4266250269225065E-2</c:v>
                </c:pt>
              </c:numCache>
            </c:numRef>
          </c:xVal>
          <c:yVal>
            <c:numRef>
              <c:f>Cors!$D$27:$D$50</c:f>
              <c:numCache>
                <c:formatCode>General</c:formatCode>
                <c:ptCount val="24"/>
                <c:pt idx="0">
                  <c:v>6.0019956529022505</c:v>
                </c:pt>
                <c:pt idx="1">
                  <c:v>8.2685582580231287</c:v>
                </c:pt>
                <c:pt idx="2">
                  <c:v>8.2541457206434874</c:v>
                </c:pt>
                <c:pt idx="3">
                  <c:v>6.3942615849348687</c:v>
                </c:pt>
                <c:pt idx="4">
                  <c:v>6.5528926185130905</c:v>
                </c:pt>
                <c:pt idx="5">
                  <c:v>4.9381560781745408</c:v>
                </c:pt>
                <c:pt idx="6">
                  <c:v>8.7178196710248486</c:v>
                </c:pt>
                <c:pt idx="7">
                  <c:v>5.647699611371106</c:v>
                </c:pt>
                <c:pt idx="8">
                  <c:v>6.6663924512368578</c:v>
                </c:pt>
                <c:pt idx="9">
                  <c:v>6.2669405482510081</c:v>
                </c:pt>
                <c:pt idx="10">
                  <c:v>6.0614148305002242</c:v>
                </c:pt>
                <c:pt idx="11">
                  <c:v>6.7561961023371948</c:v>
                </c:pt>
                <c:pt idx="12">
                  <c:v>6.3366638503033856</c:v>
                </c:pt>
                <c:pt idx="13">
                  <c:v>5.4518423974708536</c:v>
                </c:pt>
                <c:pt idx="14">
                  <c:v>7.2262565019991634</c:v>
                </c:pt>
                <c:pt idx="15">
                  <c:v>4.1727955499911795</c:v>
                </c:pt>
                <c:pt idx="16">
                  <c:v>5.6586619219247059</c:v>
                </c:pt>
                <c:pt idx="17">
                  <c:v>4.7538022953024761</c:v>
                </c:pt>
                <c:pt idx="18">
                  <c:v>6.2381023109649245</c:v>
                </c:pt>
                <c:pt idx="19">
                  <c:v>6.307542893189571</c:v>
                </c:pt>
                <c:pt idx="20">
                  <c:v>5.1351941209427494</c:v>
                </c:pt>
                <c:pt idx="21">
                  <c:v>6.2019293354051133</c:v>
                </c:pt>
                <c:pt idx="22">
                  <c:v>6.8995028705075123</c:v>
                </c:pt>
                <c:pt idx="23">
                  <c:v>4.4102775983475917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2-496F-BDF9-6D3B504FB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50143"/>
        <c:axId val="48548223"/>
      </c:scatterChart>
      <c:valAx>
        <c:axId val="4855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8223"/>
        <c:crosses val="autoZero"/>
        <c:crossBetween val="midCat"/>
      </c:valAx>
      <c:valAx>
        <c:axId val="4854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run size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[2]Chilko!$B$6:$B$30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xVal>
          <c:yVal>
            <c:numRef>
              <c:f>[2]Chilko!$C$6:$C$30</c:f>
              <c:numCache>
                <c:formatCode>General</c:formatCode>
                <c:ptCount val="25"/>
                <c:pt idx="0">
                  <c:v>1399857</c:v>
                </c:pt>
                <c:pt idx="1">
                  <c:v>853263</c:v>
                </c:pt>
                <c:pt idx="2">
                  <c:v>648667</c:v>
                </c:pt>
                <c:pt idx="3">
                  <c:v>1562429</c:v>
                </c:pt>
                <c:pt idx="4">
                  <c:v>546611</c:v>
                </c:pt>
                <c:pt idx="5">
                  <c:v>1075508</c:v>
                </c:pt>
                <c:pt idx="6">
                  <c:v>1280343</c:v>
                </c:pt>
                <c:pt idx="7">
                  <c:v>437555</c:v>
                </c:pt>
                <c:pt idx="8">
                  <c:v>449941</c:v>
                </c:pt>
                <c:pt idx="9">
                  <c:v>308867</c:v>
                </c:pt>
                <c:pt idx="10">
                  <c:v>4540036</c:v>
                </c:pt>
                <c:pt idx="11">
                  <c:v>1692466</c:v>
                </c:pt>
                <c:pt idx="12">
                  <c:v>551255</c:v>
                </c:pt>
                <c:pt idx="13">
                  <c:v>1747708</c:v>
                </c:pt>
                <c:pt idx="14">
                  <c:v>2863174</c:v>
                </c:pt>
                <c:pt idx="15">
                  <c:v>1001669</c:v>
                </c:pt>
                <c:pt idx="16">
                  <c:v>287625</c:v>
                </c:pt>
                <c:pt idx="17">
                  <c:v>463257</c:v>
                </c:pt>
                <c:pt idx="18">
                  <c:v>1608774</c:v>
                </c:pt>
                <c:pt idx="19">
                  <c:v>251448</c:v>
                </c:pt>
                <c:pt idx="20">
                  <c:v>77511</c:v>
                </c:pt>
                <c:pt idx="21">
                  <c:v>1139557</c:v>
                </c:pt>
                <c:pt idx="22">
                  <c:v>1607251</c:v>
                </c:pt>
                <c:pt idx="23">
                  <c:v>576000</c:v>
                </c:pt>
                <c:pt idx="24">
                  <c:v>115197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E-40FC-BADA-33EB8B46D0EA}"/>
            </c:ext>
          </c:extLst>
        </c:ser>
        <c:ser>
          <c:idx val="1"/>
          <c:order val="1"/>
          <c:xVal>
            <c:numRef>
              <c:f>MAINPRED!$D$151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MAINPRED!$E$151</c:f>
              <c:numCache>
                <c:formatCode>General</c:formatCode>
                <c:ptCount val="1"/>
                <c:pt idx="0">
                  <c:v>115197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8E-40FC-BADA-33EB8B46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13984"/>
        <c:axId val="151915520"/>
      </c:scatterChart>
      <c:valAx>
        <c:axId val="15191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915520"/>
        <c:crosses val="autoZero"/>
        <c:crossBetween val="midCat"/>
      </c:valAx>
      <c:valAx>
        <c:axId val="151915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913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diff logs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[2]Chilko!$B$6:$B$30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xVal>
          <c:yVal>
            <c:numRef>
              <c:f>[2]Chilko!$E$6:$E$30</c:f>
              <c:numCache>
                <c:formatCode>General</c:formatCode>
                <c:ptCount val="25"/>
                <c:pt idx="1">
                  <c:v>-0.49505754399564061</c:v>
                </c:pt>
                <c:pt idx="2">
                  <c:v>-0.27414833558130525</c:v>
                </c:pt>
                <c:pt idx="3">
                  <c:v>0.87907745262580583</c:v>
                </c:pt>
                <c:pt idx="4">
                  <c:v>-1.0502595428812391</c:v>
                </c:pt>
                <c:pt idx="5">
                  <c:v>0.67681098938397355</c:v>
                </c:pt>
                <c:pt idx="6">
                  <c:v>0.17433490268558671</c:v>
                </c:pt>
                <c:pt idx="7">
                  <c:v>-1.0736808775844455</c:v>
                </c:pt>
                <c:pt idx="8">
                  <c:v>2.7914050875436303E-2</c:v>
                </c:pt>
                <c:pt idx="9">
                  <c:v>-0.37620569952925287</c:v>
                </c:pt>
                <c:pt idx="10">
                  <c:v>2.6877794569911853</c:v>
                </c:pt>
                <c:pt idx="11">
                  <c:v>-0.98674830456101503</c:v>
                </c:pt>
                <c:pt idx="12">
                  <c:v>-1.1217444189436527</c:v>
                </c:pt>
                <c:pt idx="13">
                  <c:v>1.1538629971917747</c:v>
                </c:pt>
                <c:pt idx="14">
                  <c:v>0.49362558445529281</c:v>
                </c:pt>
                <c:pt idx="15">
                  <c:v>-1.0502631909123732</c:v>
                </c:pt>
                <c:pt idx="16">
                  <c:v>-1.2477653393938706</c:v>
                </c:pt>
                <c:pt idx="17">
                  <c:v>0.47662442732718446</c:v>
                </c:pt>
                <c:pt idx="18">
                  <c:v>1.2449457015312628</c:v>
                </c:pt>
                <c:pt idx="19">
                  <c:v>-1.855991468495203</c:v>
                </c:pt>
                <c:pt idx="20">
                  <c:v>-1.1768163469474899</c:v>
                </c:pt>
                <c:pt idx="21">
                  <c:v>2.6879750076028461</c:v>
                </c:pt>
                <c:pt idx="22">
                  <c:v>0.34388567582821672</c:v>
                </c:pt>
                <c:pt idx="23">
                  <c:v>-1.0261728845064564</c:v>
                </c:pt>
                <c:pt idx="24">
                  <c:v>-1.6094639544398568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2-4A0E-9D42-8E9B809AA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13984"/>
        <c:axId val="151915520"/>
      </c:scatterChart>
      <c:valAx>
        <c:axId val="15191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915520"/>
        <c:crosses val="autoZero"/>
        <c:crossBetween val="midCat"/>
      </c:valAx>
      <c:valAx>
        <c:axId val="151915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913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log run size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18398668916385452"/>
                  <c:y val="0.17255188101487315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y = -0.0395x + 92.998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[2]Chilko!$B$6:$B$30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xVal>
          <c:yVal>
            <c:numRef>
              <c:f>[2]Chilko!$D$6:$D$30</c:f>
              <c:numCache>
                <c:formatCode>General</c:formatCode>
                <c:ptCount val="25"/>
                <c:pt idx="0">
                  <c:v>14.151880646511406</c:v>
                </c:pt>
                <c:pt idx="1">
                  <c:v>13.656823102515766</c:v>
                </c:pt>
                <c:pt idx="2">
                  <c:v>13.382674766934461</c:v>
                </c:pt>
                <c:pt idx="3">
                  <c:v>14.261752219560266</c:v>
                </c:pt>
                <c:pt idx="4">
                  <c:v>13.211492676679027</c:v>
                </c:pt>
                <c:pt idx="5">
                  <c:v>13.888303666063001</c:v>
                </c:pt>
                <c:pt idx="6">
                  <c:v>14.062638568748588</c:v>
                </c:pt>
                <c:pt idx="7">
                  <c:v>12.988957691164142</c:v>
                </c:pt>
                <c:pt idx="8">
                  <c:v>13.016871742039578</c:v>
                </c:pt>
                <c:pt idx="9">
                  <c:v>12.640666042510325</c:v>
                </c:pt>
                <c:pt idx="10">
                  <c:v>15.328445499501511</c:v>
                </c:pt>
                <c:pt idx="11">
                  <c:v>14.341697194940496</c:v>
                </c:pt>
                <c:pt idx="12">
                  <c:v>13.219952775996843</c:v>
                </c:pt>
                <c:pt idx="13">
                  <c:v>14.373815773188618</c:v>
                </c:pt>
                <c:pt idx="14">
                  <c:v>14.86744135764391</c:v>
                </c:pt>
                <c:pt idx="15">
                  <c:v>13.817178166731537</c:v>
                </c:pt>
                <c:pt idx="16">
                  <c:v>12.569412827337667</c:v>
                </c:pt>
                <c:pt idx="17">
                  <c:v>13.046037254664851</c:v>
                </c:pt>
                <c:pt idx="18">
                  <c:v>14.290982956196114</c:v>
                </c:pt>
                <c:pt idx="19">
                  <c:v>12.434991487700911</c:v>
                </c:pt>
                <c:pt idx="20">
                  <c:v>11.258175140753421</c:v>
                </c:pt>
                <c:pt idx="21">
                  <c:v>13.946150148356267</c:v>
                </c:pt>
                <c:pt idx="22">
                  <c:v>14.290035824184484</c:v>
                </c:pt>
                <c:pt idx="23">
                  <c:v>13.263862939678027</c:v>
                </c:pt>
                <c:pt idx="24">
                  <c:v>11.654398985238171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EF-447A-9B45-54F9664AB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13984"/>
        <c:axId val="151915520"/>
      </c:scatterChart>
      <c:valAx>
        <c:axId val="15191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915520"/>
        <c:crosses val="autoZero"/>
        <c:crossBetween val="midCat"/>
      </c:valAx>
      <c:valAx>
        <c:axId val="151915520"/>
        <c:scaling>
          <c:orientation val="minMax"/>
          <c:min val="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913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1.2 from prev 1.1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46981627296589"/>
          <c:y val="0.16708333333333336"/>
          <c:w val="0.8078635170603674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704661395404906"/>
                  <c:y val="-0.306569454679989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[2]Chilko!$M$79:$M$151</c:f>
              <c:numCache>
                <c:formatCode>General</c:formatCode>
                <c:ptCount val="73"/>
                <c:pt idx="0">
                  <c:v>32000</c:v>
                </c:pt>
                <c:pt idx="1">
                  <c:v>3732</c:v>
                </c:pt>
                <c:pt idx="2">
                  <c:v>1489</c:v>
                </c:pt>
                <c:pt idx="3">
                  <c:v>3925</c:v>
                </c:pt>
                <c:pt idx="4">
                  <c:v>18732</c:v>
                </c:pt>
                <c:pt idx="5">
                  <c:v>1172</c:v>
                </c:pt>
                <c:pt idx="6">
                  <c:v>12234</c:v>
                </c:pt>
                <c:pt idx="7">
                  <c:v>32418</c:v>
                </c:pt>
                <c:pt idx="8">
                  <c:v>13905</c:v>
                </c:pt>
                <c:pt idx="9">
                  <c:v>76</c:v>
                </c:pt>
                <c:pt idx="10">
                  <c:v>4055</c:v>
                </c:pt>
                <c:pt idx="11">
                  <c:v>23792</c:v>
                </c:pt>
                <c:pt idx="12">
                  <c:v>5472</c:v>
                </c:pt>
                <c:pt idx="13">
                  <c:v>256</c:v>
                </c:pt>
                <c:pt idx="14">
                  <c:v>10657</c:v>
                </c:pt>
                <c:pt idx="15">
                  <c:v>37579</c:v>
                </c:pt>
                <c:pt idx="16">
                  <c:v>7252</c:v>
                </c:pt>
                <c:pt idx="17">
                  <c:v>1787</c:v>
                </c:pt>
                <c:pt idx="18">
                  <c:v>26456</c:v>
                </c:pt>
                <c:pt idx="19">
                  <c:v>28734</c:v>
                </c:pt>
                <c:pt idx="20">
                  <c:v>46952</c:v>
                </c:pt>
                <c:pt idx="21">
                  <c:v>4126</c:v>
                </c:pt>
                <c:pt idx="22">
                  <c:v>16775</c:v>
                </c:pt>
                <c:pt idx="23">
                  <c:v>58786</c:v>
                </c:pt>
                <c:pt idx="24">
                  <c:v>42709</c:v>
                </c:pt>
                <c:pt idx="25">
                  <c:v>8835</c:v>
                </c:pt>
                <c:pt idx="26">
                  <c:v>26487</c:v>
                </c:pt>
                <c:pt idx="27">
                  <c:v>22821</c:v>
                </c:pt>
                <c:pt idx="28">
                  <c:v>8457</c:v>
                </c:pt>
                <c:pt idx="29">
                  <c:v>3346</c:v>
                </c:pt>
                <c:pt idx="30">
                  <c:v>8616</c:v>
                </c:pt>
                <c:pt idx="31">
                  <c:v>9358</c:v>
                </c:pt>
                <c:pt idx="32">
                  <c:v>12504</c:v>
                </c:pt>
                <c:pt idx="33">
                  <c:v>1722</c:v>
                </c:pt>
                <c:pt idx="34">
                  <c:v>52424</c:v>
                </c:pt>
                <c:pt idx="35">
                  <c:v>45476</c:v>
                </c:pt>
                <c:pt idx="36">
                  <c:v>11108</c:v>
                </c:pt>
                <c:pt idx="37">
                  <c:v>970</c:v>
                </c:pt>
                <c:pt idx="38">
                  <c:v>47835</c:v>
                </c:pt>
                <c:pt idx="39">
                  <c:v>11552</c:v>
                </c:pt>
                <c:pt idx="40">
                  <c:v>2697</c:v>
                </c:pt>
                <c:pt idx="41">
                  <c:v>11841</c:v>
                </c:pt>
                <c:pt idx="42">
                  <c:v>13262</c:v>
                </c:pt>
                <c:pt idx="43">
                  <c:v>4495</c:v>
                </c:pt>
                <c:pt idx="44">
                  <c:v>3754</c:v>
                </c:pt>
                <c:pt idx="45">
                  <c:v>18173</c:v>
                </c:pt>
                <c:pt idx="46">
                  <c:v>10606</c:v>
                </c:pt>
                <c:pt idx="47">
                  <c:v>2778</c:v>
                </c:pt>
                <c:pt idx="48">
                  <c:v>359</c:v>
                </c:pt>
                <c:pt idx="49">
                  <c:v>222</c:v>
                </c:pt>
                <c:pt idx="50">
                  <c:v>1084</c:v>
                </c:pt>
                <c:pt idx="51">
                  <c:v>2228</c:v>
                </c:pt>
                <c:pt idx="52">
                  <c:v>3918</c:v>
                </c:pt>
                <c:pt idx="53">
                  <c:v>176</c:v>
                </c:pt>
                <c:pt idx="54">
                  <c:v>4514</c:v>
                </c:pt>
                <c:pt idx="55">
                  <c:v>557</c:v>
                </c:pt>
                <c:pt idx="56">
                  <c:v>854</c:v>
                </c:pt>
                <c:pt idx="57">
                  <c:v>720</c:v>
                </c:pt>
                <c:pt idx="58">
                  <c:v>5283</c:v>
                </c:pt>
                <c:pt idx="59">
                  <c:v>2996</c:v>
                </c:pt>
                <c:pt idx="60">
                  <c:v>2364</c:v>
                </c:pt>
                <c:pt idx="61">
                  <c:v>1271</c:v>
                </c:pt>
                <c:pt idx="62">
                  <c:v>44119</c:v>
                </c:pt>
                <c:pt idx="63">
                  <c:v>3493</c:v>
                </c:pt>
                <c:pt idx="64">
                  <c:v>2479</c:v>
                </c:pt>
                <c:pt idx="65">
                  <c:v>905</c:v>
                </c:pt>
                <c:pt idx="66">
                  <c:v>2932</c:v>
                </c:pt>
                <c:pt idx="67">
                  <c:v>1480</c:v>
                </c:pt>
                <c:pt idx="68">
                  <c:v>157</c:v>
                </c:pt>
                <c:pt idx="69">
                  <c:v>1149</c:v>
                </c:pt>
                <c:pt idx="70">
                  <c:v>19531</c:v>
                </c:pt>
                <c:pt idx="71">
                  <c:v>83</c:v>
                </c:pt>
                <c:pt idx="72">
                  <c:v>1</c:v>
                </c:pt>
              </c:numCache>
            </c:numRef>
          </c:xVal>
          <c:yVal>
            <c:numRef>
              <c:f>[2]Chilko!$G$79:$G$151</c:f>
              <c:numCache>
                <c:formatCode>General</c:formatCode>
                <c:ptCount val="73"/>
                <c:pt idx="0">
                  <c:v>1643062</c:v>
                </c:pt>
                <c:pt idx="1">
                  <c:v>560635</c:v>
                </c:pt>
                <c:pt idx="2">
                  <c:v>183278</c:v>
                </c:pt>
                <c:pt idx="3">
                  <c:v>644911</c:v>
                </c:pt>
                <c:pt idx="4">
                  <c:v>1763929</c:v>
                </c:pt>
                <c:pt idx="5">
                  <c:v>514554</c:v>
                </c:pt>
                <c:pt idx="6">
                  <c:v>632132</c:v>
                </c:pt>
                <c:pt idx="7">
                  <c:v>1407963</c:v>
                </c:pt>
                <c:pt idx="8">
                  <c:v>2379854</c:v>
                </c:pt>
                <c:pt idx="9">
                  <c:v>117362</c:v>
                </c:pt>
                <c:pt idx="10">
                  <c:v>278320</c:v>
                </c:pt>
                <c:pt idx="11">
                  <c:v>2080497</c:v>
                </c:pt>
                <c:pt idx="12">
                  <c:v>958877</c:v>
                </c:pt>
                <c:pt idx="13">
                  <c:v>52713</c:v>
                </c:pt>
                <c:pt idx="14">
                  <c:v>960609</c:v>
                </c:pt>
                <c:pt idx="15">
                  <c:v>1112861</c:v>
                </c:pt>
                <c:pt idx="16">
                  <c:v>1818921</c:v>
                </c:pt>
                <c:pt idx="17">
                  <c:v>138555</c:v>
                </c:pt>
                <c:pt idx="18">
                  <c:v>744469</c:v>
                </c:pt>
                <c:pt idx="19">
                  <c:v>1933329</c:v>
                </c:pt>
                <c:pt idx="20">
                  <c:v>2349375</c:v>
                </c:pt>
                <c:pt idx="21">
                  <c:v>369954</c:v>
                </c:pt>
                <c:pt idx="22">
                  <c:v>630046</c:v>
                </c:pt>
                <c:pt idx="23">
                  <c:v>740253</c:v>
                </c:pt>
                <c:pt idx="24">
                  <c:v>1947465</c:v>
                </c:pt>
                <c:pt idx="25">
                  <c:v>200775</c:v>
                </c:pt>
                <c:pt idx="26">
                  <c:v>641497</c:v>
                </c:pt>
                <c:pt idx="27">
                  <c:v>1389008</c:v>
                </c:pt>
                <c:pt idx="28">
                  <c:v>1650944</c:v>
                </c:pt>
                <c:pt idx="29">
                  <c:v>190527</c:v>
                </c:pt>
                <c:pt idx="30">
                  <c:v>1169034</c:v>
                </c:pt>
                <c:pt idx="31">
                  <c:v>1615466</c:v>
                </c:pt>
                <c:pt idx="32">
                  <c:v>3920494</c:v>
                </c:pt>
                <c:pt idx="33">
                  <c:v>180656</c:v>
                </c:pt>
                <c:pt idx="34">
                  <c:v>1355953</c:v>
                </c:pt>
                <c:pt idx="35">
                  <c:v>1717330</c:v>
                </c:pt>
                <c:pt idx="36">
                  <c:v>500714</c:v>
                </c:pt>
                <c:pt idx="37">
                  <c:v>366037</c:v>
                </c:pt>
                <c:pt idx="38">
                  <c:v>4413216</c:v>
                </c:pt>
                <c:pt idx="39">
                  <c:v>4032356</c:v>
                </c:pt>
                <c:pt idx="40">
                  <c:v>2979547</c:v>
                </c:pt>
                <c:pt idx="41">
                  <c:v>3015024</c:v>
                </c:pt>
                <c:pt idx="42">
                  <c:v>2412516</c:v>
                </c:pt>
                <c:pt idx="43">
                  <c:v>1126703</c:v>
                </c:pt>
                <c:pt idx="44">
                  <c:v>1773513</c:v>
                </c:pt>
                <c:pt idx="45">
                  <c:v>3380892</c:v>
                </c:pt>
                <c:pt idx="46">
                  <c:v>1331935</c:v>
                </c:pt>
                <c:pt idx="47">
                  <c:v>1045307</c:v>
                </c:pt>
                <c:pt idx="48">
                  <c:v>1175834</c:v>
                </c:pt>
                <c:pt idx="49">
                  <c:v>663879</c:v>
                </c:pt>
                <c:pt idx="50">
                  <c:v>423716</c:v>
                </c:pt>
                <c:pt idx="51">
                  <c:v>1449980</c:v>
                </c:pt>
                <c:pt idx="52">
                  <c:v>424960</c:v>
                </c:pt>
                <c:pt idx="53">
                  <c:v>1001606</c:v>
                </c:pt>
                <c:pt idx="54">
                  <c:v>1119367</c:v>
                </c:pt>
                <c:pt idx="55">
                  <c:v>321849</c:v>
                </c:pt>
                <c:pt idx="56">
                  <c:v>388845</c:v>
                </c:pt>
                <c:pt idx="57">
                  <c:v>262920</c:v>
                </c:pt>
                <c:pt idx="58">
                  <c:v>4462878</c:v>
                </c:pt>
                <c:pt idx="59">
                  <c:v>1164212</c:v>
                </c:pt>
                <c:pt idx="60">
                  <c:v>496271</c:v>
                </c:pt>
                <c:pt idx="61">
                  <c:v>1628663</c:v>
                </c:pt>
                <c:pt idx="62">
                  <c:v>2637175</c:v>
                </c:pt>
                <c:pt idx="63">
                  <c:v>878488</c:v>
                </c:pt>
                <c:pt idx="64">
                  <c:v>195956</c:v>
                </c:pt>
                <c:pt idx="65">
                  <c:v>426237</c:v>
                </c:pt>
                <c:pt idx="66">
                  <c:v>1555820</c:v>
                </c:pt>
                <c:pt idx="67">
                  <c:v>164957</c:v>
                </c:pt>
                <c:pt idx="68">
                  <c:v>26869</c:v>
                </c:pt>
                <c:pt idx="69">
                  <c:v>1106873</c:v>
                </c:pt>
                <c:pt idx="70">
                  <c:v>1567086</c:v>
                </c:pt>
                <c:pt idx="71">
                  <c:v>447000</c:v>
                </c:pt>
                <c:pt idx="72">
                  <c:v>87217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CC-49A2-ADB6-AEF535F83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487904"/>
        <c:axId val="1191489344"/>
      </c:scatterChart>
      <c:valAx>
        <c:axId val="119148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89344"/>
        <c:crosses val="autoZero"/>
        <c:crossBetween val="midCat"/>
      </c:valAx>
      <c:valAx>
        <c:axId val="11914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8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2000 to 2022</a:t>
            </a:r>
          </a:p>
        </c:rich>
      </c:tx>
      <c:layout>
        <c:manualLayout>
          <c:xMode val="edge"/>
          <c:yMode val="edge"/>
          <c:x val="0.413229002624671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6002843394575679E-2"/>
                  <c:y val="0.317573272090988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[2]Chilko!$M$127:$M$149</c:f>
              <c:numCache>
                <c:formatCode>General</c:formatCode>
                <c:ptCount val="23"/>
                <c:pt idx="0">
                  <c:v>359</c:v>
                </c:pt>
                <c:pt idx="1">
                  <c:v>222</c:v>
                </c:pt>
                <c:pt idx="2">
                  <c:v>1084</c:v>
                </c:pt>
                <c:pt idx="3">
                  <c:v>2228</c:v>
                </c:pt>
                <c:pt idx="4">
                  <c:v>3918</c:v>
                </c:pt>
                <c:pt idx="5">
                  <c:v>176</c:v>
                </c:pt>
                <c:pt idx="6">
                  <c:v>4514</c:v>
                </c:pt>
                <c:pt idx="7">
                  <c:v>557</c:v>
                </c:pt>
                <c:pt idx="8">
                  <c:v>854</c:v>
                </c:pt>
                <c:pt idx="9">
                  <c:v>720</c:v>
                </c:pt>
                <c:pt idx="10">
                  <c:v>5283</c:v>
                </c:pt>
                <c:pt idx="11">
                  <c:v>2996</c:v>
                </c:pt>
                <c:pt idx="12">
                  <c:v>2364</c:v>
                </c:pt>
                <c:pt idx="13">
                  <c:v>1271</c:v>
                </c:pt>
                <c:pt idx="14">
                  <c:v>44119</c:v>
                </c:pt>
                <c:pt idx="15">
                  <c:v>3493</c:v>
                </c:pt>
                <c:pt idx="16">
                  <c:v>2479</c:v>
                </c:pt>
                <c:pt idx="17">
                  <c:v>905</c:v>
                </c:pt>
                <c:pt idx="18">
                  <c:v>2932</c:v>
                </c:pt>
                <c:pt idx="19">
                  <c:v>1480</c:v>
                </c:pt>
                <c:pt idx="20">
                  <c:v>157</c:v>
                </c:pt>
                <c:pt idx="21">
                  <c:v>1149</c:v>
                </c:pt>
                <c:pt idx="22">
                  <c:v>19531</c:v>
                </c:pt>
              </c:numCache>
            </c:numRef>
          </c:xVal>
          <c:yVal>
            <c:numRef>
              <c:f>[2]Chilko!$E$127:$E$149</c:f>
              <c:numCache>
                <c:formatCode>General</c:formatCode>
                <c:ptCount val="23"/>
                <c:pt idx="0">
                  <c:v>1399857</c:v>
                </c:pt>
                <c:pt idx="1">
                  <c:v>853263</c:v>
                </c:pt>
                <c:pt idx="2">
                  <c:v>648667</c:v>
                </c:pt>
                <c:pt idx="3">
                  <c:v>1562429</c:v>
                </c:pt>
                <c:pt idx="4">
                  <c:v>546611</c:v>
                </c:pt>
                <c:pt idx="5">
                  <c:v>1075508</c:v>
                </c:pt>
                <c:pt idx="6">
                  <c:v>1280343</c:v>
                </c:pt>
                <c:pt idx="7">
                  <c:v>437555</c:v>
                </c:pt>
                <c:pt idx="8">
                  <c:v>449941</c:v>
                </c:pt>
                <c:pt idx="9">
                  <c:v>308867</c:v>
                </c:pt>
                <c:pt idx="10">
                  <c:v>4540036</c:v>
                </c:pt>
                <c:pt idx="11">
                  <c:v>1692466</c:v>
                </c:pt>
                <c:pt idx="12">
                  <c:v>551255</c:v>
                </c:pt>
                <c:pt idx="13">
                  <c:v>1747708</c:v>
                </c:pt>
                <c:pt idx="14">
                  <c:v>2863174</c:v>
                </c:pt>
                <c:pt idx="15">
                  <c:v>1001669</c:v>
                </c:pt>
                <c:pt idx="16">
                  <c:v>287625</c:v>
                </c:pt>
                <c:pt idx="17">
                  <c:v>463257</c:v>
                </c:pt>
                <c:pt idx="18">
                  <c:v>1608774</c:v>
                </c:pt>
                <c:pt idx="19">
                  <c:v>251448</c:v>
                </c:pt>
                <c:pt idx="20">
                  <c:v>77511</c:v>
                </c:pt>
                <c:pt idx="21">
                  <c:v>1139557</c:v>
                </c:pt>
                <c:pt idx="22">
                  <c:v>1607251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9-4983-B95C-EC13A7264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487904"/>
        <c:axId val="1191489344"/>
      </c:scatterChart>
      <c:valAx>
        <c:axId val="1191487904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previous year's 1.1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89344"/>
        <c:crosses val="autoZero"/>
        <c:crossBetween val="midCat"/>
      </c:valAx>
      <c:valAx>
        <c:axId val="1191489344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year's run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8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totrun from prev 1.1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46981627296589"/>
          <c:y val="0.16708333333333336"/>
          <c:w val="0.8078635170603674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[2]Chilko!$M$79:$M$151</c:f>
              <c:numCache>
                <c:formatCode>General</c:formatCode>
                <c:ptCount val="73"/>
                <c:pt idx="0">
                  <c:v>32000</c:v>
                </c:pt>
                <c:pt idx="1">
                  <c:v>3732</c:v>
                </c:pt>
                <c:pt idx="2">
                  <c:v>1489</c:v>
                </c:pt>
                <c:pt idx="3">
                  <c:v>3925</c:v>
                </c:pt>
                <c:pt idx="4">
                  <c:v>18732</c:v>
                </c:pt>
                <c:pt idx="5">
                  <c:v>1172</c:v>
                </c:pt>
                <c:pt idx="6">
                  <c:v>12234</c:v>
                </c:pt>
                <c:pt idx="7">
                  <c:v>32418</c:v>
                </c:pt>
                <c:pt idx="8">
                  <c:v>13905</c:v>
                </c:pt>
                <c:pt idx="9">
                  <c:v>76</c:v>
                </c:pt>
                <c:pt idx="10">
                  <c:v>4055</c:v>
                </c:pt>
                <c:pt idx="11">
                  <c:v>23792</c:v>
                </c:pt>
                <c:pt idx="12">
                  <c:v>5472</c:v>
                </c:pt>
                <c:pt idx="13">
                  <c:v>256</c:v>
                </c:pt>
                <c:pt idx="14">
                  <c:v>10657</c:v>
                </c:pt>
                <c:pt idx="15">
                  <c:v>37579</c:v>
                </c:pt>
                <c:pt idx="16">
                  <c:v>7252</c:v>
                </c:pt>
                <c:pt idx="17">
                  <c:v>1787</c:v>
                </c:pt>
                <c:pt idx="18">
                  <c:v>26456</c:v>
                </c:pt>
                <c:pt idx="19">
                  <c:v>28734</c:v>
                </c:pt>
                <c:pt idx="20">
                  <c:v>46952</c:v>
                </c:pt>
                <c:pt idx="21">
                  <c:v>4126</c:v>
                </c:pt>
                <c:pt idx="22">
                  <c:v>16775</c:v>
                </c:pt>
                <c:pt idx="23">
                  <c:v>58786</c:v>
                </c:pt>
                <c:pt idx="24">
                  <c:v>42709</c:v>
                </c:pt>
                <c:pt idx="25">
                  <c:v>8835</c:v>
                </c:pt>
                <c:pt idx="26">
                  <c:v>26487</c:v>
                </c:pt>
                <c:pt idx="27">
                  <c:v>22821</c:v>
                </c:pt>
                <c:pt idx="28">
                  <c:v>8457</c:v>
                </c:pt>
                <c:pt idx="29">
                  <c:v>3346</c:v>
                </c:pt>
                <c:pt idx="30">
                  <c:v>8616</c:v>
                </c:pt>
                <c:pt idx="31">
                  <c:v>9358</c:v>
                </c:pt>
                <c:pt idx="32">
                  <c:v>12504</c:v>
                </c:pt>
                <c:pt idx="33">
                  <c:v>1722</c:v>
                </c:pt>
                <c:pt idx="34">
                  <c:v>52424</c:v>
                </c:pt>
                <c:pt idx="35">
                  <c:v>45476</c:v>
                </c:pt>
                <c:pt idx="36">
                  <c:v>11108</c:v>
                </c:pt>
                <c:pt idx="37">
                  <c:v>970</c:v>
                </c:pt>
                <c:pt idx="38">
                  <c:v>47835</c:v>
                </c:pt>
                <c:pt idx="39">
                  <c:v>11552</c:v>
                </c:pt>
                <c:pt idx="40">
                  <c:v>2697</c:v>
                </c:pt>
                <c:pt idx="41">
                  <c:v>11841</c:v>
                </c:pt>
                <c:pt idx="42">
                  <c:v>13262</c:v>
                </c:pt>
                <c:pt idx="43">
                  <c:v>4495</c:v>
                </c:pt>
                <c:pt idx="44">
                  <c:v>3754</c:v>
                </c:pt>
                <c:pt idx="45">
                  <c:v>18173</c:v>
                </c:pt>
                <c:pt idx="46">
                  <c:v>10606</c:v>
                </c:pt>
                <c:pt idx="47">
                  <c:v>2778</c:v>
                </c:pt>
                <c:pt idx="48">
                  <c:v>359</c:v>
                </c:pt>
                <c:pt idx="49">
                  <c:v>222</c:v>
                </c:pt>
                <c:pt idx="50">
                  <c:v>1084</c:v>
                </c:pt>
                <c:pt idx="51">
                  <c:v>2228</c:v>
                </c:pt>
                <c:pt idx="52">
                  <c:v>3918</c:v>
                </c:pt>
                <c:pt idx="53">
                  <c:v>176</c:v>
                </c:pt>
                <c:pt idx="54">
                  <c:v>4514</c:v>
                </c:pt>
                <c:pt idx="55">
                  <c:v>557</c:v>
                </c:pt>
                <c:pt idx="56">
                  <c:v>854</c:v>
                </c:pt>
                <c:pt idx="57">
                  <c:v>720</c:v>
                </c:pt>
                <c:pt idx="58">
                  <c:v>5283</c:v>
                </c:pt>
                <c:pt idx="59">
                  <c:v>2996</c:v>
                </c:pt>
                <c:pt idx="60">
                  <c:v>2364</c:v>
                </c:pt>
                <c:pt idx="61">
                  <c:v>1271</c:v>
                </c:pt>
                <c:pt idx="62">
                  <c:v>44119</c:v>
                </c:pt>
                <c:pt idx="63">
                  <c:v>3493</c:v>
                </c:pt>
                <c:pt idx="64">
                  <c:v>2479</c:v>
                </c:pt>
                <c:pt idx="65">
                  <c:v>905</c:v>
                </c:pt>
                <c:pt idx="66">
                  <c:v>2932</c:v>
                </c:pt>
                <c:pt idx="67">
                  <c:v>1480</c:v>
                </c:pt>
                <c:pt idx="68">
                  <c:v>157</c:v>
                </c:pt>
                <c:pt idx="69">
                  <c:v>1149</c:v>
                </c:pt>
                <c:pt idx="70">
                  <c:v>19531</c:v>
                </c:pt>
                <c:pt idx="71">
                  <c:v>83</c:v>
                </c:pt>
                <c:pt idx="72">
                  <c:v>1</c:v>
                </c:pt>
              </c:numCache>
            </c:numRef>
          </c:xVal>
          <c:yVal>
            <c:numRef>
              <c:f>[2]Chilko!$E$79:$E$151</c:f>
              <c:numCache>
                <c:formatCode>General</c:formatCode>
                <c:ptCount val="73"/>
                <c:pt idx="0">
                  <c:v>1652925</c:v>
                </c:pt>
                <c:pt idx="1">
                  <c:v>828243</c:v>
                </c:pt>
                <c:pt idx="2">
                  <c:v>246165</c:v>
                </c:pt>
                <c:pt idx="3">
                  <c:v>690225</c:v>
                </c:pt>
                <c:pt idx="4">
                  <c:v>1860093</c:v>
                </c:pt>
                <c:pt idx="5">
                  <c:v>607788</c:v>
                </c:pt>
                <c:pt idx="6">
                  <c:v>768653</c:v>
                </c:pt>
                <c:pt idx="7">
                  <c:v>1487328</c:v>
                </c:pt>
                <c:pt idx="8">
                  <c:v>2453759</c:v>
                </c:pt>
                <c:pt idx="9">
                  <c:v>163316</c:v>
                </c:pt>
                <c:pt idx="10">
                  <c:v>324550</c:v>
                </c:pt>
                <c:pt idx="11">
                  <c:v>2231435</c:v>
                </c:pt>
                <c:pt idx="12">
                  <c:v>1072291</c:v>
                </c:pt>
                <c:pt idx="13">
                  <c:v>151720</c:v>
                </c:pt>
                <c:pt idx="14">
                  <c:v>1014263</c:v>
                </c:pt>
                <c:pt idx="15">
                  <c:v>1138362</c:v>
                </c:pt>
                <c:pt idx="16">
                  <c:v>1873120</c:v>
                </c:pt>
                <c:pt idx="17">
                  <c:v>380200</c:v>
                </c:pt>
                <c:pt idx="18">
                  <c:v>791502</c:v>
                </c:pt>
                <c:pt idx="19">
                  <c:v>2102377</c:v>
                </c:pt>
                <c:pt idx="20">
                  <c:v>2391956</c:v>
                </c:pt>
                <c:pt idx="21">
                  <c:v>464529</c:v>
                </c:pt>
                <c:pt idx="22">
                  <c:v>723368</c:v>
                </c:pt>
                <c:pt idx="23">
                  <c:v>838396</c:v>
                </c:pt>
                <c:pt idx="24">
                  <c:v>1998190</c:v>
                </c:pt>
                <c:pt idx="25">
                  <c:v>348080</c:v>
                </c:pt>
                <c:pt idx="26">
                  <c:v>702349</c:v>
                </c:pt>
                <c:pt idx="27">
                  <c:v>1460107</c:v>
                </c:pt>
                <c:pt idx="28">
                  <c:v>1735811</c:v>
                </c:pt>
                <c:pt idx="29">
                  <c:v>238911</c:v>
                </c:pt>
                <c:pt idx="30">
                  <c:v>1184116</c:v>
                </c:pt>
                <c:pt idx="31">
                  <c:v>1716873</c:v>
                </c:pt>
                <c:pt idx="32">
                  <c:v>4010144</c:v>
                </c:pt>
                <c:pt idx="33">
                  <c:v>749943</c:v>
                </c:pt>
                <c:pt idx="34">
                  <c:v>1427395</c:v>
                </c:pt>
                <c:pt idx="35">
                  <c:v>1922927</c:v>
                </c:pt>
                <c:pt idx="36">
                  <c:v>852340</c:v>
                </c:pt>
                <c:pt idx="37">
                  <c:v>576617</c:v>
                </c:pt>
                <c:pt idx="38">
                  <c:v>4634167</c:v>
                </c:pt>
                <c:pt idx="39">
                  <c:v>4371072</c:v>
                </c:pt>
                <c:pt idx="40">
                  <c:v>3370308</c:v>
                </c:pt>
                <c:pt idx="41">
                  <c:v>3344580</c:v>
                </c:pt>
                <c:pt idx="42">
                  <c:v>2512232</c:v>
                </c:pt>
                <c:pt idx="43">
                  <c:v>1329086</c:v>
                </c:pt>
                <c:pt idx="44">
                  <c:v>2043114</c:v>
                </c:pt>
                <c:pt idx="45">
                  <c:v>3480174</c:v>
                </c:pt>
                <c:pt idx="46">
                  <c:v>1899495</c:v>
                </c:pt>
                <c:pt idx="47">
                  <c:v>1122964</c:v>
                </c:pt>
                <c:pt idx="48">
                  <c:v>1399857</c:v>
                </c:pt>
                <c:pt idx="49">
                  <c:v>853263</c:v>
                </c:pt>
                <c:pt idx="50">
                  <c:v>648667</c:v>
                </c:pt>
                <c:pt idx="51">
                  <c:v>1562429</c:v>
                </c:pt>
                <c:pt idx="52">
                  <c:v>546611</c:v>
                </c:pt>
                <c:pt idx="53">
                  <c:v>1075508</c:v>
                </c:pt>
                <c:pt idx="54">
                  <c:v>1280343</c:v>
                </c:pt>
                <c:pt idx="55">
                  <c:v>437555</c:v>
                </c:pt>
                <c:pt idx="56">
                  <c:v>449941</c:v>
                </c:pt>
                <c:pt idx="57">
                  <c:v>308867</c:v>
                </c:pt>
                <c:pt idx="58">
                  <c:v>4540036</c:v>
                </c:pt>
                <c:pt idx="59">
                  <c:v>1692466</c:v>
                </c:pt>
                <c:pt idx="60">
                  <c:v>551255</c:v>
                </c:pt>
                <c:pt idx="61">
                  <c:v>1747708</c:v>
                </c:pt>
                <c:pt idx="62">
                  <c:v>2863174</c:v>
                </c:pt>
                <c:pt idx="63">
                  <c:v>1001669</c:v>
                </c:pt>
                <c:pt idx="64">
                  <c:v>287625</c:v>
                </c:pt>
                <c:pt idx="65">
                  <c:v>463257</c:v>
                </c:pt>
                <c:pt idx="66">
                  <c:v>1608774</c:v>
                </c:pt>
                <c:pt idx="67">
                  <c:v>251448</c:v>
                </c:pt>
                <c:pt idx="68">
                  <c:v>77511</c:v>
                </c:pt>
                <c:pt idx="69">
                  <c:v>1139557</c:v>
                </c:pt>
                <c:pt idx="70">
                  <c:v>1607251</c:v>
                </c:pt>
                <c:pt idx="71">
                  <c:v>576000</c:v>
                </c:pt>
                <c:pt idx="72">
                  <c:v>115197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8-4536-B7FA-B7B791D1E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487904"/>
        <c:axId val="1191489344"/>
      </c:scatterChart>
      <c:valAx>
        <c:axId val="119148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89344"/>
        <c:crosses val="autoZero"/>
        <c:crossBetween val="midCat"/>
      </c:valAx>
      <c:valAx>
        <c:axId val="11914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8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E914-0D0A-422B-81C2-3FDD2ADB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0422E-72F0-4523-BFE7-A3F5615D1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</xdr:colOff>
      <xdr:row>26</xdr:row>
      <xdr:rowOff>4762</xdr:rowOff>
    </xdr:from>
    <xdr:to>
      <xdr:col>18</xdr:col>
      <xdr:colOff>323850</xdr:colOff>
      <xdr:row>40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C3F149-5045-ED9A-30C1-5265FFA24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311293</xdr:colOff>
      <xdr:row>16</xdr:row>
      <xdr:rowOff>88631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A5AA39-F017-A3D6-10E8-D406D20BF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8</xdr:col>
      <xdr:colOff>311293</xdr:colOff>
      <xdr:row>39</xdr:row>
      <xdr:rowOff>88631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C5B26A-C8FF-49A5-DAE4-D651E7D70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7625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8</xdr:col>
      <xdr:colOff>311293</xdr:colOff>
      <xdr:row>58</xdr:row>
      <xdr:rowOff>88631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44D46FD-3C88-5243-38C8-52C784809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3820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8</xdr:col>
      <xdr:colOff>311293</xdr:colOff>
      <xdr:row>77</xdr:row>
      <xdr:rowOff>88631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AFF50D4-2265-3DBD-06E7-1A547C24B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0015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17</xdr:col>
      <xdr:colOff>311293</xdr:colOff>
      <xdr:row>77</xdr:row>
      <xdr:rowOff>88631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9AB9D2D-AC9F-6837-458E-B15F483ED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12001500"/>
          <a:ext cx="4578493" cy="27556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</xdr:colOff>
      <xdr:row>36</xdr:row>
      <xdr:rowOff>165735</xdr:rowOff>
    </xdr:from>
    <xdr:to>
      <xdr:col>8</xdr:col>
      <xdr:colOff>337185</xdr:colOff>
      <xdr:row>51</xdr:row>
      <xdr:rowOff>165735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54318-0F4F-4334-A363-160B0EFE3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53</xdr:row>
      <xdr:rowOff>9525</xdr:rowOff>
    </xdr:from>
    <xdr:to>
      <xdr:col>8</xdr:col>
      <xdr:colOff>304800</xdr:colOff>
      <xdr:row>68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27EA69-016A-494D-B12A-E6CBADE59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19</xdr:col>
      <xdr:colOff>304800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89CC8A-3A80-4701-A6C0-B4644FA16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114300</xdr:colOff>
      <xdr:row>72</xdr:row>
      <xdr:rowOff>147637</xdr:rowOff>
    </xdr:from>
    <xdr:to>
      <xdr:col>25</xdr:col>
      <xdr:colOff>171450</xdr:colOff>
      <xdr:row>86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3BDC56-C504-41B6-9472-8796CCE07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600075</xdr:colOff>
      <xdr:row>89</xdr:row>
      <xdr:rowOff>0</xdr:rowOff>
    </xdr:from>
    <xdr:to>
      <xdr:col>25</xdr:col>
      <xdr:colOff>57150</xdr:colOff>
      <xdr:row>103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A4FD5E-715C-4729-9E1B-06D0E7B36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600075</xdr:colOff>
      <xdr:row>73</xdr:row>
      <xdr:rowOff>0</xdr:rowOff>
    </xdr:from>
    <xdr:to>
      <xdr:col>33</xdr:col>
      <xdr:colOff>209550</xdr:colOff>
      <xdr:row>86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798ECA-D63B-4FD7-B6FC-078415C97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mac\OneDrive\Desktop\pacea.xlsx" TargetMode="External"/><Relationship Id="rId1" Type="http://schemas.openxmlformats.org/officeDocument/2006/relationships/externalLinkPath" Target="file:///C:\Users\abmac\OneDrive\Desktop\pace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fraser\Fraser2025.xlsx" TargetMode="External"/><Relationship Id="rId1" Type="http://schemas.openxmlformats.org/officeDocument/2006/relationships/externalLinkPath" Target="/Alec&amp;BarbsFiles/Alec/AlecScience/SalmonPrize/2025Prize/fraser/Fraser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ea-all"/>
      <sheetName val="shortened"/>
      <sheetName val="envdata"/>
      <sheetName val="CorTemplate"/>
      <sheetName val="results"/>
    </sheetNames>
    <sheetDataSet>
      <sheetData sheetId="0"/>
      <sheetData sheetId="1"/>
      <sheetData sheetId="2"/>
      <sheetData sheetId="3">
        <row r="5">
          <cell r="G5">
            <v>0.23250220767595539</v>
          </cell>
          <cell r="H5">
            <v>0.19418495737894026</v>
          </cell>
          <cell r="I5">
            <v>0.24480962492282948</v>
          </cell>
          <cell r="J5">
            <v>0.17223421523244936</v>
          </cell>
          <cell r="K5">
            <v>0.11419906818918081</v>
          </cell>
          <cell r="L5">
            <v>0.2579026753096561</v>
          </cell>
          <cell r="M5">
            <v>0.26056933640280466</v>
          </cell>
          <cell r="N5">
            <v>0.24317859814811771</v>
          </cell>
          <cell r="O5">
            <v>0.23271882222679649</v>
          </cell>
          <cell r="P5">
            <v>0.17939586977624172</v>
          </cell>
          <cell r="Q5">
            <v>0.27123117035787181</v>
          </cell>
          <cell r="R5">
            <v>0.3469047226065855</v>
          </cell>
          <cell r="S5">
            <v>0.45182068630319128</v>
          </cell>
          <cell r="T5">
            <v>0.3543722913029112</v>
          </cell>
          <cell r="U5">
            <v>0.31166290284756998</v>
          </cell>
          <cell r="V5">
            <v>0.33848075225612756</v>
          </cell>
          <cell r="W5">
            <v>0.24207065961206078</v>
          </cell>
          <cell r="X5">
            <v>0.31421534896795322</v>
          </cell>
          <cell r="Y5">
            <v>0.30173361634459944</v>
          </cell>
          <cell r="Z5">
            <v>0.34342066892694806</v>
          </cell>
          <cell r="AA5">
            <v>0.42605006226399789</v>
          </cell>
          <cell r="AB5">
            <v>0.39924915484704404</v>
          </cell>
          <cell r="AC5">
            <v>0.43677137512519842</v>
          </cell>
          <cell r="AD5">
            <v>0.4903756416006595</v>
          </cell>
          <cell r="AE5">
            <v>0.50357718221028069</v>
          </cell>
          <cell r="AF5">
            <v>0.43642354299234865</v>
          </cell>
          <cell r="AG5">
            <v>0.39491334064319572</v>
          </cell>
          <cell r="AH5">
            <v>0.29168503619934993</v>
          </cell>
          <cell r="AI5">
            <v>0.18503545015297554</v>
          </cell>
          <cell r="AJ5">
            <v>0.18322866013093492</v>
          </cell>
          <cell r="AK5">
            <v>0.25986778197339788</v>
          </cell>
          <cell r="AL5">
            <v>0.25351675175491994</v>
          </cell>
          <cell r="AM5">
            <v>0.26279699201785972</v>
          </cell>
          <cell r="AN5">
            <v>0.17064659271504912</v>
          </cell>
          <cell r="AO5">
            <v>0.20698505503636089</v>
          </cell>
          <cell r="AP5">
            <v>0.24515131019009903</v>
          </cell>
          <cell r="AQ5">
            <v>0.29944273231912383</v>
          </cell>
          <cell r="AR5">
            <v>0.33275297769843593</v>
          </cell>
          <cell r="AS5">
            <v>0.34778786657765137</v>
          </cell>
          <cell r="AT5">
            <v>0.40682254126251965</v>
          </cell>
          <cell r="AU5">
            <v>0.27106768349346116</v>
          </cell>
        </row>
        <row r="7">
          <cell r="G7">
            <v>0</v>
          </cell>
          <cell r="H7">
            <v>-1</v>
          </cell>
          <cell r="I7">
            <v>-2</v>
          </cell>
          <cell r="J7">
            <v>-3</v>
          </cell>
          <cell r="K7">
            <v>-4</v>
          </cell>
          <cell r="L7">
            <v>-5</v>
          </cell>
          <cell r="M7">
            <v>-6</v>
          </cell>
          <cell r="N7">
            <v>-7</v>
          </cell>
          <cell r="O7">
            <v>-8</v>
          </cell>
          <cell r="P7">
            <v>-9</v>
          </cell>
          <cell r="Q7">
            <v>-10</v>
          </cell>
          <cell r="R7">
            <v>-11</v>
          </cell>
          <cell r="S7">
            <v>-12</v>
          </cell>
          <cell r="T7">
            <v>-13</v>
          </cell>
          <cell r="U7">
            <v>-14</v>
          </cell>
          <cell r="V7">
            <v>-15</v>
          </cell>
          <cell r="W7">
            <v>-16</v>
          </cell>
          <cell r="X7">
            <v>-17</v>
          </cell>
          <cell r="Y7">
            <v>-18</v>
          </cell>
          <cell r="Z7">
            <v>-19</v>
          </cell>
          <cell r="AA7">
            <v>-20</v>
          </cell>
          <cell r="AB7">
            <v>-21</v>
          </cell>
          <cell r="AC7">
            <v>-22</v>
          </cell>
          <cell r="AD7">
            <v>-23</v>
          </cell>
          <cell r="AE7">
            <v>-24</v>
          </cell>
          <cell r="AF7">
            <v>-25</v>
          </cell>
          <cell r="AG7">
            <v>-26</v>
          </cell>
          <cell r="AH7">
            <v>-27</v>
          </cell>
          <cell r="AI7">
            <v>-28</v>
          </cell>
          <cell r="AJ7">
            <v>-29</v>
          </cell>
          <cell r="AK7">
            <v>-30</v>
          </cell>
          <cell r="AL7">
            <v>-31</v>
          </cell>
          <cell r="AM7">
            <v>-32</v>
          </cell>
          <cell r="AN7">
            <v>-33</v>
          </cell>
          <cell r="AO7">
            <v>-34</v>
          </cell>
          <cell r="AP7">
            <v>-35</v>
          </cell>
          <cell r="AQ7">
            <v>-36</v>
          </cell>
          <cell r="AR7">
            <v>-37</v>
          </cell>
          <cell r="AS7">
            <v>-38</v>
          </cell>
          <cell r="AT7">
            <v>-39</v>
          </cell>
          <cell r="AU7">
            <v>-40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Chilko"/>
      <sheetName val="LateStuart"/>
      <sheetName val="Quesnel"/>
      <sheetName val="Raft"/>
      <sheetName val="Stellako"/>
    </sheetNames>
    <sheetDataSet>
      <sheetData sheetId="0"/>
      <sheetData sheetId="1">
        <row r="6">
          <cell r="B6">
            <v>2000</v>
          </cell>
          <cell r="C6">
            <v>1399857</v>
          </cell>
          <cell r="D6">
            <v>14.151880646511406</v>
          </cell>
        </row>
        <row r="7">
          <cell r="B7">
            <v>2001</v>
          </cell>
          <cell r="C7">
            <v>853263</v>
          </cell>
          <cell r="D7">
            <v>13.656823102515766</v>
          </cell>
          <cell r="E7">
            <v>-0.49505754399564061</v>
          </cell>
        </row>
        <row r="8">
          <cell r="B8">
            <v>2002</v>
          </cell>
          <cell r="C8">
            <v>648667</v>
          </cell>
          <cell r="D8">
            <v>13.382674766934461</v>
          </cell>
          <cell r="E8">
            <v>-0.27414833558130525</v>
          </cell>
        </row>
        <row r="9">
          <cell r="B9">
            <v>2003</v>
          </cell>
          <cell r="C9">
            <v>1562429</v>
          </cell>
          <cell r="D9">
            <v>14.261752219560266</v>
          </cell>
          <cell r="E9">
            <v>0.87907745262580583</v>
          </cell>
        </row>
        <row r="10">
          <cell r="B10">
            <v>2004</v>
          </cell>
          <cell r="C10">
            <v>546611</v>
          </cell>
          <cell r="D10">
            <v>13.211492676679027</v>
          </cell>
          <cell r="E10">
            <v>-1.0502595428812391</v>
          </cell>
        </row>
        <row r="11">
          <cell r="B11">
            <v>2005</v>
          </cell>
          <cell r="C11">
            <v>1075508</v>
          </cell>
          <cell r="D11">
            <v>13.888303666063001</v>
          </cell>
          <cell r="E11">
            <v>0.67681098938397355</v>
          </cell>
        </row>
        <row r="12">
          <cell r="B12">
            <v>2006</v>
          </cell>
          <cell r="C12">
            <v>1280343</v>
          </cell>
          <cell r="D12">
            <v>14.062638568748588</v>
          </cell>
          <cell r="E12">
            <v>0.17433490268558671</v>
          </cell>
        </row>
        <row r="13">
          <cell r="B13">
            <v>2007</v>
          </cell>
          <cell r="C13">
            <v>437555</v>
          </cell>
          <cell r="D13">
            <v>12.988957691164142</v>
          </cell>
          <cell r="E13">
            <v>-1.0736808775844455</v>
          </cell>
        </row>
        <row r="14">
          <cell r="B14">
            <v>2008</v>
          </cell>
          <cell r="C14">
            <v>449941</v>
          </cell>
          <cell r="D14">
            <v>13.016871742039578</v>
          </cell>
          <cell r="E14">
            <v>2.7914050875436303E-2</v>
          </cell>
        </row>
        <row r="15">
          <cell r="B15">
            <v>2009</v>
          </cell>
          <cell r="C15">
            <v>308867</v>
          </cell>
          <cell r="D15">
            <v>12.640666042510325</v>
          </cell>
          <cell r="E15">
            <v>-0.37620569952925287</v>
          </cell>
        </row>
        <row r="16">
          <cell r="B16">
            <v>2010</v>
          </cell>
          <cell r="C16">
            <v>4540036</v>
          </cell>
          <cell r="D16">
            <v>15.328445499501511</v>
          </cell>
          <cell r="E16">
            <v>2.6877794569911853</v>
          </cell>
        </row>
        <row r="17">
          <cell r="B17">
            <v>2011</v>
          </cell>
          <cell r="C17">
            <v>1692466</v>
          </cell>
          <cell r="D17">
            <v>14.341697194940496</v>
          </cell>
          <cell r="E17">
            <v>-0.98674830456101503</v>
          </cell>
        </row>
        <row r="18">
          <cell r="B18">
            <v>2012</v>
          </cell>
          <cell r="C18">
            <v>551255</v>
          </cell>
          <cell r="D18">
            <v>13.219952775996843</v>
          </cell>
          <cell r="E18">
            <v>-1.1217444189436527</v>
          </cell>
        </row>
        <row r="19">
          <cell r="B19">
            <v>2013</v>
          </cell>
          <cell r="C19">
            <v>1747708</v>
          </cell>
          <cell r="D19">
            <v>14.373815773188618</v>
          </cell>
          <cell r="E19">
            <v>1.1538629971917747</v>
          </cell>
        </row>
        <row r="20">
          <cell r="B20">
            <v>2014</v>
          </cell>
          <cell r="C20">
            <v>2863174</v>
          </cell>
          <cell r="D20">
            <v>14.86744135764391</v>
          </cell>
          <cell r="E20">
            <v>0.49362558445529281</v>
          </cell>
        </row>
        <row r="21">
          <cell r="B21">
            <v>2015</v>
          </cell>
          <cell r="C21">
            <v>1001669</v>
          </cell>
          <cell r="D21">
            <v>13.817178166731537</v>
          </cell>
          <cell r="E21">
            <v>-1.0502631909123732</v>
          </cell>
        </row>
        <row r="22">
          <cell r="B22">
            <v>2016</v>
          </cell>
          <cell r="C22">
            <v>287625</v>
          </cell>
          <cell r="D22">
            <v>12.569412827337667</v>
          </cell>
          <cell r="E22">
            <v>-1.2477653393938706</v>
          </cell>
        </row>
        <row r="23">
          <cell r="B23">
            <v>2017</v>
          </cell>
          <cell r="C23">
            <v>463257</v>
          </cell>
          <cell r="D23">
            <v>13.046037254664851</v>
          </cell>
          <cell r="E23">
            <v>0.47662442732718446</v>
          </cell>
        </row>
        <row r="24">
          <cell r="B24">
            <v>2018</v>
          </cell>
          <cell r="C24">
            <v>1608774</v>
          </cell>
          <cell r="D24">
            <v>14.290982956196114</v>
          </cell>
          <cell r="E24">
            <v>1.2449457015312628</v>
          </cell>
        </row>
        <row r="25">
          <cell r="B25">
            <v>2019</v>
          </cell>
          <cell r="C25">
            <v>251448</v>
          </cell>
          <cell r="D25">
            <v>12.434991487700911</v>
          </cell>
          <cell r="E25">
            <v>-1.855991468495203</v>
          </cell>
        </row>
        <row r="26">
          <cell r="B26">
            <v>2020</v>
          </cell>
          <cell r="C26">
            <v>77511</v>
          </cell>
          <cell r="D26">
            <v>11.258175140753421</v>
          </cell>
          <cell r="E26">
            <v>-1.1768163469474899</v>
          </cell>
        </row>
        <row r="27">
          <cell r="B27">
            <v>2021</v>
          </cell>
          <cell r="C27">
            <v>1139557</v>
          </cell>
          <cell r="D27">
            <v>13.946150148356267</v>
          </cell>
          <cell r="E27">
            <v>2.6879750076028461</v>
          </cell>
        </row>
        <row r="28">
          <cell r="B28">
            <v>2022</v>
          </cell>
          <cell r="C28">
            <v>1607251</v>
          </cell>
          <cell r="D28">
            <v>14.290035824184484</v>
          </cell>
          <cell r="E28">
            <v>0.34388567582821672</v>
          </cell>
        </row>
        <row r="29">
          <cell r="B29">
            <v>2023</v>
          </cell>
          <cell r="C29">
            <v>576000</v>
          </cell>
          <cell r="D29">
            <v>13.263862939678027</v>
          </cell>
          <cell r="E29">
            <v>-1.0261728845064564</v>
          </cell>
        </row>
        <row r="30">
          <cell r="B30">
            <v>2024</v>
          </cell>
          <cell r="C30">
            <v>115197</v>
          </cell>
          <cell r="D30">
            <v>11.654398985238171</v>
          </cell>
          <cell r="E30">
            <v>-1.6094639544398568</v>
          </cell>
        </row>
        <row r="79">
          <cell r="E79">
            <v>1652925</v>
          </cell>
          <cell r="G79">
            <v>1643062</v>
          </cell>
          <cell r="M79">
            <v>32000</v>
          </cell>
        </row>
        <row r="80">
          <cell r="E80">
            <v>828243</v>
          </cell>
          <cell r="G80">
            <v>560635</v>
          </cell>
          <cell r="M80">
            <v>3732</v>
          </cell>
        </row>
        <row r="81">
          <cell r="E81">
            <v>246165</v>
          </cell>
          <cell r="G81">
            <v>183278</v>
          </cell>
          <cell r="M81">
            <v>1489</v>
          </cell>
        </row>
        <row r="82">
          <cell r="E82">
            <v>690225</v>
          </cell>
          <cell r="G82">
            <v>644911</v>
          </cell>
          <cell r="M82">
            <v>3925</v>
          </cell>
        </row>
        <row r="83">
          <cell r="E83">
            <v>1860093</v>
          </cell>
          <cell r="G83">
            <v>1763929</v>
          </cell>
          <cell r="M83">
            <v>18732</v>
          </cell>
        </row>
        <row r="84">
          <cell r="E84">
            <v>607788</v>
          </cell>
          <cell r="G84">
            <v>514554</v>
          </cell>
          <cell r="M84">
            <v>1172</v>
          </cell>
        </row>
        <row r="85">
          <cell r="E85">
            <v>768653</v>
          </cell>
          <cell r="G85">
            <v>632132</v>
          </cell>
          <cell r="M85">
            <v>12234</v>
          </cell>
        </row>
        <row r="86">
          <cell r="E86">
            <v>1487328</v>
          </cell>
          <cell r="G86">
            <v>1407963</v>
          </cell>
          <cell r="M86">
            <v>32418</v>
          </cell>
        </row>
        <row r="87">
          <cell r="E87">
            <v>2453759</v>
          </cell>
          <cell r="G87">
            <v>2379854</v>
          </cell>
          <cell r="M87">
            <v>13905</v>
          </cell>
        </row>
        <row r="88">
          <cell r="E88">
            <v>163316</v>
          </cell>
          <cell r="G88">
            <v>117362</v>
          </cell>
          <cell r="M88">
            <v>76</v>
          </cell>
        </row>
        <row r="89">
          <cell r="E89">
            <v>324550</v>
          </cell>
          <cell r="G89">
            <v>278320</v>
          </cell>
          <cell r="M89">
            <v>4055</v>
          </cell>
        </row>
        <row r="90">
          <cell r="E90">
            <v>2231435</v>
          </cell>
          <cell r="G90">
            <v>2080497</v>
          </cell>
          <cell r="M90">
            <v>23792</v>
          </cell>
        </row>
        <row r="91">
          <cell r="E91">
            <v>1072291</v>
          </cell>
          <cell r="G91">
            <v>958877</v>
          </cell>
          <cell r="M91">
            <v>5472</v>
          </cell>
        </row>
        <row r="92">
          <cell r="E92">
            <v>151720</v>
          </cell>
          <cell r="G92">
            <v>52713</v>
          </cell>
          <cell r="M92">
            <v>256</v>
          </cell>
        </row>
        <row r="93">
          <cell r="E93">
            <v>1014263</v>
          </cell>
          <cell r="G93">
            <v>960609</v>
          </cell>
          <cell r="M93">
            <v>10657</v>
          </cell>
        </row>
        <row r="94">
          <cell r="E94">
            <v>1138362</v>
          </cell>
          <cell r="G94">
            <v>1112861</v>
          </cell>
          <cell r="M94">
            <v>37579</v>
          </cell>
        </row>
        <row r="95">
          <cell r="E95">
            <v>1873120</v>
          </cell>
          <cell r="G95">
            <v>1818921</v>
          </cell>
          <cell r="M95">
            <v>7252</v>
          </cell>
        </row>
        <row r="96">
          <cell r="E96">
            <v>380200</v>
          </cell>
          <cell r="G96">
            <v>138555</v>
          </cell>
          <cell r="M96">
            <v>1787</v>
          </cell>
        </row>
        <row r="97">
          <cell r="E97">
            <v>791502</v>
          </cell>
          <cell r="G97">
            <v>744469</v>
          </cell>
          <cell r="M97">
            <v>26456</v>
          </cell>
        </row>
        <row r="98">
          <cell r="E98">
            <v>2102377</v>
          </cell>
          <cell r="G98">
            <v>1933329</v>
          </cell>
          <cell r="M98">
            <v>28734</v>
          </cell>
        </row>
        <row r="99">
          <cell r="E99">
            <v>2391956</v>
          </cell>
          <cell r="G99">
            <v>2349375</v>
          </cell>
          <cell r="M99">
            <v>46952</v>
          </cell>
        </row>
        <row r="100">
          <cell r="E100">
            <v>464529</v>
          </cell>
          <cell r="G100">
            <v>369954</v>
          </cell>
          <cell r="M100">
            <v>4126</v>
          </cell>
        </row>
        <row r="101">
          <cell r="E101">
            <v>723368</v>
          </cell>
          <cell r="G101">
            <v>630046</v>
          </cell>
          <cell r="M101">
            <v>16775</v>
          </cell>
        </row>
        <row r="102">
          <cell r="E102">
            <v>838396</v>
          </cell>
          <cell r="G102">
            <v>740253</v>
          </cell>
          <cell r="M102">
            <v>58786</v>
          </cell>
        </row>
        <row r="103">
          <cell r="E103">
            <v>1998190</v>
          </cell>
          <cell r="G103">
            <v>1947465</v>
          </cell>
          <cell r="M103">
            <v>42709</v>
          </cell>
        </row>
        <row r="104">
          <cell r="E104">
            <v>348080</v>
          </cell>
          <cell r="G104">
            <v>200775</v>
          </cell>
          <cell r="M104">
            <v>8835</v>
          </cell>
        </row>
        <row r="105">
          <cell r="E105">
            <v>702349</v>
          </cell>
          <cell r="G105">
            <v>641497</v>
          </cell>
          <cell r="M105">
            <v>26487</v>
          </cell>
        </row>
        <row r="106">
          <cell r="E106">
            <v>1460107</v>
          </cell>
          <cell r="G106">
            <v>1389008</v>
          </cell>
          <cell r="M106">
            <v>22821</v>
          </cell>
        </row>
        <row r="107">
          <cell r="E107">
            <v>1735811</v>
          </cell>
          <cell r="G107">
            <v>1650944</v>
          </cell>
          <cell r="M107">
            <v>8457</v>
          </cell>
        </row>
        <row r="108">
          <cell r="E108">
            <v>238911</v>
          </cell>
          <cell r="G108">
            <v>190527</v>
          </cell>
          <cell r="M108">
            <v>3346</v>
          </cell>
        </row>
        <row r="109">
          <cell r="E109">
            <v>1184116</v>
          </cell>
          <cell r="G109">
            <v>1169034</v>
          </cell>
          <cell r="M109">
            <v>8616</v>
          </cell>
        </row>
        <row r="110">
          <cell r="E110">
            <v>1716873</v>
          </cell>
          <cell r="G110">
            <v>1615466</v>
          </cell>
          <cell r="M110">
            <v>9358</v>
          </cell>
        </row>
        <row r="111">
          <cell r="E111">
            <v>4010144</v>
          </cell>
          <cell r="G111">
            <v>3920494</v>
          </cell>
          <cell r="M111">
            <v>12504</v>
          </cell>
        </row>
        <row r="112">
          <cell r="E112">
            <v>749943</v>
          </cell>
          <cell r="G112">
            <v>180656</v>
          </cell>
          <cell r="M112">
            <v>1722</v>
          </cell>
        </row>
        <row r="113">
          <cell r="E113">
            <v>1427395</v>
          </cell>
          <cell r="G113">
            <v>1355953</v>
          </cell>
          <cell r="M113">
            <v>52424</v>
          </cell>
        </row>
        <row r="114">
          <cell r="E114">
            <v>1922927</v>
          </cell>
          <cell r="G114">
            <v>1717330</v>
          </cell>
          <cell r="M114">
            <v>45476</v>
          </cell>
        </row>
        <row r="115">
          <cell r="E115">
            <v>852340</v>
          </cell>
          <cell r="G115">
            <v>500714</v>
          </cell>
          <cell r="M115">
            <v>11108</v>
          </cell>
        </row>
        <row r="116">
          <cell r="E116">
            <v>576617</v>
          </cell>
          <cell r="G116">
            <v>366037</v>
          </cell>
          <cell r="M116">
            <v>970</v>
          </cell>
        </row>
        <row r="117">
          <cell r="E117">
            <v>4634167</v>
          </cell>
          <cell r="G117">
            <v>4413216</v>
          </cell>
          <cell r="M117">
            <v>47835</v>
          </cell>
        </row>
        <row r="118">
          <cell r="E118">
            <v>4371072</v>
          </cell>
          <cell r="G118">
            <v>4032356</v>
          </cell>
          <cell r="M118">
            <v>11552</v>
          </cell>
        </row>
        <row r="119">
          <cell r="E119">
            <v>3370308</v>
          </cell>
          <cell r="G119">
            <v>2979547</v>
          </cell>
          <cell r="M119">
            <v>2697</v>
          </cell>
        </row>
        <row r="120">
          <cell r="E120">
            <v>3344580</v>
          </cell>
          <cell r="G120">
            <v>3015024</v>
          </cell>
          <cell r="M120">
            <v>11841</v>
          </cell>
        </row>
        <row r="121">
          <cell r="E121">
            <v>2512232</v>
          </cell>
          <cell r="G121">
            <v>2412516</v>
          </cell>
          <cell r="M121">
            <v>13262</v>
          </cell>
        </row>
        <row r="122">
          <cell r="E122">
            <v>1329086</v>
          </cell>
          <cell r="G122">
            <v>1126703</v>
          </cell>
          <cell r="M122">
            <v>4495</v>
          </cell>
        </row>
        <row r="123">
          <cell r="E123">
            <v>2043114</v>
          </cell>
          <cell r="G123">
            <v>1773513</v>
          </cell>
          <cell r="M123">
            <v>3754</v>
          </cell>
        </row>
        <row r="124">
          <cell r="E124">
            <v>3480174</v>
          </cell>
          <cell r="G124">
            <v>3380892</v>
          </cell>
          <cell r="M124">
            <v>18173</v>
          </cell>
        </row>
        <row r="125">
          <cell r="E125">
            <v>1899495</v>
          </cell>
          <cell r="G125">
            <v>1331935</v>
          </cell>
          <cell r="M125">
            <v>10606</v>
          </cell>
        </row>
        <row r="126">
          <cell r="E126">
            <v>1122964</v>
          </cell>
          <cell r="G126">
            <v>1045307</v>
          </cell>
          <cell r="M126">
            <v>2778</v>
          </cell>
        </row>
        <row r="127">
          <cell r="E127">
            <v>1399857</v>
          </cell>
          <cell r="G127">
            <v>1175834</v>
          </cell>
          <cell r="M127">
            <v>359</v>
          </cell>
        </row>
        <row r="128">
          <cell r="E128">
            <v>853263</v>
          </cell>
          <cell r="G128">
            <v>663879</v>
          </cell>
          <cell r="M128">
            <v>222</v>
          </cell>
        </row>
        <row r="129">
          <cell r="E129">
            <v>648667</v>
          </cell>
          <cell r="G129">
            <v>423716</v>
          </cell>
          <cell r="M129">
            <v>1084</v>
          </cell>
        </row>
        <row r="130">
          <cell r="E130">
            <v>1562429</v>
          </cell>
          <cell r="G130">
            <v>1449980</v>
          </cell>
          <cell r="M130">
            <v>2228</v>
          </cell>
        </row>
        <row r="131">
          <cell r="E131">
            <v>546611</v>
          </cell>
          <cell r="G131">
            <v>424960</v>
          </cell>
          <cell r="M131">
            <v>3918</v>
          </cell>
        </row>
        <row r="132">
          <cell r="E132">
            <v>1075508</v>
          </cell>
          <cell r="G132">
            <v>1001606</v>
          </cell>
          <cell r="M132">
            <v>176</v>
          </cell>
        </row>
        <row r="133">
          <cell r="E133">
            <v>1280343</v>
          </cell>
          <cell r="G133">
            <v>1119367</v>
          </cell>
          <cell r="M133">
            <v>4514</v>
          </cell>
        </row>
        <row r="134">
          <cell r="E134">
            <v>437555</v>
          </cell>
          <cell r="G134">
            <v>321849</v>
          </cell>
          <cell r="M134">
            <v>557</v>
          </cell>
        </row>
        <row r="135">
          <cell r="E135">
            <v>449941</v>
          </cell>
          <cell r="G135">
            <v>388845</v>
          </cell>
          <cell r="M135">
            <v>854</v>
          </cell>
        </row>
        <row r="136">
          <cell r="E136">
            <v>308867</v>
          </cell>
          <cell r="G136">
            <v>262920</v>
          </cell>
          <cell r="M136">
            <v>720</v>
          </cell>
        </row>
        <row r="137">
          <cell r="E137">
            <v>4540036</v>
          </cell>
          <cell r="G137">
            <v>4462878</v>
          </cell>
          <cell r="M137">
            <v>5283</v>
          </cell>
        </row>
        <row r="138">
          <cell r="E138">
            <v>1692466</v>
          </cell>
          <cell r="G138">
            <v>1164212</v>
          </cell>
          <cell r="M138">
            <v>2996</v>
          </cell>
        </row>
        <row r="139">
          <cell r="E139">
            <v>551255</v>
          </cell>
          <cell r="G139">
            <v>496271</v>
          </cell>
          <cell r="M139">
            <v>2364</v>
          </cell>
        </row>
        <row r="140">
          <cell r="E140">
            <v>1747708</v>
          </cell>
          <cell r="G140">
            <v>1628663</v>
          </cell>
          <cell r="M140">
            <v>1271</v>
          </cell>
        </row>
        <row r="141">
          <cell r="E141">
            <v>2863174</v>
          </cell>
          <cell r="G141">
            <v>2637175</v>
          </cell>
          <cell r="M141">
            <v>44119</v>
          </cell>
        </row>
        <row r="142">
          <cell r="E142">
            <v>1001669</v>
          </cell>
          <cell r="G142">
            <v>878488</v>
          </cell>
          <cell r="M142">
            <v>3493</v>
          </cell>
        </row>
        <row r="143">
          <cell r="E143">
            <v>287625</v>
          </cell>
          <cell r="G143">
            <v>195956</v>
          </cell>
          <cell r="M143">
            <v>2479</v>
          </cell>
        </row>
        <row r="144">
          <cell r="E144">
            <v>463257</v>
          </cell>
          <cell r="G144">
            <v>426237</v>
          </cell>
          <cell r="M144">
            <v>905</v>
          </cell>
        </row>
        <row r="145">
          <cell r="E145">
            <v>1608774</v>
          </cell>
          <cell r="G145">
            <v>1555820</v>
          </cell>
          <cell r="M145">
            <v>2932</v>
          </cell>
        </row>
        <row r="146">
          <cell r="E146">
            <v>251448</v>
          </cell>
          <cell r="G146">
            <v>164957</v>
          </cell>
          <cell r="M146">
            <v>1480</v>
          </cell>
        </row>
        <row r="147">
          <cell r="E147">
            <v>77511</v>
          </cell>
          <cell r="G147">
            <v>26869</v>
          </cell>
          <cell r="M147">
            <v>157</v>
          </cell>
        </row>
        <row r="148">
          <cell r="E148">
            <v>1139557</v>
          </cell>
          <cell r="G148">
            <v>1106873</v>
          </cell>
          <cell r="M148">
            <v>1149</v>
          </cell>
        </row>
        <row r="149">
          <cell r="E149">
            <v>1607251</v>
          </cell>
          <cell r="G149">
            <v>1567086</v>
          </cell>
          <cell r="M149">
            <v>19531</v>
          </cell>
        </row>
        <row r="150">
          <cell r="E150">
            <v>576000</v>
          </cell>
          <cell r="G150">
            <v>447000</v>
          </cell>
          <cell r="M150">
            <v>83</v>
          </cell>
        </row>
        <row r="151">
          <cell r="E151">
            <v>115197</v>
          </cell>
          <cell r="G151">
            <v>87217</v>
          </cell>
          <cell r="M151">
            <v>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9AF-9F88-4A07-B36E-5936E9BAA03D}">
  <dimension ref="A1:AU53"/>
  <sheetViews>
    <sheetView topLeftCell="C16" workbookViewId="0">
      <selection activeCell="O53" sqref="O53"/>
    </sheetView>
  </sheetViews>
  <sheetFormatPr defaultRowHeight="15" x14ac:dyDescent="0.25"/>
  <cols>
    <col min="2" max="2" width="7.7109375" customWidth="1"/>
  </cols>
  <sheetData>
    <row r="1" spans="1:47" x14ac:dyDescent="0.25">
      <c r="A1" t="s">
        <v>9</v>
      </c>
    </row>
    <row r="2" spans="1:47" x14ac:dyDescent="0.25">
      <c r="A2" s="2"/>
      <c r="B2" s="2"/>
      <c r="C2" s="2"/>
      <c r="D2" s="2"/>
      <c r="E2" s="2"/>
    </row>
    <row r="3" spans="1:47" x14ac:dyDescent="0.25">
      <c r="A3" s="2"/>
      <c r="B3" s="2"/>
      <c r="C3" s="2"/>
      <c r="D3" s="3"/>
      <c r="E3" s="3"/>
    </row>
    <row r="4" spans="1:47" x14ac:dyDescent="0.25">
      <c r="A4" s="2"/>
      <c r="B4" s="2"/>
      <c r="C4" s="2"/>
      <c r="D4" s="2"/>
      <c r="E4" s="2"/>
      <c r="G4">
        <f>CORREL($D$27:$D$52,G27:G52)</f>
        <v>9.4488788861381609E-2</v>
      </c>
      <c r="H4">
        <f t="shared" ref="H4:AU4" si="0">CORREL($D$27:$D$52,H27:H52)</f>
        <v>0.25465490885701531</v>
      </c>
      <c r="I4">
        <f t="shared" si="0"/>
        <v>8.882586785288292E-2</v>
      </c>
      <c r="J4">
        <f t="shared" si="0"/>
        <v>0.15340229885229076</v>
      </c>
      <c r="K4">
        <f t="shared" si="0"/>
        <v>0.18469136360110336</v>
      </c>
      <c r="L4">
        <f t="shared" si="0"/>
        <v>5.3182227947067361E-2</v>
      </c>
      <c r="M4">
        <f t="shared" si="0"/>
        <v>0.10099995932081185</v>
      </c>
      <c r="N4">
        <f t="shared" si="0"/>
        <v>0.24198092781063893</v>
      </c>
      <c r="O4">
        <f t="shared" si="0"/>
        <v>0.29585989875583318</v>
      </c>
      <c r="P4">
        <f t="shared" si="0"/>
        <v>0.24815869711783231</v>
      </c>
      <c r="Q4">
        <f t="shared" si="0"/>
        <v>0.20307288708812496</v>
      </c>
      <c r="R4">
        <f t="shared" si="0"/>
        <v>0.33624837715474465</v>
      </c>
      <c r="S4">
        <f t="shared" si="0"/>
        <v>0.34685545372849969</v>
      </c>
      <c r="T4">
        <f t="shared" si="0"/>
        <v>0.20101629161241211</v>
      </c>
      <c r="U4">
        <f t="shared" si="0"/>
        <v>0.17137172584096352</v>
      </c>
      <c r="V4">
        <f t="shared" si="0"/>
        <v>5.6988553197191795E-2</v>
      </c>
      <c r="W4">
        <f t="shared" si="0"/>
        <v>0.34403969303888482</v>
      </c>
      <c r="X4">
        <f t="shared" si="0"/>
        <v>0.35218596188399437</v>
      </c>
      <c r="Y4">
        <f t="shared" si="0"/>
        <v>0.32174554173236553</v>
      </c>
      <c r="Z4">
        <f t="shared" si="0"/>
        <v>0.28717658495172582</v>
      </c>
      <c r="AA4">
        <f t="shared" si="0"/>
        <v>0.20355561335667771</v>
      </c>
      <c r="AB4">
        <f t="shared" si="0"/>
        <v>0.18298997899666639</v>
      </c>
      <c r="AC4">
        <f t="shared" si="0"/>
        <v>0.23410094280405658</v>
      </c>
      <c r="AD4">
        <f t="shared" si="0"/>
        <v>0.16635697868917346</v>
      </c>
      <c r="AE4">
        <f t="shared" si="0"/>
        <v>0.17270109043447651</v>
      </c>
      <c r="AF4">
        <f t="shared" si="0"/>
        <v>0.14821953086549489</v>
      </c>
      <c r="AG4">
        <f t="shared" si="0"/>
        <v>-0.11334253394266107</v>
      </c>
      <c r="AH4">
        <f t="shared" si="0"/>
        <v>-7.2369816741976845E-2</v>
      </c>
      <c r="AI4">
        <f t="shared" si="0"/>
        <v>-0.18378330722622807</v>
      </c>
      <c r="AJ4">
        <f t="shared" si="0"/>
        <v>-0.1161798516558611</v>
      </c>
      <c r="AK4">
        <f t="shared" si="0"/>
        <v>-0.19962494930904789</v>
      </c>
      <c r="AL4">
        <f t="shared" si="0"/>
        <v>-8.2576468654195795E-2</v>
      </c>
      <c r="AM4">
        <f t="shared" si="0"/>
        <v>-0.10566156011160444</v>
      </c>
      <c r="AN4">
        <f t="shared" si="0"/>
        <v>-0.10292699012561608</v>
      </c>
      <c r="AO4">
        <f t="shared" si="0"/>
        <v>-9.5526428662526253E-2</v>
      </c>
      <c r="AP4">
        <f t="shared" si="0"/>
        <v>-0.20113673686133568</v>
      </c>
      <c r="AQ4">
        <f t="shared" si="0"/>
        <v>-0.26203686252034442</v>
      </c>
      <c r="AR4">
        <f t="shared" si="0"/>
        <v>-0.12517839496050431</v>
      </c>
      <c r="AS4">
        <f t="shared" si="0"/>
        <v>2.3278121135397885E-3</v>
      </c>
      <c r="AT4">
        <f t="shared" si="0"/>
        <v>-0.28307901276362613</v>
      </c>
      <c r="AU4">
        <f t="shared" si="0"/>
        <v>-9.6083311776048341E-2</v>
      </c>
    </row>
    <row r="5" spans="1:47" x14ac:dyDescent="0.25">
      <c r="A5" s="2"/>
      <c r="B5" s="2"/>
      <c r="C5" s="2"/>
      <c r="D5" s="2"/>
      <c r="E5" s="2"/>
      <c r="F5" t="s">
        <v>6</v>
      </c>
      <c r="G5">
        <f>CORREL($D$10:$D$26,G10:G26)</f>
        <v>4.3866300418252159E-2</v>
      </c>
      <c r="H5">
        <f t="shared" ref="H5:AU5" si="1">CORREL($D$10:$D$26,H10:H26)</f>
        <v>-2.4239037994170237E-2</v>
      </c>
      <c r="I5">
        <f t="shared" si="1"/>
        <v>0.20534583282084556</v>
      </c>
      <c r="J5">
        <f t="shared" si="1"/>
        <v>0.26597917881840272</v>
      </c>
      <c r="K5">
        <f t="shared" si="1"/>
        <v>0.18939954916208843</v>
      </c>
      <c r="L5">
        <f t="shared" si="1"/>
        <v>0.48380209402450192</v>
      </c>
      <c r="M5">
        <f t="shared" si="1"/>
        <v>0.16155136273019374</v>
      </c>
      <c r="N5">
        <f t="shared" si="1"/>
        <v>0.14674787224187177</v>
      </c>
      <c r="O5">
        <f t="shared" si="1"/>
        <v>8.9668756412698489E-2</v>
      </c>
      <c r="P5">
        <f t="shared" si="1"/>
        <v>0.21449690722458126</v>
      </c>
      <c r="Q5">
        <f t="shared" si="1"/>
        <v>0.16156851538450787</v>
      </c>
      <c r="R5">
        <f t="shared" si="1"/>
        <v>6.5880535090388034E-2</v>
      </c>
      <c r="S5">
        <f t="shared" si="1"/>
        <v>-0.18370253899652528</v>
      </c>
      <c r="T5">
        <f t="shared" si="1"/>
        <v>-0.21681340740178642</v>
      </c>
      <c r="U5">
        <f t="shared" si="1"/>
        <v>-0.17404275845960554</v>
      </c>
      <c r="V5">
        <f t="shared" si="1"/>
        <v>-0.16171614554273883</v>
      </c>
      <c r="W5">
        <f t="shared" si="1"/>
        <v>5.3783938849843609E-2</v>
      </c>
      <c r="X5">
        <f t="shared" si="1"/>
        <v>-1.6023187793208188E-2</v>
      </c>
      <c r="Y5">
        <f t="shared" si="1"/>
        <v>3.5440365290367599E-2</v>
      </c>
      <c r="Z5">
        <f t="shared" si="1"/>
        <v>-0.16314261147734654</v>
      </c>
      <c r="AA5">
        <f t="shared" si="1"/>
        <v>-0.31161320101783346</v>
      </c>
      <c r="AB5">
        <f t="shared" si="1"/>
        <v>-0.3682017283145349</v>
      </c>
      <c r="AC5">
        <f t="shared" si="1"/>
        <v>-0.42796520126479587</v>
      </c>
      <c r="AD5">
        <f t="shared" si="1"/>
        <v>-0.38133956781928807</v>
      </c>
      <c r="AE5">
        <f t="shared" si="1"/>
        <v>-0.3596950642937542</v>
      </c>
      <c r="AF5">
        <f t="shared" si="1"/>
        <v>-0.2913758331396723</v>
      </c>
      <c r="AG5">
        <f t="shared" si="1"/>
        <v>-6.8612357562922471E-2</v>
      </c>
      <c r="AH5">
        <f t="shared" si="1"/>
        <v>6.5766659064326827E-2</v>
      </c>
      <c r="AI5">
        <f t="shared" si="1"/>
        <v>9.9692824188992654E-2</v>
      </c>
      <c r="AJ5">
        <f t="shared" si="1"/>
        <v>-0.20316948690139866</v>
      </c>
      <c r="AK5">
        <f t="shared" si="1"/>
        <v>0.11747706458391208</v>
      </c>
      <c r="AL5">
        <f t="shared" si="1"/>
        <v>-8.3952492232988785E-2</v>
      </c>
      <c r="AM5">
        <f t="shared" si="1"/>
        <v>-3.0986653556032761E-2</v>
      </c>
      <c r="AN5">
        <f t="shared" si="1"/>
        <v>-3.0401158964701813E-2</v>
      </c>
      <c r="AO5">
        <f t="shared" si="1"/>
        <v>0.19012325888091894</v>
      </c>
      <c r="AP5">
        <f t="shared" si="1"/>
        <v>0.14427197479701265</v>
      </c>
      <c r="AQ5">
        <f t="shared" si="1"/>
        <v>0.22605681804194852</v>
      </c>
      <c r="AR5">
        <f t="shared" si="1"/>
        <v>0.28262298256344337</v>
      </c>
      <c r="AS5">
        <f t="shared" si="1"/>
        <v>0.50836805152315856</v>
      </c>
      <c r="AT5">
        <f t="shared" si="1"/>
        <v>0.37275966571182662</v>
      </c>
      <c r="AU5">
        <f t="shared" si="1"/>
        <v>0.53732245140733559</v>
      </c>
    </row>
    <row r="6" spans="1:47" x14ac:dyDescent="0.25">
      <c r="A6" s="2"/>
      <c r="B6" s="2"/>
      <c r="C6" s="2"/>
      <c r="D6" s="2"/>
      <c r="E6" s="2"/>
      <c r="F6" t="s">
        <v>3</v>
      </c>
      <c r="G6">
        <f>5+G7</f>
        <v>5</v>
      </c>
      <c r="H6">
        <f t="shared" ref="H6:K6" si="2">5+H7</f>
        <v>4</v>
      </c>
      <c r="I6">
        <f t="shared" si="2"/>
        <v>3</v>
      </c>
      <c r="J6">
        <f t="shared" si="2"/>
        <v>2</v>
      </c>
      <c r="K6">
        <f t="shared" si="2"/>
        <v>1</v>
      </c>
      <c r="L6">
        <f>17+L7</f>
        <v>12</v>
      </c>
      <c r="M6">
        <f t="shared" ref="M6:W6" si="3">17+M7</f>
        <v>11</v>
      </c>
      <c r="N6">
        <f t="shared" si="3"/>
        <v>10</v>
      </c>
      <c r="O6">
        <f t="shared" si="3"/>
        <v>9</v>
      </c>
      <c r="P6">
        <f t="shared" si="3"/>
        <v>8</v>
      </c>
      <c r="Q6">
        <f t="shared" si="3"/>
        <v>7</v>
      </c>
      <c r="R6">
        <f t="shared" si="3"/>
        <v>6</v>
      </c>
      <c r="S6">
        <f t="shared" si="3"/>
        <v>5</v>
      </c>
      <c r="T6">
        <f t="shared" si="3"/>
        <v>4</v>
      </c>
      <c r="U6">
        <f t="shared" si="3"/>
        <v>3</v>
      </c>
      <c r="V6">
        <f t="shared" si="3"/>
        <v>2</v>
      </c>
      <c r="W6">
        <f t="shared" si="3"/>
        <v>1</v>
      </c>
      <c r="X6">
        <f>29+X7</f>
        <v>12</v>
      </c>
      <c r="Y6">
        <f t="shared" ref="Y6:AI6" si="4">29+Y7</f>
        <v>11</v>
      </c>
      <c r="Z6">
        <f t="shared" si="4"/>
        <v>10</v>
      </c>
      <c r="AA6">
        <f t="shared" si="4"/>
        <v>9</v>
      </c>
      <c r="AB6">
        <f t="shared" si="4"/>
        <v>8</v>
      </c>
      <c r="AC6">
        <f t="shared" si="4"/>
        <v>7</v>
      </c>
      <c r="AD6">
        <f t="shared" si="4"/>
        <v>6</v>
      </c>
      <c r="AE6">
        <f t="shared" si="4"/>
        <v>5</v>
      </c>
      <c r="AF6">
        <f t="shared" si="4"/>
        <v>4</v>
      </c>
      <c r="AG6">
        <f t="shared" si="4"/>
        <v>3</v>
      </c>
      <c r="AH6">
        <f t="shared" si="4"/>
        <v>2</v>
      </c>
      <c r="AI6">
        <f t="shared" si="4"/>
        <v>1</v>
      </c>
      <c r="AJ6">
        <f>41+AJ7</f>
        <v>12</v>
      </c>
      <c r="AK6">
        <f t="shared" ref="AK6:AU6" si="5">41+AK7</f>
        <v>11</v>
      </c>
      <c r="AL6">
        <f t="shared" si="5"/>
        <v>10</v>
      </c>
      <c r="AM6">
        <f t="shared" si="5"/>
        <v>9</v>
      </c>
      <c r="AN6">
        <f t="shared" si="5"/>
        <v>8</v>
      </c>
      <c r="AO6">
        <f t="shared" si="5"/>
        <v>7</v>
      </c>
      <c r="AP6">
        <f t="shared" si="5"/>
        <v>6</v>
      </c>
      <c r="AQ6">
        <f t="shared" si="5"/>
        <v>5</v>
      </c>
      <c r="AR6">
        <f t="shared" si="5"/>
        <v>4</v>
      </c>
      <c r="AS6">
        <f t="shared" si="5"/>
        <v>3</v>
      </c>
      <c r="AT6">
        <f t="shared" si="5"/>
        <v>2</v>
      </c>
      <c r="AU6">
        <f t="shared" si="5"/>
        <v>1</v>
      </c>
    </row>
    <row r="7" spans="1:47" x14ac:dyDescent="0.25">
      <c r="A7" s="2"/>
      <c r="B7" s="2"/>
      <c r="C7" s="2"/>
      <c r="D7" s="2" t="s">
        <v>0</v>
      </c>
      <c r="E7" s="2"/>
      <c r="F7" t="s">
        <v>7</v>
      </c>
      <c r="G7">
        <v>0</v>
      </c>
      <c r="H7">
        <v>-1</v>
      </c>
      <c r="I7">
        <v>-2</v>
      </c>
      <c r="J7">
        <v>-3</v>
      </c>
      <c r="K7">
        <v>-4</v>
      </c>
      <c r="L7">
        <v>-5</v>
      </c>
      <c r="M7">
        <v>-6</v>
      </c>
      <c r="N7">
        <v>-7</v>
      </c>
      <c r="O7">
        <v>-8</v>
      </c>
      <c r="P7">
        <v>-9</v>
      </c>
      <c r="Q7">
        <v>-10</v>
      </c>
      <c r="R7">
        <v>-11</v>
      </c>
      <c r="S7">
        <v>-12</v>
      </c>
      <c r="T7">
        <v>-13</v>
      </c>
      <c r="U7">
        <v>-14</v>
      </c>
      <c r="V7">
        <v>-15</v>
      </c>
      <c r="W7">
        <v>-16</v>
      </c>
      <c r="X7">
        <v>-17</v>
      </c>
      <c r="Y7">
        <v>-18</v>
      </c>
      <c r="Z7">
        <v>-19</v>
      </c>
      <c r="AA7">
        <v>-20</v>
      </c>
      <c r="AB7">
        <v>-21</v>
      </c>
      <c r="AC7">
        <v>-22</v>
      </c>
      <c r="AD7">
        <v>-23</v>
      </c>
      <c r="AE7">
        <v>-24</v>
      </c>
      <c r="AF7">
        <v>-25</v>
      </c>
      <c r="AG7">
        <v>-26</v>
      </c>
      <c r="AH7">
        <v>-27</v>
      </c>
      <c r="AI7">
        <v>-28</v>
      </c>
      <c r="AJ7">
        <v>-29</v>
      </c>
      <c r="AK7">
        <v>-30</v>
      </c>
      <c r="AL7">
        <v>-31</v>
      </c>
      <c r="AM7">
        <v>-32</v>
      </c>
      <c r="AN7">
        <v>-33</v>
      </c>
      <c r="AO7">
        <v>-34</v>
      </c>
      <c r="AP7">
        <v>-35</v>
      </c>
      <c r="AQ7">
        <v>-36</v>
      </c>
      <c r="AR7">
        <v>-37</v>
      </c>
      <c r="AS7">
        <v>-38</v>
      </c>
      <c r="AT7">
        <v>-39</v>
      </c>
      <c r="AU7">
        <v>-40</v>
      </c>
    </row>
    <row r="8" spans="1:47" x14ac:dyDescent="0.25">
      <c r="D8" t="s">
        <v>1</v>
      </c>
    </row>
    <row r="9" spans="1:47" x14ac:dyDescent="0.25">
      <c r="A9" t="s">
        <v>2</v>
      </c>
      <c r="B9" t="s">
        <v>3</v>
      </c>
      <c r="C9" t="s">
        <v>4</v>
      </c>
      <c r="D9" t="s">
        <v>5</v>
      </c>
      <c r="G9" t="s">
        <v>8</v>
      </c>
    </row>
    <row r="10" spans="1:47" x14ac:dyDescent="0.25">
      <c r="A10">
        <v>1982.375</v>
      </c>
      <c r="B10">
        <v>5</v>
      </c>
      <c r="C10" s="2">
        <v>1.6829712080392252</v>
      </c>
      <c r="D10">
        <v>4.9231308437637979</v>
      </c>
      <c r="G10" s="2">
        <v>1.6829712080392252</v>
      </c>
      <c r="H10" s="2">
        <v>2.2472897998692272</v>
      </c>
      <c r="I10" s="2">
        <v>1.5381377024192207</v>
      </c>
      <c r="J10" s="2">
        <v>0.95009040011922963</v>
      </c>
      <c r="K10" s="2">
        <v>0.16778843210923924</v>
      </c>
      <c r="L10" s="2">
        <v>-0.32820109656075358</v>
      </c>
      <c r="M10" s="2">
        <v>0.10288279560923042</v>
      </c>
      <c r="N10" s="2">
        <v>1.1606928748392318</v>
      </c>
      <c r="O10" s="2">
        <v>1.0248394490071275</v>
      </c>
      <c r="P10" s="2">
        <v>1.606789201499234</v>
      </c>
      <c r="Q10" s="2">
        <v>2.394840518709227</v>
      </c>
      <c r="R10" s="2">
        <v>1.0093508307130274</v>
      </c>
      <c r="S10" s="2">
        <v>0.70257197929922732</v>
      </c>
      <c r="T10" s="2">
        <v>0.71152544480922963</v>
      </c>
      <c r="U10" s="2">
        <v>-1.2758133939807617</v>
      </c>
      <c r="V10" s="2">
        <v>-1.1840317151307596</v>
      </c>
      <c r="W10" s="2">
        <v>-2.9731450761907507</v>
      </c>
      <c r="X10" s="2">
        <v>-0.826312025460755</v>
      </c>
      <c r="Y10" s="2">
        <v>-0.82430027525075733</v>
      </c>
      <c r="Z10" s="2">
        <v>-0.21680460930476167</v>
      </c>
      <c r="AA10" s="2">
        <v>1.2002363824092406</v>
      </c>
      <c r="AB10" s="2">
        <v>1.7415489131692448</v>
      </c>
      <c r="AC10" s="2">
        <v>1.1845717860692297</v>
      </c>
      <c r="AD10" s="2">
        <v>1.8719868955192429</v>
      </c>
      <c r="AE10" s="2">
        <v>0.19282233268922738</v>
      </c>
      <c r="AF10" s="2">
        <v>-0.41644266558675735</v>
      </c>
      <c r="AG10" s="2">
        <v>-0.7920709280307725</v>
      </c>
      <c r="AH10" s="2">
        <v>-3.1117011955307636</v>
      </c>
      <c r="AI10" s="2">
        <v>-1.754437314630755</v>
      </c>
      <c r="AJ10" s="2">
        <v>-0.6783287293607636</v>
      </c>
      <c r="AK10" s="2">
        <v>-0.13216066909075941</v>
      </c>
      <c r="AL10" s="2">
        <v>-1.2187106281307756</v>
      </c>
      <c r="AM10" s="2">
        <v>-0.23967928586077691</v>
      </c>
      <c r="AN10" s="2">
        <v>0.41425456986923609</v>
      </c>
      <c r="AO10" s="2">
        <v>1.4262948740692274</v>
      </c>
      <c r="AP10" s="2">
        <v>2.0884129651392276</v>
      </c>
      <c r="AQ10" s="2">
        <v>0.230319378419234</v>
      </c>
      <c r="AR10" s="2">
        <v>0.87058350376922755</v>
      </c>
      <c r="AS10" s="2">
        <v>-0.18409000339077064</v>
      </c>
      <c r="AT10" s="2">
        <v>1.3994548985492341</v>
      </c>
      <c r="AU10" s="2">
        <v>-1.1214605250507683</v>
      </c>
    </row>
    <row r="11" spans="1:47" x14ac:dyDescent="0.25">
      <c r="A11">
        <v>1983.375</v>
      </c>
      <c r="B11">
        <v>5</v>
      </c>
      <c r="C11" s="2">
        <v>-1.5365287291607705</v>
      </c>
      <c r="D11">
        <v>5.2120282994976641</v>
      </c>
      <c r="G11" s="2">
        <v>-1.5365287291607705</v>
      </c>
      <c r="H11" s="2">
        <v>-1.6037714177007616</v>
      </c>
      <c r="I11" s="2">
        <v>-4.4186573967507705</v>
      </c>
      <c r="J11" s="2">
        <v>-5.7546631341007721</v>
      </c>
      <c r="K11" s="2">
        <v>-4.2828241200607735</v>
      </c>
      <c r="L11" s="2">
        <v>-3.318813113430755</v>
      </c>
      <c r="M11" s="2">
        <v>-2.2869922902807649</v>
      </c>
      <c r="N11" s="2">
        <v>-1.1141125145307573</v>
      </c>
      <c r="O11" s="2">
        <v>-0.85833921068075947</v>
      </c>
      <c r="P11" s="2">
        <v>0.19842168935924309</v>
      </c>
      <c r="Q11" s="2">
        <v>9.0747949279244927E-2</v>
      </c>
      <c r="R11" s="2">
        <v>0.28020932696923401</v>
      </c>
      <c r="S11" s="2">
        <v>1.6829712080392252</v>
      </c>
      <c r="T11" s="2">
        <v>2.2472897998692272</v>
      </c>
      <c r="U11" s="2">
        <v>1.5381377024192207</v>
      </c>
      <c r="V11" s="2">
        <v>0.95009040011922963</v>
      </c>
      <c r="W11" s="2">
        <v>0.16778843210923924</v>
      </c>
      <c r="X11" s="2">
        <v>-0.32820109656075358</v>
      </c>
      <c r="Y11" s="2">
        <v>0.10288279560923042</v>
      </c>
      <c r="Z11" s="2">
        <v>1.1606928748392318</v>
      </c>
      <c r="AA11" s="2">
        <v>1.0248394490071275</v>
      </c>
      <c r="AB11" s="2">
        <v>1.606789201499234</v>
      </c>
      <c r="AC11" s="2">
        <v>2.394840518709227</v>
      </c>
      <c r="AD11" s="2">
        <v>1.0093508307130274</v>
      </c>
      <c r="AE11" s="2">
        <v>0.70257197929922732</v>
      </c>
      <c r="AF11" s="2">
        <v>0.71152544480922963</v>
      </c>
      <c r="AG11" s="2">
        <v>-1.2758133939807617</v>
      </c>
      <c r="AH11" s="2">
        <v>-1.1840317151307596</v>
      </c>
      <c r="AI11" s="2">
        <v>-2.9731450761907507</v>
      </c>
      <c r="AJ11" s="2">
        <v>-0.826312025460755</v>
      </c>
      <c r="AK11" s="2">
        <v>-0.82430027525075733</v>
      </c>
      <c r="AL11" s="2">
        <v>-0.21680460930476167</v>
      </c>
      <c r="AM11" s="2">
        <v>1.2002363824092406</v>
      </c>
      <c r="AN11" s="2">
        <v>1.7415489131692448</v>
      </c>
      <c r="AO11" s="2">
        <v>1.1845717860692297</v>
      </c>
      <c r="AP11" s="2">
        <v>1.8719868955192429</v>
      </c>
      <c r="AQ11" s="2">
        <v>0.19282233268922738</v>
      </c>
      <c r="AR11" s="2">
        <v>-0.41644266558675735</v>
      </c>
      <c r="AS11" s="2">
        <v>-0.7920709280307725</v>
      </c>
      <c r="AT11" s="2">
        <v>-3.1117011955307636</v>
      </c>
      <c r="AU11" s="2">
        <v>-1.754437314630755</v>
      </c>
    </row>
    <row r="12" spans="1:47" x14ac:dyDescent="0.25">
      <c r="A12">
        <v>1984.375</v>
      </c>
      <c r="B12">
        <v>5</v>
      </c>
      <c r="C12" s="2">
        <v>1.880515014489234</v>
      </c>
      <c r="D12">
        <v>5.7705338367611212</v>
      </c>
      <c r="G12" s="2">
        <v>1.880515014489234</v>
      </c>
      <c r="H12" s="2">
        <v>1.4169093568692384</v>
      </c>
      <c r="I12" s="2">
        <v>-1.459145150890766</v>
      </c>
      <c r="J12" s="2">
        <v>-0.25170846241076383</v>
      </c>
      <c r="K12" s="2">
        <v>-0.36195759964077051</v>
      </c>
      <c r="L12" s="2">
        <v>-0.47425017163075722</v>
      </c>
      <c r="M12" s="2">
        <v>-0.51962604492076825</v>
      </c>
      <c r="N12" s="2">
        <v>1.7054727707192336</v>
      </c>
      <c r="O12" s="2">
        <v>1.999494930519234</v>
      </c>
      <c r="P12" s="2">
        <v>1.7188996157552427</v>
      </c>
      <c r="Q12" s="2">
        <v>0.12128620823924474</v>
      </c>
      <c r="R12" s="2">
        <v>-1.4051694421937548</v>
      </c>
      <c r="S12" s="2">
        <v>-1.5365287291607705</v>
      </c>
      <c r="T12" s="2">
        <v>-1.6037714177007616</v>
      </c>
      <c r="U12" s="2">
        <v>-4.4186573967507705</v>
      </c>
      <c r="V12" s="2">
        <v>-5.7546631341007721</v>
      </c>
      <c r="W12" s="2">
        <v>-4.2828241200607735</v>
      </c>
      <c r="X12" s="2">
        <v>-3.318813113430755</v>
      </c>
      <c r="Y12" s="2">
        <v>-2.2869922902807649</v>
      </c>
      <c r="Z12" s="2">
        <v>-1.1141125145307573</v>
      </c>
      <c r="AA12" s="2">
        <v>-0.85833921068075947</v>
      </c>
      <c r="AB12" s="2">
        <v>0.19842168935924309</v>
      </c>
      <c r="AC12" s="2">
        <v>9.0747949279244927E-2</v>
      </c>
      <c r="AD12" s="2">
        <v>0.28020932696923401</v>
      </c>
      <c r="AE12" s="2">
        <v>1.6829712080392252</v>
      </c>
      <c r="AF12" s="2">
        <v>2.2472897998692272</v>
      </c>
      <c r="AG12" s="2">
        <v>1.5381377024192207</v>
      </c>
      <c r="AH12" s="2">
        <v>0.95009040011922963</v>
      </c>
      <c r="AI12" s="2">
        <v>0.16778843210923924</v>
      </c>
      <c r="AJ12" s="2">
        <v>-0.32820109656075358</v>
      </c>
      <c r="AK12" s="2">
        <v>0.10288279560923042</v>
      </c>
      <c r="AL12" s="2">
        <v>1.1606928748392318</v>
      </c>
      <c r="AM12" s="2">
        <v>1.0248394490071275</v>
      </c>
      <c r="AN12" s="2">
        <v>1.606789201499234</v>
      </c>
      <c r="AO12" s="2">
        <v>2.394840518709227</v>
      </c>
      <c r="AP12" s="2">
        <v>1.0093508307130274</v>
      </c>
      <c r="AQ12" s="2">
        <v>0.70257197929922732</v>
      </c>
      <c r="AR12" s="2">
        <v>0.71152544480922963</v>
      </c>
      <c r="AS12" s="2">
        <v>-1.2758133939807617</v>
      </c>
      <c r="AT12" s="2">
        <v>-1.1840317151307596</v>
      </c>
      <c r="AU12" s="2">
        <v>-2.9731450761907507</v>
      </c>
    </row>
    <row r="13" spans="1:47" x14ac:dyDescent="0.25">
      <c r="A13">
        <v>1985.375</v>
      </c>
      <c r="B13">
        <v>5</v>
      </c>
      <c r="C13" s="2">
        <v>3.018522973209234</v>
      </c>
      <c r="D13">
        <v>6.0765107976366712</v>
      </c>
      <c r="G13" s="2">
        <v>3.018522973209234</v>
      </c>
      <c r="H13" s="2">
        <v>3.2037219389892342</v>
      </c>
      <c r="I13" s="2">
        <v>2.8503516876992365</v>
      </c>
      <c r="J13" s="2">
        <v>1.5492982089822276</v>
      </c>
      <c r="K13" s="2">
        <v>-1.9206002569707727</v>
      </c>
      <c r="L13" s="2">
        <v>1.132073258699223</v>
      </c>
      <c r="M13" s="2">
        <v>0.48051006084922643</v>
      </c>
      <c r="N13" s="2">
        <v>1.0633639918392426</v>
      </c>
      <c r="O13" s="2">
        <v>0.96519801415922746</v>
      </c>
      <c r="P13" s="2">
        <v>1.8375980735592425</v>
      </c>
      <c r="Q13" s="2">
        <v>2.7315166602692278</v>
      </c>
      <c r="R13" s="2">
        <v>2.1734786425192314</v>
      </c>
      <c r="S13" s="2">
        <v>1.880515014489234</v>
      </c>
      <c r="T13" s="2">
        <v>1.4169093568692384</v>
      </c>
      <c r="U13" s="2">
        <v>-1.459145150890766</v>
      </c>
      <c r="V13" s="2">
        <v>-0.25170846241076383</v>
      </c>
      <c r="W13" s="2">
        <v>-0.36195759964077051</v>
      </c>
      <c r="X13" s="2">
        <v>-0.47425017163075722</v>
      </c>
      <c r="Y13" s="2">
        <v>-0.51962604492076825</v>
      </c>
      <c r="Z13" s="2">
        <v>1.7054727707192336</v>
      </c>
      <c r="AA13" s="2">
        <v>1.999494930519234</v>
      </c>
      <c r="AB13" s="2">
        <v>1.7188996157552427</v>
      </c>
      <c r="AC13" s="2">
        <v>0.12128620823924474</v>
      </c>
      <c r="AD13" s="2">
        <v>-1.4051694421937548</v>
      </c>
      <c r="AE13" s="2">
        <v>-1.5365287291607705</v>
      </c>
      <c r="AF13" s="2">
        <v>-1.6037714177007616</v>
      </c>
      <c r="AG13" s="2">
        <v>-4.4186573967507705</v>
      </c>
      <c r="AH13" s="2">
        <v>-5.7546631341007721</v>
      </c>
      <c r="AI13" s="2">
        <v>-4.2828241200607735</v>
      </c>
      <c r="AJ13" s="2">
        <v>-3.318813113430755</v>
      </c>
      <c r="AK13" s="2">
        <v>-2.2869922902807649</v>
      </c>
      <c r="AL13" s="2">
        <v>-1.1141125145307573</v>
      </c>
      <c r="AM13" s="2">
        <v>-0.85833921068075947</v>
      </c>
      <c r="AN13" s="2">
        <v>0.19842168935924309</v>
      </c>
      <c r="AO13" s="2">
        <v>9.0747949279244927E-2</v>
      </c>
      <c r="AP13" s="2">
        <v>0.28020932696923401</v>
      </c>
      <c r="AQ13" s="2">
        <v>1.6829712080392252</v>
      </c>
      <c r="AR13" s="2">
        <v>2.2472897998692272</v>
      </c>
      <c r="AS13" s="2">
        <v>1.5381377024192207</v>
      </c>
      <c r="AT13" s="2">
        <v>0.95009040011922963</v>
      </c>
      <c r="AU13" s="2">
        <v>0.16778843210923924</v>
      </c>
    </row>
    <row r="14" spans="1:47" x14ac:dyDescent="0.25">
      <c r="A14">
        <v>1986.375</v>
      </c>
      <c r="B14">
        <v>5</v>
      </c>
      <c r="C14" s="2">
        <v>1.1785690316392319</v>
      </c>
      <c r="D14">
        <v>3.3042418819212807</v>
      </c>
      <c r="G14" s="2">
        <v>1.1785690316392319</v>
      </c>
      <c r="H14" s="2">
        <v>1.7114235345992364</v>
      </c>
      <c r="I14" s="2">
        <v>-0.43541689654075511</v>
      </c>
      <c r="J14" s="2">
        <v>-2.7417317744307681</v>
      </c>
      <c r="K14" s="2">
        <v>-1.8271438100307529</v>
      </c>
      <c r="L14" s="2">
        <v>-1.8732676199307727</v>
      </c>
      <c r="M14" s="2">
        <v>0.73595420476922957</v>
      </c>
      <c r="N14" s="2">
        <v>1.5659244664692271</v>
      </c>
      <c r="O14" s="2">
        <v>1.8524098023792341</v>
      </c>
      <c r="P14" s="2">
        <v>2.4420961504492311</v>
      </c>
      <c r="Q14" s="2">
        <v>1.9535774414092228</v>
      </c>
      <c r="R14" s="2">
        <v>2.1399495708212228</v>
      </c>
      <c r="S14" s="2">
        <v>3.018522973209234</v>
      </c>
      <c r="T14" s="2">
        <v>3.2037219389892342</v>
      </c>
      <c r="U14" s="2">
        <v>2.8503516876992365</v>
      </c>
      <c r="V14" s="2">
        <v>1.5492982089822276</v>
      </c>
      <c r="W14" s="2">
        <v>-1.9206002569707727</v>
      </c>
      <c r="X14" s="2">
        <v>1.132073258699223</v>
      </c>
      <c r="Y14" s="2">
        <v>0.48051006084922643</v>
      </c>
      <c r="Z14" s="2">
        <v>1.0633639918392426</v>
      </c>
      <c r="AA14" s="2">
        <v>0.96519801415922746</v>
      </c>
      <c r="AB14" s="2">
        <v>1.8375980735592425</v>
      </c>
      <c r="AC14" s="2">
        <v>2.7315166602692278</v>
      </c>
      <c r="AD14" s="2">
        <v>2.1734786425192314</v>
      </c>
      <c r="AE14" s="2">
        <v>1.880515014489234</v>
      </c>
      <c r="AF14" s="2">
        <v>1.4169093568692384</v>
      </c>
      <c r="AG14" s="2">
        <v>-1.459145150890766</v>
      </c>
      <c r="AH14" s="2">
        <v>-0.25170846241076383</v>
      </c>
      <c r="AI14" s="2">
        <v>-0.36195759964077051</v>
      </c>
      <c r="AJ14" s="2">
        <v>-0.47425017163075722</v>
      </c>
      <c r="AK14" s="2">
        <v>-0.51962604492076825</v>
      </c>
      <c r="AL14" s="2">
        <v>1.7054727707192336</v>
      </c>
      <c r="AM14" s="2">
        <v>1.999494930519234</v>
      </c>
      <c r="AN14" s="2">
        <v>1.7188996157552427</v>
      </c>
      <c r="AO14" s="2">
        <v>0.12128620823924474</v>
      </c>
      <c r="AP14" s="2">
        <v>-1.4051694421937548</v>
      </c>
      <c r="AQ14" s="2">
        <v>-1.5365287291607705</v>
      </c>
      <c r="AR14" s="2">
        <v>-1.6037714177007616</v>
      </c>
      <c r="AS14" s="2">
        <v>-4.4186573967507705</v>
      </c>
      <c r="AT14" s="2">
        <v>-5.7546631341007721</v>
      </c>
      <c r="AU14" s="2">
        <v>-4.2828241200607735</v>
      </c>
    </row>
    <row r="15" spans="1:47" x14ac:dyDescent="0.25">
      <c r="A15">
        <v>1987.375</v>
      </c>
      <c r="B15">
        <v>5</v>
      </c>
      <c r="C15" s="2">
        <v>-0.33535354034076137</v>
      </c>
      <c r="D15">
        <v>3.7444190690829022</v>
      </c>
      <c r="G15" s="2">
        <v>-0.33535354034076137</v>
      </c>
      <c r="H15" s="2">
        <v>-1.3114206938707769</v>
      </c>
      <c r="I15" s="2">
        <v>-2.4788721167707712</v>
      </c>
      <c r="J15" s="2">
        <v>-2.8403952011307547</v>
      </c>
      <c r="K15" s="2">
        <v>-3.2496489045707593</v>
      </c>
      <c r="L15" s="2">
        <v>-3.9234169669407635</v>
      </c>
      <c r="M15" s="2">
        <v>-1.1159987036507704</v>
      </c>
      <c r="N15" s="2">
        <v>-0.73488822433075951</v>
      </c>
      <c r="O15" s="2">
        <v>2.1393244769225279E-2</v>
      </c>
      <c r="P15" s="2">
        <v>0.346637390069234</v>
      </c>
      <c r="Q15" s="2">
        <v>0.912020787759243</v>
      </c>
      <c r="R15" s="2">
        <v>0.75677649209923836</v>
      </c>
      <c r="S15" s="2">
        <v>1.1785690316392319</v>
      </c>
      <c r="T15" s="2">
        <v>1.7114235345992364</v>
      </c>
      <c r="U15" s="2">
        <v>-0.43541689654075511</v>
      </c>
      <c r="V15" s="2">
        <v>-2.7417317744307681</v>
      </c>
      <c r="W15" s="2">
        <v>-1.8271438100307529</v>
      </c>
      <c r="X15" s="2">
        <v>-1.8732676199307727</v>
      </c>
      <c r="Y15" s="2">
        <v>0.73595420476922957</v>
      </c>
      <c r="Z15" s="2">
        <v>1.5659244664692271</v>
      </c>
      <c r="AA15" s="2">
        <v>1.8524098023792341</v>
      </c>
      <c r="AB15" s="2">
        <v>2.4420961504492311</v>
      </c>
      <c r="AC15" s="2">
        <v>1.9535774414092228</v>
      </c>
      <c r="AD15" s="2">
        <v>2.1399495708212228</v>
      </c>
      <c r="AE15" s="2">
        <v>3.018522973209234</v>
      </c>
      <c r="AF15" s="2">
        <v>3.2037219389892342</v>
      </c>
      <c r="AG15" s="2">
        <v>2.8503516876992365</v>
      </c>
      <c r="AH15" s="2">
        <v>1.5492982089822276</v>
      </c>
      <c r="AI15" s="2">
        <v>-1.9206002569707727</v>
      </c>
      <c r="AJ15" s="2">
        <v>1.132073258699223</v>
      </c>
      <c r="AK15" s="2">
        <v>0.48051006084922643</v>
      </c>
      <c r="AL15" s="2">
        <v>1.0633639918392426</v>
      </c>
      <c r="AM15" s="2">
        <v>0.96519801415922746</v>
      </c>
      <c r="AN15" s="2">
        <v>1.8375980735592425</v>
      </c>
      <c r="AO15" s="2">
        <v>2.7315166602692278</v>
      </c>
      <c r="AP15" s="2">
        <v>2.1734786425192314</v>
      </c>
      <c r="AQ15" s="2">
        <v>1.880515014489234</v>
      </c>
      <c r="AR15" s="2">
        <v>1.4169093568692384</v>
      </c>
      <c r="AS15" s="2">
        <v>-1.459145150890766</v>
      </c>
      <c r="AT15" s="2">
        <v>-0.25170846241076383</v>
      </c>
      <c r="AU15" s="2">
        <v>-0.36195759964077051</v>
      </c>
    </row>
    <row r="16" spans="1:47" x14ac:dyDescent="0.25">
      <c r="A16">
        <v>1988.375</v>
      </c>
      <c r="B16">
        <v>5</v>
      </c>
      <c r="C16" s="2">
        <v>1.8152388873692404</v>
      </c>
      <c r="D16">
        <v>4.3403199388139493</v>
      </c>
      <c r="G16" s="2">
        <v>1.8152388873692404</v>
      </c>
      <c r="H16" s="2">
        <v>1.3004161718692424</v>
      </c>
      <c r="I16" s="2">
        <v>0.42120302822923172</v>
      </c>
      <c r="J16" s="2">
        <v>-1.738144879260775</v>
      </c>
      <c r="K16" s="2">
        <v>-1.4435084742307702</v>
      </c>
      <c r="L16" s="2">
        <v>-1.3359299806807639</v>
      </c>
      <c r="M16" s="2">
        <v>-1.46228869434076</v>
      </c>
      <c r="N16" s="2">
        <v>-1.0676690314607571</v>
      </c>
      <c r="O16" s="2">
        <v>-0.84388256081077684</v>
      </c>
      <c r="P16" s="2">
        <v>-0.98430620713077255</v>
      </c>
      <c r="Q16" s="2">
        <v>-1.0628494561707658</v>
      </c>
      <c r="R16" s="2">
        <v>-0.85776481624076351</v>
      </c>
      <c r="S16" s="2">
        <v>-0.33535354034076137</v>
      </c>
      <c r="T16" s="2">
        <v>-1.3114206938707769</v>
      </c>
      <c r="U16" s="2">
        <v>-2.4788721167707712</v>
      </c>
      <c r="V16" s="2">
        <v>-2.8403952011307547</v>
      </c>
      <c r="W16" s="2">
        <v>-3.2496489045707593</v>
      </c>
      <c r="X16" s="2">
        <v>-3.9234169669407635</v>
      </c>
      <c r="Y16" s="2">
        <v>-1.1159987036507704</v>
      </c>
      <c r="Z16" s="2">
        <v>-0.73488822433075951</v>
      </c>
      <c r="AA16" s="2">
        <v>2.1393244769225279E-2</v>
      </c>
      <c r="AB16" s="2">
        <v>0.346637390069234</v>
      </c>
      <c r="AC16" s="2">
        <v>0.912020787759243</v>
      </c>
      <c r="AD16" s="2">
        <v>0.75677649209923836</v>
      </c>
      <c r="AE16" s="2">
        <v>1.1785690316392319</v>
      </c>
      <c r="AF16" s="2">
        <v>1.7114235345992364</v>
      </c>
      <c r="AG16" s="2">
        <v>-0.43541689654075511</v>
      </c>
      <c r="AH16" s="2">
        <v>-2.7417317744307681</v>
      </c>
      <c r="AI16" s="2">
        <v>-1.8271438100307529</v>
      </c>
      <c r="AJ16" s="2">
        <v>-1.8732676199307727</v>
      </c>
      <c r="AK16" s="2">
        <v>0.73595420476922957</v>
      </c>
      <c r="AL16" s="2">
        <v>1.5659244664692271</v>
      </c>
      <c r="AM16" s="2">
        <v>1.8524098023792341</v>
      </c>
      <c r="AN16" s="2">
        <v>2.4420961504492311</v>
      </c>
      <c r="AO16" s="2">
        <v>1.9535774414092228</v>
      </c>
      <c r="AP16" s="2">
        <v>2.1399495708212228</v>
      </c>
      <c r="AQ16" s="2">
        <v>3.018522973209234</v>
      </c>
      <c r="AR16" s="2">
        <v>3.2037219389892342</v>
      </c>
      <c r="AS16" s="2">
        <v>2.8503516876992365</v>
      </c>
      <c r="AT16" s="2">
        <v>1.5492982089822276</v>
      </c>
      <c r="AU16" s="2">
        <v>-1.9206002569707727</v>
      </c>
    </row>
    <row r="17" spans="1:47" x14ac:dyDescent="0.25">
      <c r="A17">
        <v>1989.375</v>
      </c>
      <c r="B17">
        <v>5</v>
      </c>
      <c r="C17" s="2">
        <v>3.101098920829223</v>
      </c>
      <c r="D17">
        <v>6.3876374754316361</v>
      </c>
      <c r="G17" s="2">
        <v>3.101098920829223</v>
      </c>
      <c r="H17" s="2">
        <v>2.9412418136592424</v>
      </c>
      <c r="I17" s="2">
        <v>3.3389959835592316</v>
      </c>
      <c r="J17" s="2">
        <v>4.0775932636092254</v>
      </c>
      <c r="K17" s="2">
        <v>3.5894435184692313</v>
      </c>
      <c r="L17" s="2">
        <v>2.3186386828592394</v>
      </c>
      <c r="M17" s="2">
        <v>2.519808289969224</v>
      </c>
      <c r="N17" s="2">
        <v>2.8509511295692231</v>
      </c>
      <c r="O17" s="2">
        <v>4.210773910769225</v>
      </c>
      <c r="P17" s="2">
        <v>3.9125285119692315</v>
      </c>
      <c r="Q17" s="2">
        <v>4.1239791073692293</v>
      </c>
      <c r="R17" s="2">
        <v>2.838481122869227</v>
      </c>
      <c r="S17" s="2">
        <v>1.8152388873692404</v>
      </c>
      <c r="T17" s="2">
        <v>1.3004161718692424</v>
      </c>
      <c r="U17" s="2">
        <v>0.42120302822923172</v>
      </c>
      <c r="V17" s="2">
        <v>-1.738144879260775</v>
      </c>
      <c r="W17" s="2">
        <v>-1.4435084742307702</v>
      </c>
      <c r="X17" s="2">
        <v>-1.3359299806807639</v>
      </c>
      <c r="Y17" s="2">
        <v>-1.46228869434076</v>
      </c>
      <c r="Z17" s="2">
        <v>-1.0676690314607571</v>
      </c>
      <c r="AA17" s="2">
        <v>-0.84388256081077684</v>
      </c>
      <c r="AB17" s="2">
        <v>-0.98430620713077255</v>
      </c>
      <c r="AC17" s="2">
        <v>-1.0628494561707658</v>
      </c>
      <c r="AD17" s="2">
        <v>-0.85776481624076351</v>
      </c>
      <c r="AE17" s="2">
        <v>-0.33535354034076137</v>
      </c>
      <c r="AF17" s="2">
        <v>-1.3114206938707769</v>
      </c>
      <c r="AG17" s="2">
        <v>-2.4788721167707712</v>
      </c>
      <c r="AH17" s="2">
        <v>-2.8403952011307547</v>
      </c>
      <c r="AI17" s="2">
        <v>-3.2496489045707593</v>
      </c>
      <c r="AJ17" s="2">
        <v>-3.9234169669407635</v>
      </c>
      <c r="AK17" s="2">
        <v>-1.1159987036507704</v>
      </c>
      <c r="AL17" s="2">
        <v>-0.73488822433075951</v>
      </c>
      <c r="AM17" s="2">
        <v>2.1393244769225279E-2</v>
      </c>
      <c r="AN17" s="2">
        <v>0.346637390069234</v>
      </c>
      <c r="AO17" s="2">
        <v>0.912020787759243</v>
      </c>
      <c r="AP17" s="2">
        <v>0.75677649209923836</v>
      </c>
      <c r="AQ17" s="2">
        <v>1.1785690316392319</v>
      </c>
      <c r="AR17" s="2">
        <v>1.7114235345992364</v>
      </c>
      <c r="AS17" s="2">
        <v>-0.43541689654075511</v>
      </c>
      <c r="AT17" s="2">
        <v>-2.7417317744307681</v>
      </c>
      <c r="AU17" s="2">
        <v>-1.8271438100307529</v>
      </c>
    </row>
    <row r="18" spans="1:47" x14ac:dyDescent="0.25">
      <c r="A18">
        <v>1990.375</v>
      </c>
      <c r="B18">
        <v>5</v>
      </c>
      <c r="C18" s="2">
        <v>1.2389727557242383</v>
      </c>
      <c r="D18">
        <v>4.5734541531929853</v>
      </c>
      <c r="G18" s="2">
        <v>1.2389727557242383</v>
      </c>
      <c r="H18" s="2">
        <v>1.6186363016892316</v>
      </c>
      <c r="I18" s="2">
        <v>0.87342533512922516</v>
      </c>
      <c r="J18" s="2">
        <v>2.4928988691492382</v>
      </c>
      <c r="K18" s="2">
        <v>-6.0649675430752892E-2</v>
      </c>
      <c r="L18" s="2">
        <v>-0.80318400744077045</v>
      </c>
      <c r="M18" s="2">
        <v>1.7226007102992229</v>
      </c>
      <c r="N18" s="2">
        <v>2.123144150119245</v>
      </c>
      <c r="O18" s="2">
        <v>1.9350583343592276</v>
      </c>
      <c r="P18" s="2">
        <v>2.4970583207292276</v>
      </c>
      <c r="Q18" s="2">
        <v>3.1293092386692387</v>
      </c>
      <c r="R18" s="2">
        <v>2.5792642141692426</v>
      </c>
      <c r="S18" s="2">
        <v>3.101098920829223</v>
      </c>
      <c r="T18" s="2">
        <v>2.9412418136592424</v>
      </c>
      <c r="U18" s="2">
        <v>3.3389959835592316</v>
      </c>
      <c r="V18" s="2">
        <v>4.0775932636092254</v>
      </c>
      <c r="W18" s="2">
        <v>3.5894435184692313</v>
      </c>
      <c r="X18" s="2">
        <v>2.3186386828592394</v>
      </c>
      <c r="Y18" s="2">
        <v>2.519808289969224</v>
      </c>
      <c r="Z18" s="2">
        <v>2.8509511295692231</v>
      </c>
      <c r="AA18" s="2">
        <v>4.210773910769225</v>
      </c>
      <c r="AB18" s="2">
        <v>3.9125285119692315</v>
      </c>
      <c r="AC18" s="2">
        <v>4.1239791073692293</v>
      </c>
      <c r="AD18" s="2">
        <v>2.838481122869227</v>
      </c>
      <c r="AE18" s="2">
        <v>1.8152388873692404</v>
      </c>
      <c r="AF18" s="2">
        <v>1.3004161718692424</v>
      </c>
      <c r="AG18" s="2">
        <v>0.42120302822923172</v>
      </c>
      <c r="AH18" s="2">
        <v>-1.738144879260775</v>
      </c>
      <c r="AI18" s="2">
        <v>-1.4435084742307702</v>
      </c>
      <c r="AJ18" s="2">
        <v>-1.3359299806807639</v>
      </c>
      <c r="AK18" s="2">
        <v>-1.46228869434076</v>
      </c>
      <c r="AL18" s="2">
        <v>-1.0676690314607571</v>
      </c>
      <c r="AM18" s="2">
        <v>-0.84388256081077684</v>
      </c>
      <c r="AN18" s="2">
        <v>-0.98430620713077255</v>
      </c>
      <c r="AO18" s="2">
        <v>-1.0628494561707658</v>
      </c>
      <c r="AP18" s="2">
        <v>-0.85776481624076351</v>
      </c>
      <c r="AQ18" s="2">
        <v>-0.33535354034076137</v>
      </c>
      <c r="AR18" s="2">
        <v>-1.3114206938707769</v>
      </c>
      <c r="AS18" s="2">
        <v>-2.4788721167707712</v>
      </c>
      <c r="AT18" s="2">
        <v>-2.8403952011307547</v>
      </c>
      <c r="AU18" s="2">
        <v>-3.2496489045707593</v>
      </c>
    </row>
    <row r="19" spans="1:47" x14ac:dyDescent="0.25">
      <c r="A19">
        <v>1991.375</v>
      </c>
      <c r="B19">
        <v>5</v>
      </c>
      <c r="C19" s="2">
        <v>1.5588966751912405</v>
      </c>
      <c r="D19">
        <v>5.9359049847803362</v>
      </c>
      <c r="G19" s="2">
        <v>1.5588966751912405</v>
      </c>
      <c r="H19" s="2">
        <v>1.6316906620592251</v>
      </c>
      <c r="I19" s="2">
        <v>1.2957303481892386</v>
      </c>
      <c r="J19" s="2">
        <v>-1.2335507462607638</v>
      </c>
      <c r="K19" s="2">
        <v>0.16320301782923852</v>
      </c>
      <c r="L19" s="2">
        <v>1.1043187677692341</v>
      </c>
      <c r="M19" s="2">
        <v>2.7184411626292273</v>
      </c>
      <c r="N19" s="2">
        <v>1.6554374506492406</v>
      </c>
      <c r="O19" s="2">
        <v>0.73988715803922955</v>
      </c>
      <c r="P19" s="2">
        <v>1.2394592322392297</v>
      </c>
      <c r="Q19" s="2">
        <v>1.5319094081492275</v>
      </c>
      <c r="R19" s="2">
        <v>1.4473524387232231</v>
      </c>
      <c r="S19" s="2">
        <v>1.2389727557242383</v>
      </c>
      <c r="T19" s="2">
        <v>1.6186363016892316</v>
      </c>
      <c r="U19" s="2">
        <v>0.87342533512922516</v>
      </c>
      <c r="V19" s="2">
        <v>2.4928988691492382</v>
      </c>
      <c r="W19" s="2">
        <v>-6.0649675430752892E-2</v>
      </c>
      <c r="X19" s="2">
        <v>-0.80318400744077045</v>
      </c>
      <c r="Y19" s="2">
        <v>1.7226007102992229</v>
      </c>
      <c r="Z19" s="2">
        <v>2.123144150119245</v>
      </c>
      <c r="AA19" s="2">
        <v>1.9350583343592276</v>
      </c>
      <c r="AB19" s="2">
        <v>2.4970583207292276</v>
      </c>
      <c r="AC19" s="2">
        <v>3.1293092386692387</v>
      </c>
      <c r="AD19" s="2">
        <v>2.5792642141692426</v>
      </c>
      <c r="AE19" s="2">
        <v>3.101098920829223</v>
      </c>
      <c r="AF19" s="2">
        <v>2.9412418136592424</v>
      </c>
      <c r="AG19" s="2">
        <v>3.3389959835592316</v>
      </c>
      <c r="AH19" s="2">
        <v>4.0775932636092254</v>
      </c>
      <c r="AI19" s="2">
        <v>3.5894435184692313</v>
      </c>
      <c r="AJ19" s="2">
        <v>2.3186386828592394</v>
      </c>
      <c r="AK19" s="2">
        <v>2.519808289969224</v>
      </c>
      <c r="AL19" s="2">
        <v>2.8509511295692231</v>
      </c>
      <c r="AM19" s="2">
        <v>4.210773910769225</v>
      </c>
      <c r="AN19" s="2">
        <v>3.9125285119692315</v>
      </c>
      <c r="AO19" s="2">
        <v>4.1239791073692293</v>
      </c>
      <c r="AP19" s="2">
        <v>2.838481122869227</v>
      </c>
      <c r="AQ19" s="2">
        <v>1.8152388873692404</v>
      </c>
      <c r="AR19" s="2">
        <v>1.3004161718692424</v>
      </c>
      <c r="AS19" s="2">
        <v>0.42120302822923172</v>
      </c>
      <c r="AT19" s="2">
        <v>-1.738144879260775</v>
      </c>
      <c r="AU19" s="2">
        <v>-1.4435084742307702</v>
      </c>
    </row>
    <row r="20" spans="1:47" x14ac:dyDescent="0.25">
      <c r="A20">
        <v>1992.375</v>
      </c>
      <c r="B20">
        <v>5</v>
      </c>
      <c r="C20" s="2">
        <v>-0.84115852963076165</v>
      </c>
      <c r="D20">
        <v>7.1306193696713311</v>
      </c>
      <c r="G20" s="2">
        <v>-0.84115852963076165</v>
      </c>
      <c r="H20" s="2">
        <v>-1.4262157430307572</v>
      </c>
      <c r="I20" s="2">
        <v>-1.6423887356207789</v>
      </c>
      <c r="J20" s="2">
        <v>-2.3034867752407635</v>
      </c>
      <c r="K20" s="2">
        <v>-4.0346397557107512</v>
      </c>
      <c r="L20" s="2">
        <v>-1.5787000165107659</v>
      </c>
      <c r="M20" s="2">
        <v>-1.6823914399807602</v>
      </c>
      <c r="N20" s="2">
        <v>-0.45250741993075744</v>
      </c>
      <c r="O20" s="2">
        <v>-0.43909391222076166</v>
      </c>
      <c r="P20" s="2">
        <v>0.99610122664924261</v>
      </c>
      <c r="Q20" s="2">
        <v>1.3196503246692344</v>
      </c>
      <c r="R20" s="2">
        <v>1.5908299070092362</v>
      </c>
      <c r="S20" s="2">
        <v>1.5588966751912405</v>
      </c>
      <c r="T20" s="2">
        <v>1.6316906620592251</v>
      </c>
      <c r="U20" s="2">
        <v>1.2957303481892386</v>
      </c>
      <c r="V20" s="2">
        <v>-1.2335507462607638</v>
      </c>
      <c r="W20" s="2">
        <v>0.16320301782923852</v>
      </c>
      <c r="X20" s="2">
        <v>1.1043187677692341</v>
      </c>
      <c r="Y20" s="2">
        <v>2.7184411626292273</v>
      </c>
      <c r="Z20" s="2">
        <v>1.6554374506492406</v>
      </c>
      <c r="AA20" s="2">
        <v>0.73988715803922955</v>
      </c>
      <c r="AB20" s="2">
        <v>1.2394592322392297</v>
      </c>
      <c r="AC20" s="2">
        <v>1.5319094081492275</v>
      </c>
      <c r="AD20" s="2">
        <v>1.4473524387232231</v>
      </c>
      <c r="AE20" s="2">
        <v>1.2389727557242383</v>
      </c>
      <c r="AF20" s="2">
        <v>1.6186363016892316</v>
      </c>
      <c r="AG20" s="2">
        <v>0.87342533512922516</v>
      </c>
      <c r="AH20" s="2">
        <v>2.4928988691492382</v>
      </c>
      <c r="AI20" s="2">
        <v>-6.0649675430752892E-2</v>
      </c>
      <c r="AJ20" s="2">
        <v>-0.80318400744077045</v>
      </c>
      <c r="AK20" s="2">
        <v>1.7226007102992229</v>
      </c>
      <c r="AL20" s="2">
        <v>2.123144150119245</v>
      </c>
      <c r="AM20" s="2">
        <v>1.9350583343592276</v>
      </c>
      <c r="AN20" s="2">
        <v>2.4970583207292276</v>
      </c>
      <c r="AO20" s="2">
        <v>3.1293092386692387</v>
      </c>
      <c r="AP20" s="2">
        <v>2.5792642141692426</v>
      </c>
      <c r="AQ20" s="2">
        <v>3.101098920829223</v>
      </c>
      <c r="AR20" s="2">
        <v>2.9412418136592424</v>
      </c>
      <c r="AS20" s="2">
        <v>3.3389959835592316</v>
      </c>
      <c r="AT20" s="2">
        <v>4.0775932636092254</v>
      </c>
      <c r="AU20" s="2">
        <v>3.5894435184692313</v>
      </c>
    </row>
    <row r="21" spans="1:47" x14ac:dyDescent="0.25">
      <c r="A21">
        <v>1993.375</v>
      </c>
      <c r="B21">
        <v>5</v>
      </c>
      <c r="C21" s="2">
        <v>-1.7499852617307701</v>
      </c>
      <c r="D21">
        <v>5.6435283187920078</v>
      </c>
      <c r="G21" s="2">
        <v>-1.7499852617307701</v>
      </c>
      <c r="H21" s="2">
        <v>-1.4652308750507557</v>
      </c>
      <c r="I21" s="2">
        <v>-1.400128325530777</v>
      </c>
      <c r="J21" s="2">
        <v>-2.5427820538307531</v>
      </c>
      <c r="K21" s="2">
        <v>-6.6647353730779207E-2</v>
      </c>
      <c r="L21" s="2">
        <v>0.2562015870692339</v>
      </c>
      <c r="M21" s="2">
        <v>-0.76324945283075885</v>
      </c>
      <c r="N21" s="2">
        <v>-0.47740350051075731</v>
      </c>
      <c r="O21" s="2">
        <v>0.67246091184924062</v>
      </c>
      <c r="P21" s="2">
        <v>0.91106123696924057</v>
      </c>
      <c r="Q21" s="2">
        <v>0.30045070326922318</v>
      </c>
      <c r="R21" s="2">
        <v>-1.121383650430777</v>
      </c>
      <c r="S21" s="2">
        <v>-0.84115852963076165</v>
      </c>
      <c r="T21" s="2">
        <v>-1.4262157430307572</v>
      </c>
      <c r="U21" s="2">
        <v>-1.6423887356207789</v>
      </c>
      <c r="V21" s="2">
        <v>-2.3034867752407635</v>
      </c>
      <c r="W21" s="2">
        <v>-4.0346397557107512</v>
      </c>
      <c r="X21" s="2">
        <v>-1.5787000165107659</v>
      </c>
      <c r="Y21" s="2">
        <v>-1.6823914399807602</v>
      </c>
      <c r="Z21" s="2">
        <v>-0.45250741993075744</v>
      </c>
      <c r="AA21" s="2">
        <v>-0.43909391222076166</v>
      </c>
      <c r="AB21" s="2">
        <v>0.99610122664924261</v>
      </c>
      <c r="AC21" s="2">
        <v>1.3196503246692344</v>
      </c>
      <c r="AD21" s="2">
        <v>1.5908299070092362</v>
      </c>
      <c r="AE21" s="2">
        <v>1.5588966751912405</v>
      </c>
      <c r="AF21" s="2">
        <v>1.6316906620592251</v>
      </c>
      <c r="AG21" s="2">
        <v>1.2957303481892386</v>
      </c>
      <c r="AH21" s="2">
        <v>-1.2335507462607638</v>
      </c>
      <c r="AI21" s="2">
        <v>0.16320301782923852</v>
      </c>
      <c r="AJ21" s="2">
        <v>1.1043187677692341</v>
      </c>
      <c r="AK21" s="2">
        <v>2.7184411626292273</v>
      </c>
      <c r="AL21" s="2">
        <v>1.6554374506492406</v>
      </c>
      <c r="AM21" s="2">
        <v>0.73988715803922955</v>
      </c>
      <c r="AN21" s="2">
        <v>1.2394592322392297</v>
      </c>
      <c r="AO21" s="2">
        <v>1.5319094081492275</v>
      </c>
      <c r="AP21" s="2">
        <v>1.4473524387232231</v>
      </c>
      <c r="AQ21" s="2">
        <v>1.2389727557242383</v>
      </c>
      <c r="AR21" s="2">
        <v>1.6186363016892316</v>
      </c>
      <c r="AS21" s="2">
        <v>0.87342533512922516</v>
      </c>
      <c r="AT21" s="2">
        <v>2.4928988691492382</v>
      </c>
      <c r="AU21" s="2">
        <v>-6.0649675430752892E-2</v>
      </c>
    </row>
    <row r="22" spans="1:47" x14ac:dyDescent="0.25">
      <c r="A22">
        <v>1994.375</v>
      </c>
      <c r="B22">
        <v>5</v>
      </c>
      <c r="C22" s="2">
        <v>0.48058693018923609</v>
      </c>
      <c r="D22">
        <v>5.2440240770646955</v>
      </c>
      <c r="G22" s="2">
        <v>0.48058693018923609</v>
      </c>
      <c r="H22" s="2">
        <v>0.43658393346923852</v>
      </c>
      <c r="I22" s="2">
        <v>0.55829599056923407</v>
      </c>
      <c r="J22" s="2">
        <v>-0.26735246563077253</v>
      </c>
      <c r="K22" s="2">
        <v>-0.96840572933077751</v>
      </c>
      <c r="L22" s="2">
        <v>-1.3840851574307529</v>
      </c>
      <c r="M22" s="2">
        <v>-0.34274929363076823</v>
      </c>
      <c r="N22" s="2">
        <v>-1.003711165430766</v>
      </c>
      <c r="O22" s="2">
        <v>3.3413247869227392E-2</v>
      </c>
      <c r="P22" s="2">
        <v>-0.23892460953076178</v>
      </c>
      <c r="Q22" s="2">
        <v>-5.7858695630772616E-2</v>
      </c>
      <c r="R22" s="2">
        <v>-1.2440622765307658</v>
      </c>
      <c r="S22" s="2">
        <v>-1.7499852617307701</v>
      </c>
      <c r="T22" s="2">
        <v>-1.4652308750507557</v>
      </c>
      <c r="U22" s="2">
        <v>-1.400128325530777</v>
      </c>
      <c r="V22" s="2">
        <v>-2.5427820538307531</v>
      </c>
      <c r="W22" s="2">
        <v>-6.6647353730779207E-2</v>
      </c>
      <c r="X22" s="2">
        <v>0.2562015870692339</v>
      </c>
      <c r="Y22" s="2">
        <v>-0.76324945283075885</v>
      </c>
      <c r="Z22" s="2">
        <v>-0.47740350051075731</v>
      </c>
      <c r="AA22" s="2">
        <v>0.67246091184924062</v>
      </c>
      <c r="AB22" s="2">
        <v>0.91106123696924057</v>
      </c>
      <c r="AC22" s="2">
        <v>0.30045070326922318</v>
      </c>
      <c r="AD22" s="2">
        <v>-1.121383650430777</v>
      </c>
      <c r="AE22" s="2">
        <v>-0.84115852963076165</v>
      </c>
      <c r="AF22" s="2">
        <v>-1.4262157430307572</v>
      </c>
      <c r="AG22" s="2">
        <v>-1.6423887356207789</v>
      </c>
      <c r="AH22" s="2">
        <v>-2.3034867752407635</v>
      </c>
      <c r="AI22" s="2">
        <v>-4.0346397557107512</v>
      </c>
      <c r="AJ22" s="2">
        <v>-1.5787000165107659</v>
      </c>
      <c r="AK22" s="2">
        <v>-1.6823914399807602</v>
      </c>
      <c r="AL22" s="2">
        <v>-0.45250741993075744</v>
      </c>
      <c r="AM22" s="2">
        <v>-0.43909391222076166</v>
      </c>
      <c r="AN22" s="2">
        <v>0.99610122664924261</v>
      </c>
      <c r="AO22" s="2">
        <v>1.3196503246692344</v>
      </c>
      <c r="AP22" s="2">
        <v>1.5908299070092362</v>
      </c>
      <c r="AQ22" s="2">
        <v>1.5588966751912405</v>
      </c>
      <c r="AR22" s="2">
        <v>1.6316906620592251</v>
      </c>
      <c r="AS22" s="2">
        <v>1.2957303481892386</v>
      </c>
      <c r="AT22" s="2">
        <v>-1.2335507462607638</v>
      </c>
      <c r="AU22" s="2">
        <v>0.16320301782923852</v>
      </c>
    </row>
    <row r="23" spans="1:47" x14ac:dyDescent="0.25">
      <c r="A23">
        <v>1995.375</v>
      </c>
      <c r="B23">
        <v>5</v>
      </c>
      <c r="C23" s="2">
        <v>7.6683764169240554E-2</v>
      </c>
      <c r="D23">
        <v>5.6892810990045426</v>
      </c>
      <c r="G23" s="2">
        <v>7.6683764169240554E-2</v>
      </c>
      <c r="H23" s="2">
        <v>0.10972375916922747</v>
      </c>
      <c r="I23" s="2">
        <v>-0.31761633993075511</v>
      </c>
      <c r="J23" s="2">
        <v>-1.3699783146307574</v>
      </c>
      <c r="K23" s="2">
        <v>-2.2407406892407531</v>
      </c>
      <c r="L23" s="2">
        <v>-1.0063510335307699</v>
      </c>
      <c r="M23" s="2">
        <v>1.3061153370692451</v>
      </c>
      <c r="N23" s="2">
        <v>-0.22854296843077238</v>
      </c>
      <c r="O23" s="2">
        <v>0.54970240346922294</v>
      </c>
      <c r="P23" s="2">
        <v>1.4629862816792296</v>
      </c>
      <c r="Q23" s="2">
        <v>1.3126903932192404</v>
      </c>
      <c r="R23" s="2">
        <v>1.4165573207592337</v>
      </c>
      <c r="S23" s="2">
        <v>0.48058693018923609</v>
      </c>
      <c r="T23" s="2">
        <v>0.43658393346923852</v>
      </c>
      <c r="U23" s="2">
        <v>0.55829599056923407</v>
      </c>
      <c r="V23" s="2">
        <v>-0.26735246563077253</v>
      </c>
      <c r="W23" s="2">
        <v>-0.96840572933077751</v>
      </c>
      <c r="X23" s="2">
        <v>-1.3840851574307529</v>
      </c>
      <c r="Y23" s="2">
        <v>-0.34274929363076823</v>
      </c>
      <c r="Z23" s="2">
        <v>-1.003711165430766</v>
      </c>
      <c r="AA23" s="2">
        <v>3.3413247869227392E-2</v>
      </c>
      <c r="AB23" s="2">
        <v>-0.23892460953076178</v>
      </c>
      <c r="AC23" s="2">
        <v>-5.7858695630772616E-2</v>
      </c>
      <c r="AD23" s="2">
        <v>-1.2440622765307658</v>
      </c>
      <c r="AE23" s="2">
        <v>-1.7499852617307701</v>
      </c>
      <c r="AF23" s="2">
        <v>-1.4652308750507557</v>
      </c>
      <c r="AG23" s="2">
        <v>-1.400128325530777</v>
      </c>
      <c r="AH23" s="2">
        <v>-2.5427820538307531</v>
      </c>
      <c r="AI23" s="2">
        <v>-6.6647353730779207E-2</v>
      </c>
      <c r="AJ23" s="2">
        <v>0.2562015870692339</v>
      </c>
      <c r="AK23" s="2">
        <v>-0.76324945283075885</v>
      </c>
      <c r="AL23" s="2">
        <v>-0.47740350051075731</v>
      </c>
      <c r="AM23" s="2">
        <v>0.67246091184924062</v>
      </c>
      <c r="AN23" s="2">
        <v>0.91106123696924057</v>
      </c>
      <c r="AO23" s="2">
        <v>0.30045070326922318</v>
      </c>
      <c r="AP23" s="2">
        <v>-1.121383650430777</v>
      </c>
      <c r="AQ23" s="2">
        <v>-0.84115852963076165</v>
      </c>
      <c r="AR23" s="2">
        <v>-1.4262157430307572</v>
      </c>
      <c r="AS23" s="2">
        <v>-1.6423887356207789</v>
      </c>
      <c r="AT23" s="2">
        <v>-2.3034867752407635</v>
      </c>
      <c r="AU23" s="2">
        <v>-4.0346397557107512</v>
      </c>
    </row>
    <row r="24" spans="1:47" x14ac:dyDescent="0.25">
      <c r="A24">
        <v>1996.375</v>
      </c>
      <c r="B24">
        <v>5</v>
      </c>
      <c r="C24" s="2">
        <v>0.93481068946924495</v>
      </c>
      <c r="D24">
        <v>6.2994084553902123</v>
      </c>
      <c r="G24" s="2">
        <v>0.93481068946924495</v>
      </c>
      <c r="H24" s="2">
        <v>-9.6817897150762722E-2</v>
      </c>
      <c r="I24" s="2">
        <v>0.34425614486924488</v>
      </c>
      <c r="J24" s="2">
        <v>5.2294937169236277E-2</v>
      </c>
      <c r="K24" s="2">
        <v>0.12928496692922442</v>
      </c>
      <c r="L24" s="2">
        <v>-1.3773610517907746</v>
      </c>
      <c r="M24" s="2">
        <v>1.5170529866692426</v>
      </c>
      <c r="N24" s="2">
        <v>1.4887714762392252</v>
      </c>
      <c r="O24" s="2">
        <v>0.48882257341924473</v>
      </c>
      <c r="P24" s="2">
        <v>2.4735421464692338</v>
      </c>
      <c r="Q24" s="2">
        <v>1.2489220058692447</v>
      </c>
      <c r="R24" s="2">
        <v>0.55404742496924286</v>
      </c>
      <c r="S24" s="2">
        <v>7.6683764169240554E-2</v>
      </c>
      <c r="T24" s="2">
        <v>0.10972375916922747</v>
      </c>
      <c r="U24" s="2">
        <v>-0.31761633993075511</v>
      </c>
      <c r="V24" s="2">
        <v>-1.3699783146307574</v>
      </c>
      <c r="W24" s="2">
        <v>-2.2407406892407531</v>
      </c>
      <c r="X24" s="2">
        <v>-1.0063510335307699</v>
      </c>
      <c r="Y24" s="2">
        <v>1.3061153370692451</v>
      </c>
      <c r="Z24" s="2">
        <v>-0.22854296843077238</v>
      </c>
      <c r="AA24" s="2">
        <v>0.54970240346922294</v>
      </c>
      <c r="AB24" s="2">
        <v>1.4629862816792296</v>
      </c>
      <c r="AC24" s="2">
        <v>1.3126903932192404</v>
      </c>
      <c r="AD24" s="2">
        <v>1.4165573207592337</v>
      </c>
      <c r="AE24" s="2">
        <v>0.48058693018923609</v>
      </c>
      <c r="AF24" s="2">
        <v>0.43658393346923852</v>
      </c>
      <c r="AG24" s="2">
        <v>0.55829599056923407</v>
      </c>
      <c r="AH24" s="2">
        <v>-0.26735246563077253</v>
      </c>
      <c r="AI24" s="2">
        <v>-0.96840572933077751</v>
      </c>
      <c r="AJ24" s="2">
        <v>-1.3840851574307529</v>
      </c>
      <c r="AK24" s="2">
        <v>-0.34274929363076823</v>
      </c>
      <c r="AL24" s="2">
        <v>-1.003711165430766</v>
      </c>
      <c r="AM24" s="2">
        <v>3.3413247869227392E-2</v>
      </c>
      <c r="AN24" s="2">
        <v>-0.23892460953076178</v>
      </c>
      <c r="AO24" s="2">
        <v>-5.7858695630772616E-2</v>
      </c>
      <c r="AP24" s="2">
        <v>-1.2440622765307658</v>
      </c>
      <c r="AQ24" s="2">
        <v>-1.7499852617307701</v>
      </c>
      <c r="AR24" s="2">
        <v>-1.4652308750507557</v>
      </c>
      <c r="AS24" s="2">
        <v>-1.400128325530777</v>
      </c>
      <c r="AT24" s="2">
        <v>-2.5427820538307531</v>
      </c>
      <c r="AU24" s="2">
        <v>-6.6647353730779207E-2</v>
      </c>
    </row>
    <row r="25" spans="1:47" x14ac:dyDescent="0.25">
      <c r="A25">
        <v>1997.375</v>
      </c>
      <c r="B25">
        <v>5</v>
      </c>
      <c r="C25" s="2">
        <v>-1.0207669603507683</v>
      </c>
      <c r="D25">
        <v>5.2549005954194374</v>
      </c>
      <c r="G25" s="2">
        <v>-1.0207669603507683</v>
      </c>
      <c r="H25" s="2">
        <v>-9.7373376630768144E-2</v>
      </c>
      <c r="I25" s="2">
        <v>1.4184623768092359</v>
      </c>
      <c r="J25" s="2">
        <v>-0.48558845493075964</v>
      </c>
      <c r="K25" s="2">
        <v>-1.4328003235307725</v>
      </c>
      <c r="L25" s="2">
        <v>0.25270418406924511</v>
      </c>
      <c r="M25" s="2">
        <v>0.81910462036922738</v>
      </c>
      <c r="N25" s="2">
        <v>1.2670931882692424</v>
      </c>
      <c r="O25" s="2">
        <v>1.252030043689234</v>
      </c>
      <c r="P25" s="2">
        <v>2.7404304538592403</v>
      </c>
      <c r="Q25" s="2">
        <v>2.3489521429392384</v>
      </c>
      <c r="R25" s="2">
        <v>1.766043151369225</v>
      </c>
      <c r="S25" s="2">
        <v>0.93481068946924495</v>
      </c>
      <c r="T25" s="2">
        <v>-9.6817897150762722E-2</v>
      </c>
      <c r="U25" s="2">
        <v>0.34425614486924488</v>
      </c>
      <c r="V25" s="2">
        <v>5.2294937169236277E-2</v>
      </c>
      <c r="W25" s="2">
        <v>0.12928496692922442</v>
      </c>
      <c r="X25" s="2">
        <v>-1.3773610517907746</v>
      </c>
      <c r="Y25" s="2">
        <v>1.5170529866692426</v>
      </c>
      <c r="Z25" s="2">
        <v>1.4887714762392252</v>
      </c>
      <c r="AA25" s="2">
        <v>0.48882257341924473</v>
      </c>
      <c r="AB25" s="2">
        <v>2.4735421464692338</v>
      </c>
      <c r="AC25" s="2">
        <v>1.2489220058692447</v>
      </c>
      <c r="AD25" s="2">
        <v>0.55404742496924286</v>
      </c>
      <c r="AE25" s="2">
        <v>7.6683764169240554E-2</v>
      </c>
      <c r="AF25" s="2">
        <v>0.10972375916922747</v>
      </c>
      <c r="AG25" s="2">
        <v>-0.31761633993075511</v>
      </c>
      <c r="AH25" s="2">
        <v>-1.3699783146307574</v>
      </c>
      <c r="AI25" s="2">
        <v>-2.2407406892407531</v>
      </c>
      <c r="AJ25" s="2">
        <v>-1.0063510335307699</v>
      </c>
      <c r="AK25" s="2">
        <v>1.3061153370692451</v>
      </c>
      <c r="AL25" s="2">
        <v>-0.22854296843077238</v>
      </c>
      <c r="AM25" s="2">
        <v>0.54970240346922294</v>
      </c>
      <c r="AN25" s="2">
        <v>1.4629862816792296</v>
      </c>
      <c r="AO25" s="2">
        <v>1.3126903932192404</v>
      </c>
      <c r="AP25" s="2">
        <v>1.4165573207592337</v>
      </c>
      <c r="AQ25" s="2">
        <v>0.48058693018923609</v>
      </c>
      <c r="AR25" s="2">
        <v>0.43658393346923852</v>
      </c>
      <c r="AS25" s="2">
        <v>0.55829599056923407</v>
      </c>
      <c r="AT25" s="2">
        <v>-0.26735246563077253</v>
      </c>
      <c r="AU25" s="2">
        <v>-0.96840572933077751</v>
      </c>
    </row>
    <row r="26" spans="1:47" x14ac:dyDescent="0.25">
      <c r="A26">
        <v>1998.375</v>
      </c>
      <c r="B26">
        <v>5</v>
      </c>
      <c r="C26" s="2">
        <v>0.36530161782924503</v>
      </c>
      <c r="D26">
        <v>5.1879234616376273</v>
      </c>
      <c r="G26" s="2">
        <v>0.36530161782924503</v>
      </c>
      <c r="H26" s="2">
        <v>-0.67479155132076152</v>
      </c>
      <c r="I26" s="2">
        <v>-2.787153976350762</v>
      </c>
      <c r="J26" s="2">
        <v>-4.7932476183307555</v>
      </c>
      <c r="K26" s="2">
        <v>-5.1007095236207638</v>
      </c>
      <c r="L26" s="2">
        <v>-3.1512866676807603</v>
      </c>
      <c r="M26" s="2">
        <v>-3.1398037807207642</v>
      </c>
      <c r="N26" s="2">
        <v>-2.6304183801607746</v>
      </c>
      <c r="O26" s="2">
        <v>-2.6443173447007617</v>
      </c>
      <c r="P26" s="2">
        <v>-2.0635819996307614</v>
      </c>
      <c r="Q26" s="2">
        <v>-1.616506618360757</v>
      </c>
      <c r="R26" s="2">
        <v>-2.2607291906107592</v>
      </c>
      <c r="S26" s="2">
        <v>-1.0207669603507683</v>
      </c>
      <c r="T26" s="2">
        <v>-9.7373376630768144E-2</v>
      </c>
      <c r="U26" s="2">
        <v>1.4184623768092359</v>
      </c>
      <c r="V26" s="2">
        <v>-0.48558845493075964</v>
      </c>
      <c r="W26" s="2">
        <v>-1.4328003235307725</v>
      </c>
      <c r="X26" s="2">
        <v>0.25270418406924511</v>
      </c>
      <c r="Y26" s="2">
        <v>0.81910462036922738</v>
      </c>
      <c r="Z26" s="2">
        <v>1.2670931882692424</v>
      </c>
      <c r="AA26" s="2">
        <v>1.252030043689234</v>
      </c>
      <c r="AB26" s="2">
        <v>2.7404304538592403</v>
      </c>
      <c r="AC26" s="2">
        <v>2.3489521429392384</v>
      </c>
      <c r="AD26" s="2">
        <v>1.766043151369225</v>
      </c>
      <c r="AE26" s="2">
        <v>0.93481068946924495</v>
      </c>
      <c r="AF26" s="2">
        <v>-9.6817897150762722E-2</v>
      </c>
      <c r="AG26" s="2">
        <v>0.34425614486924488</v>
      </c>
      <c r="AH26" s="2">
        <v>5.2294937169236277E-2</v>
      </c>
      <c r="AI26" s="2">
        <v>0.12928496692922442</v>
      </c>
      <c r="AJ26" s="2">
        <v>-1.3773610517907746</v>
      </c>
      <c r="AK26" s="2">
        <v>1.5170529866692426</v>
      </c>
      <c r="AL26" s="2">
        <v>1.4887714762392252</v>
      </c>
      <c r="AM26" s="2">
        <v>0.48882257341924473</v>
      </c>
      <c r="AN26" s="2">
        <v>2.4735421464692338</v>
      </c>
      <c r="AO26" s="2">
        <v>1.2489220058692447</v>
      </c>
      <c r="AP26" s="2">
        <v>0.55404742496924286</v>
      </c>
      <c r="AQ26" s="2">
        <v>7.6683764169240554E-2</v>
      </c>
      <c r="AR26" s="2">
        <v>0.10972375916922747</v>
      </c>
      <c r="AS26" s="2">
        <v>-0.31761633993075511</v>
      </c>
      <c r="AT26" s="2">
        <v>-1.3699783146307574</v>
      </c>
      <c r="AU26" s="2">
        <v>-2.2407406892407531</v>
      </c>
    </row>
    <row r="27" spans="1:47" x14ac:dyDescent="0.25">
      <c r="A27">
        <v>1999.375</v>
      </c>
      <c r="B27">
        <v>5</v>
      </c>
      <c r="C27" s="2">
        <v>4.2896200438692365</v>
      </c>
      <c r="D27">
        <v>6.0019956529022505</v>
      </c>
      <c r="G27" s="2">
        <v>4.2896200438692365</v>
      </c>
      <c r="H27" s="2">
        <v>4.2750099174692346</v>
      </c>
      <c r="I27" s="2">
        <v>2.720610813269225</v>
      </c>
      <c r="J27" s="2">
        <v>2.0505162265692274</v>
      </c>
      <c r="K27" s="2">
        <v>2.0362881506692445</v>
      </c>
      <c r="L27" s="2">
        <v>3.053984121499234</v>
      </c>
      <c r="M27" s="2">
        <v>2.044175869139242</v>
      </c>
      <c r="N27" s="2">
        <v>3.7128887155072277</v>
      </c>
      <c r="O27" s="2">
        <v>3.4363206710852405</v>
      </c>
      <c r="P27" s="2">
        <v>4.4289432049292321</v>
      </c>
      <c r="Q27" s="2">
        <v>3.8889257109492208</v>
      </c>
      <c r="R27" s="2">
        <v>2.0395898820592362</v>
      </c>
      <c r="S27" s="2">
        <v>0.36530161782924503</v>
      </c>
      <c r="T27" s="2">
        <v>-0.67479155132076152</v>
      </c>
      <c r="U27" s="2">
        <v>-2.787153976350762</v>
      </c>
      <c r="V27" s="2">
        <v>-4.7932476183307555</v>
      </c>
      <c r="W27" s="2">
        <v>-5.1007095236207638</v>
      </c>
      <c r="X27" s="2">
        <v>-3.1512866676807603</v>
      </c>
      <c r="Y27" s="2">
        <v>-3.1398037807207642</v>
      </c>
      <c r="Z27" s="2">
        <v>-2.6304183801607746</v>
      </c>
      <c r="AA27" s="2">
        <v>-2.6443173447007617</v>
      </c>
      <c r="AB27" s="2">
        <v>-2.0635819996307614</v>
      </c>
      <c r="AC27" s="2">
        <v>-1.616506618360757</v>
      </c>
      <c r="AD27" s="2">
        <v>-2.2607291906107592</v>
      </c>
      <c r="AE27" s="2">
        <v>-1.0207669603507683</v>
      </c>
      <c r="AF27" s="2">
        <v>-9.7373376630768144E-2</v>
      </c>
      <c r="AG27" s="2">
        <v>1.4184623768092359</v>
      </c>
      <c r="AH27" s="2">
        <v>-0.48558845493075964</v>
      </c>
      <c r="AI27" s="2">
        <v>-1.4328003235307725</v>
      </c>
      <c r="AJ27" s="2">
        <v>0.25270418406924511</v>
      </c>
      <c r="AK27" s="2">
        <v>0.81910462036922738</v>
      </c>
      <c r="AL27" s="2">
        <v>1.2670931882692424</v>
      </c>
      <c r="AM27" s="2">
        <v>1.252030043689234</v>
      </c>
      <c r="AN27" s="2">
        <v>2.7404304538592403</v>
      </c>
      <c r="AO27" s="2">
        <v>2.3489521429392384</v>
      </c>
      <c r="AP27" s="2">
        <v>1.766043151369225</v>
      </c>
      <c r="AQ27" s="2">
        <v>0.93481068946924495</v>
      </c>
      <c r="AR27" s="2">
        <v>-9.6817897150762722E-2</v>
      </c>
      <c r="AS27" s="2">
        <v>0.34425614486924488</v>
      </c>
      <c r="AT27" s="2">
        <v>5.2294937169236277E-2</v>
      </c>
      <c r="AU27" s="2">
        <v>0.12928496692922442</v>
      </c>
    </row>
    <row r="28" spans="1:47" x14ac:dyDescent="0.25">
      <c r="A28">
        <v>2000.375</v>
      </c>
      <c r="B28">
        <v>5</v>
      </c>
      <c r="C28" s="2">
        <v>3.5373226747692317</v>
      </c>
      <c r="D28">
        <v>8.2685582580231287</v>
      </c>
      <c r="G28" s="2">
        <v>3.5373226747692317</v>
      </c>
      <c r="H28" s="2">
        <v>3.0903652242692421</v>
      </c>
      <c r="I28" s="2">
        <v>1.4600406446692253</v>
      </c>
      <c r="J28" s="2">
        <v>0.9794701684692293</v>
      </c>
      <c r="K28" s="2">
        <v>4.1817926795692255</v>
      </c>
      <c r="L28" s="2">
        <v>3.394136948569225</v>
      </c>
      <c r="M28" s="2">
        <v>3.509488163569245</v>
      </c>
      <c r="N28" s="2">
        <v>4.1367831363692362</v>
      </c>
      <c r="O28" s="2">
        <v>3.8332401099692253</v>
      </c>
      <c r="P28" s="2">
        <v>3.4883985685692318</v>
      </c>
      <c r="Q28" s="2">
        <v>4.7052333398692276</v>
      </c>
      <c r="R28" s="2">
        <v>4.0284021538692274</v>
      </c>
      <c r="S28" s="2">
        <v>4.2896200438692365</v>
      </c>
      <c r="T28" s="2">
        <v>4.2750099174692346</v>
      </c>
      <c r="U28" s="2">
        <v>2.720610813269225</v>
      </c>
      <c r="V28" s="2">
        <v>2.0505162265692274</v>
      </c>
      <c r="W28" s="2">
        <v>2.0362881506692445</v>
      </c>
      <c r="X28" s="2">
        <v>3.053984121499234</v>
      </c>
      <c r="Y28" s="2">
        <v>2.044175869139242</v>
      </c>
      <c r="Z28" s="2">
        <v>3.7128887155072277</v>
      </c>
      <c r="AA28" s="2">
        <v>3.4363206710852405</v>
      </c>
      <c r="AB28" s="2">
        <v>4.4289432049292321</v>
      </c>
      <c r="AC28" s="2">
        <v>3.8889257109492208</v>
      </c>
      <c r="AD28" s="2">
        <v>2.0395898820592362</v>
      </c>
      <c r="AE28" s="2">
        <v>0.36530161782924503</v>
      </c>
      <c r="AF28" s="2">
        <v>-0.67479155132076152</v>
      </c>
      <c r="AG28" s="2">
        <v>-2.787153976350762</v>
      </c>
      <c r="AH28" s="2">
        <v>-4.7932476183307555</v>
      </c>
      <c r="AI28" s="2">
        <v>-5.1007095236207638</v>
      </c>
      <c r="AJ28" s="2">
        <v>-3.1512866676807603</v>
      </c>
      <c r="AK28" s="2">
        <v>-3.1398037807207642</v>
      </c>
      <c r="AL28" s="2">
        <v>-2.6304183801607746</v>
      </c>
      <c r="AM28" s="2">
        <v>-2.6443173447007617</v>
      </c>
      <c r="AN28" s="2">
        <v>-2.0635819996307614</v>
      </c>
      <c r="AO28" s="2">
        <v>-1.616506618360757</v>
      </c>
      <c r="AP28" s="2">
        <v>-2.2607291906107592</v>
      </c>
      <c r="AQ28" s="2">
        <v>-1.0207669603507683</v>
      </c>
      <c r="AR28" s="2">
        <v>-9.7373376630768144E-2</v>
      </c>
      <c r="AS28" s="2">
        <v>1.4184623768092359</v>
      </c>
      <c r="AT28" s="2">
        <v>-0.48558845493075964</v>
      </c>
      <c r="AU28" s="2">
        <v>-1.4328003235307725</v>
      </c>
    </row>
    <row r="29" spans="1:47" x14ac:dyDescent="0.25">
      <c r="A29">
        <v>2001.375</v>
      </c>
      <c r="B29">
        <v>5</v>
      </c>
      <c r="C29" s="2">
        <v>2.8748315578692294</v>
      </c>
      <c r="D29">
        <v>8.2541457206434874</v>
      </c>
      <c r="G29" s="2">
        <v>2.8748315578692294</v>
      </c>
      <c r="H29" s="2">
        <v>3.2092950798692228</v>
      </c>
      <c r="I29" s="2">
        <v>1.7469426557692425</v>
      </c>
      <c r="J29" s="2">
        <v>1.4616929183692422</v>
      </c>
      <c r="K29" s="2">
        <v>-0.38835567963076423</v>
      </c>
      <c r="L29" s="2">
        <v>-0.22668680423076398</v>
      </c>
      <c r="M29" s="2">
        <v>1.6595333543692334</v>
      </c>
      <c r="N29" s="2">
        <v>2.6644051674692379</v>
      </c>
      <c r="O29" s="2">
        <v>2.5123353872692271</v>
      </c>
      <c r="P29" s="2">
        <v>3.4102340611692208</v>
      </c>
      <c r="Q29" s="2">
        <v>3.4716817257692343</v>
      </c>
      <c r="R29" s="2">
        <v>3.2955469341692334</v>
      </c>
      <c r="S29" s="2">
        <v>3.5373226747692317</v>
      </c>
      <c r="T29" s="2">
        <v>3.0903652242692421</v>
      </c>
      <c r="U29" s="2">
        <v>1.4600406446692253</v>
      </c>
      <c r="V29" s="2">
        <v>0.9794701684692293</v>
      </c>
      <c r="W29" s="2">
        <v>4.1817926795692255</v>
      </c>
      <c r="X29" s="2">
        <v>3.394136948569225</v>
      </c>
      <c r="Y29" s="2">
        <v>3.509488163569245</v>
      </c>
      <c r="Z29" s="2">
        <v>4.1367831363692362</v>
      </c>
      <c r="AA29" s="2">
        <v>3.8332401099692253</v>
      </c>
      <c r="AB29" s="2">
        <v>3.4883985685692318</v>
      </c>
      <c r="AC29" s="2">
        <v>4.7052333398692276</v>
      </c>
      <c r="AD29" s="2">
        <v>4.0284021538692274</v>
      </c>
      <c r="AE29" s="2">
        <v>4.2896200438692365</v>
      </c>
      <c r="AF29" s="2">
        <v>4.2750099174692346</v>
      </c>
      <c r="AG29" s="2">
        <v>2.720610813269225</v>
      </c>
      <c r="AH29" s="2">
        <v>2.0505162265692274</v>
      </c>
      <c r="AI29" s="2">
        <v>2.0362881506692445</v>
      </c>
      <c r="AJ29" s="2">
        <v>3.053984121499234</v>
      </c>
      <c r="AK29" s="2">
        <v>2.044175869139242</v>
      </c>
      <c r="AL29" s="2">
        <v>3.7128887155072277</v>
      </c>
      <c r="AM29" s="2">
        <v>3.4363206710852405</v>
      </c>
      <c r="AN29" s="2">
        <v>4.4289432049292321</v>
      </c>
      <c r="AO29" s="2">
        <v>3.8889257109492208</v>
      </c>
      <c r="AP29" s="2">
        <v>2.0395898820592362</v>
      </c>
      <c r="AQ29" s="2">
        <v>0.36530161782924503</v>
      </c>
      <c r="AR29" s="2">
        <v>-0.67479155132076152</v>
      </c>
      <c r="AS29" s="2">
        <v>-2.787153976350762</v>
      </c>
      <c r="AT29" s="2">
        <v>-4.7932476183307555</v>
      </c>
      <c r="AU29" s="2">
        <v>-5.1007095236207638</v>
      </c>
    </row>
    <row r="30" spans="1:47" x14ac:dyDescent="0.25">
      <c r="A30">
        <v>2002.375</v>
      </c>
      <c r="B30">
        <v>5</v>
      </c>
      <c r="C30" s="2">
        <v>1.9076068417692387</v>
      </c>
      <c r="D30">
        <v>6.3942615849348687</v>
      </c>
      <c r="G30" s="2">
        <v>1.9076068417692387</v>
      </c>
      <c r="H30" s="2">
        <v>3.0384176178892228</v>
      </c>
      <c r="I30" s="2">
        <v>2.3836384248692406</v>
      </c>
      <c r="J30" s="2">
        <v>1.7291000883692318</v>
      </c>
      <c r="K30" s="2">
        <v>0.57640479186923832</v>
      </c>
      <c r="L30" s="2">
        <v>0.41005423246923839</v>
      </c>
      <c r="M30" s="2">
        <v>0.95477888506922737</v>
      </c>
      <c r="N30" s="2">
        <v>2.6059359112692251</v>
      </c>
      <c r="O30" s="2">
        <v>2.3933862785692384</v>
      </c>
      <c r="P30" s="2">
        <v>2.724954240169227</v>
      </c>
      <c r="Q30" s="2">
        <v>3.197693081169227</v>
      </c>
      <c r="R30" s="2">
        <v>3.2077139517692337</v>
      </c>
      <c r="S30" s="2">
        <v>2.8748315578692294</v>
      </c>
      <c r="T30" s="2">
        <v>3.2092950798692228</v>
      </c>
      <c r="U30" s="2">
        <v>1.7469426557692425</v>
      </c>
      <c r="V30" s="2">
        <v>1.4616929183692422</v>
      </c>
      <c r="W30" s="2">
        <v>-0.38835567963076423</v>
      </c>
      <c r="X30" s="2">
        <v>-0.22668680423076398</v>
      </c>
      <c r="Y30" s="2">
        <v>1.6595333543692334</v>
      </c>
      <c r="Z30" s="2">
        <v>2.6644051674692379</v>
      </c>
      <c r="AA30" s="2">
        <v>2.5123353872692271</v>
      </c>
      <c r="AB30" s="2">
        <v>3.4102340611692208</v>
      </c>
      <c r="AC30" s="2">
        <v>3.4716817257692343</v>
      </c>
      <c r="AD30" s="2">
        <v>3.2955469341692334</v>
      </c>
      <c r="AE30" s="2">
        <v>3.5373226747692317</v>
      </c>
      <c r="AF30" s="2">
        <v>3.0903652242692421</v>
      </c>
      <c r="AG30" s="2">
        <v>1.4600406446692253</v>
      </c>
      <c r="AH30" s="2">
        <v>0.9794701684692293</v>
      </c>
      <c r="AI30" s="2">
        <v>4.1817926795692255</v>
      </c>
      <c r="AJ30" s="2">
        <v>3.394136948569225</v>
      </c>
      <c r="AK30" s="2">
        <v>3.509488163569245</v>
      </c>
      <c r="AL30" s="2">
        <v>4.1367831363692362</v>
      </c>
      <c r="AM30" s="2">
        <v>3.8332401099692253</v>
      </c>
      <c r="AN30" s="2">
        <v>3.4883985685692318</v>
      </c>
      <c r="AO30" s="2">
        <v>4.7052333398692276</v>
      </c>
      <c r="AP30" s="2">
        <v>4.0284021538692274</v>
      </c>
      <c r="AQ30" s="2">
        <v>4.2896200438692365</v>
      </c>
      <c r="AR30" s="2">
        <v>4.2750099174692346</v>
      </c>
      <c r="AS30" s="2">
        <v>2.720610813269225</v>
      </c>
      <c r="AT30" s="2">
        <v>2.0505162265692274</v>
      </c>
      <c r="AU30" s="2">
        <v>2.0362881506692445</v>
      </c>
    </row>
    <row r="31" spans="1:47" x14ac:dyDescent="0.25">
      <c r="A31">
        <v>2003.375</v>
      </c>
      <c r="B31">
        <v>5</v>
      </c>
      <c r="C31" s="2">
        <v>2.2880968023692252</v>
      </c>
      <c r="D31">
        <v>6.5528926185130905</v>
      </c>
      <c r="G31" s="2">
        <v>2.2880968023692252</v>
      </c>
      <c r="H31" s="2">
        <v>1.3477316226692384</v>
      </c>
      <c r="I31" s="2">
        <v>-0.21509650943075509</v>
      </c>
      <c r="J31" s="2">
        <v>-1.3804676941707616</v>
      </c>
      <c r="K31" s="2">
        <v>-3.3722278468307572</v>
      </c>
      <c r="L31" s="2">
        <v>-2.8223534988307661</v>
      </c>
      <c r="M31" s="2">
        <v>-2.5511742228307752</v>
      </c>
      <c r="N31" s="2">
        <v>-0.85183288539076163</v>
      </c>
      <c r="O31" s="2">
        <v>0.39340332639922526</v>
      </c>
      <c r="P31" s="2">
        <v>0.59083584561924296</v>
      </c>
      <c r="Q31" s="2">
        <v>1.6826666062692384</v>
      </c>
      <c r="R31" s="2">
        <v>1.4205022298692254</v>
      </c>
      <c r="S31" s="2">
        <v>1.9076068417692387</v>
      </c>
      <c r="T31" s="2">
        <v>3.0384176178892228</v>
      </c>
      <c r="U31" s="2">
        <v>2.3836384248692406</v>
      </c>
      <c r="V31" s="2">
        <v>1.7291000883692318</v>
      </c>
      <c r="W31" s="2">
        <v>0.57640479186923832</v>
      </c>
      <c r="X31" s="2">
        <v>0.41005423246923839</v>
      </c>
      <c r="Y31" s="2">
        <v>0.95477888506922737</v>
      </c>
      <c r="Z31" s="2">
        <v>2.6059359112692251</v>
      </c>
      <c r="AA31" s="2">
        <v>2.3933862785692384</v>
      </c>
      <c r="AB31" s="2">
        <v>2.724954240169227</v>
      </c>
      <c r="AC31" s="2">
        <v>3.197693081169227</v>
      </c>
      <c r="AD31" s="2">
        <v>3.2077139517692337</v>
      </c>
      <c r="AE31" s="2">
        <v>2.8748315578692294</v>
      </c>
      <c r="AF31" s="2">
        <v>3.2092950798692228</v>
      </c>
      <c r="AG31" s="2">
        <v>1.7469426557692425</v>
      </c>
      <c r="AH31" s="2">
        <v>1.4616929183692422</v>
      </c>
      <c r="AI31" s="2">
        <v>-0.38835567963076423</v>
      </c>
      <c r="AJ31" s="2">
        <v>-0.22668680423076398</v>
      </c>
      <c r="AK31" s="2">
        <v>1.6595333543692334</v>
      </c>
      <c r="AL31" s="2">
        <v>2.6644051674692379</v>
      </c>
      <c r="AM31" s="2">
        <v>2.5123353872692271</v>
      </c>
      <c r="AN31" s="2">
        <v>3.4102340611692208</v>
      </c>
      <c r="AO31" s="2">
        <v>3.4716817257692343</v>
      </c>
      <c r="AP31" s="2">
        <v>3.2955469341692334</v>
      </c>
      <c r="AQ31" s="2">
        <v>3.5373226747692317</v>
      </c>
      <c r="AR31" s="2">
        <v>3.0903652242692421</v>
      </c>
      <c r="AS31" s="2">
        <v>1.4600406446692253</v>
      </c>
      <c r="AT31" s="2">
        <v>0.9794701684692293</v>
      </c>
      <c r="AU31" s="2">
        <v>4.1817926795692255</v>
      </c>
    </row>
    <row r="32" spans="1:47" x14ac:dyDescent="0.25">
      <c r="A32">
        <v>2004.375</v>
      </c>
      <c r="B32">
        <v>5</v>
      </c>
      <c r="C32" s="2">
        <v>1.3046613783592229</v>
      </c>
      <c r="D32">
        <v>4.9381560781745408</v>
      </c>
      <c r="G32" s="2">
        <v>1.3046613783592229</v>
      </c>
      <c r="H32" s="2">
        <v>0.59094081723922087</v>
      </c>
      <c r="I32" s="2">
        <v>1.4408482313592275</v>
      </c>
      <c r="J32" s="2">
        <v>-1.6729482482407596</v>
      </c>
      <c r="K32" s="2">
        <v>-1.095964693210753</v>
      </c>
      <c r="L32" s="2">
        <v>-1.0499957530007684</v>
      </c>
      <c r="M32" s="2">
        <v>1.8076010837492387</v>
      </c>
      <c r="N32" s="2">
        <v>5.9040367769244984E-2</v>
      </c>
      <c r="O32" s="2">
        <v>1.020079867869234</v>
      </c>
      <c r="P32" s="2">
        <v>1.3330668343492251</v>
      </c>
      <c r="Q32" s="2">
        <v>2.0764134763692423</v>
      </c>
      <c r="R32" s="2">
        <v>1.538133375409245</v>
      </c>
      <c r="S32" s="2">
        <v>2.2880968023692252</v>
      </c>
      <c r="T32" s="2">
        <v>1.3477316226692384</v>
      </c>
      <c r="U32" s="2">
        <v>-0.21509650943075509</v>
      </c>
      <c r="V32" s="2">
        <v>-1.3804676941707616</v>
      </c>
      <c r="W32" s="2">
        <v>-3.3722278468307572</v>
      </c>
      <c r="X32" s="2">
        <v>-2.8223534988307661</v>
      </c>
      <c r="Y32" s="2">
        <v>-2.5511742228307752</v>
      </c>
      <c r="Z32" s="2">
        <v>-0.85183288539076163</v>
      </c>
      <c r="AA32" s="2">
        <v>0.39340332639922526</v>
      </c>
      <c r="AB32" s="2">
        <v>0.59083584561924296</v>
      </c>
      <c r="AC32" s="2">
        <v>1.6826666062692384</v>
      </c>
      <c r="AD32" s="2">
        <v>1.4205022298692254</v>
      </c>
      <c r="AE32" s="2">
        <v>1.9076068417692387</v>
      </c>
      <c r="AF32" s="2">
        <v>3.0384176178892228</v>
      </c>
      <c r="AG32" s="2">
        <v>2.3836384248692406</v>
      </c>
      <c r="AH32" s="2">
        <v>1.7291000883692318</v>
      </c>
      <c r="AI32" s="2">
        <v>0.57640479186923832</v>
      </c>
      <c r="AJ32" s="2">
        <v>0.41005423246923839</v>
      </c>
      <c r="AK32" s="2">
        <v>0.95477888506922737</v>
      </c>
      <c r="AL32" s="2">
        <v>2.6059359112692251</v>
      </c>
      <c r="AM32" s="2">
        <v>2.3933862785692384</v>
      </c>
      <c r="AN32" s="2">
        <v>2.724954240169227</v>
      </c>
      <c r="AO32" s="2">
        <v>3.197693081169227</v>
      </c>
      <c r="AP32" s="2">
        <v>3.2077139517692337</v>
      </c>
      <c r="AQ32" s="2">
        <v>2.8748315578692294</v>
      </c>
      <c r="AR32" s="2">
        <v>3.2092950798692228</v>
      </c>
      <c r="AS32" s="2">
        <v>1.7469426557692425</v>
      </c>
      <c r="AT32" s="2">
        <v>1.4616929183692422</v>
      </c>
      <c r="AU32" s="2">
        <v>-0.38835567963076423</v>
      </c>
    </row>
    <row r="33" spans="1:47" x14ac:dyDescent="0.25">
      <c r="A33">
        <v>2005.375</v>
      </c>
      <c r="B33">
        <v>5</v>
      </c>
      <c r="C33" s="2">
        <v>-0.5079246517307725</v>
      </c>
      <c r="D33">
        <v>8.7178196710248486</v>
      </c>
      <c r="G33" s="2">
        <v>-0.5079246517307725</v>
      </c>
      <c r="H33" s="2">
        <v>0.29846351686923395</v>
      </c>
      <c r="I33" s="2">
        <v>-1.6761749096307603</v>
      </c>
      <c r="J33" s="2">
        <v>-1.3825177939307545</v>
      </c>
      <c r="K33" s="2">
        <v>-1.774578943930764</v>
      </c>
      <c r="L33" s="2">
        <v>-0.34530564288076371</v>
      </c>
      <c r="M33" s="2">
        <v>0.32788333794924063</v>
      </c>
      <c r="N33" s="2">
        <v>0.44187939644322305</v>
      </c>
      <c r="O33" s="2">
        <v>0.97939350272924519</v>
      </c>
      <c r="P33" s="2">
        <v>0.19707756144923189</v>
      </c>
      <c r="Q33" s="2">
        <v>0.82747681711923837</v>
      </c>
      <c r="R33" s="2">
        <v>1.9188675702592293</v>
      </c>
      <c r="S33" s="2">
        <v>1.3046613783592229</v>
      </c>
      <c r="T33" s="2">
        <v>0.59094081723922087</v>
      </c>
      <c r="U33" s="2">
        <v>1.4408482313592275</v>
      </c>
      <c r="V33" s="2">
        <v>-1.6729482482407596</v>
      </c>
      <c r="W33" s="2">
        <v>-1.095964693210753</v>
      </c>
      <c r="X33" s="2">
        <v>-1.0499957530007684</v>
      </c>
      <c r="Y33" s="2">
        <v>1.8076010837492387</v>
      </c>
      <c r="Z33" s="2">
        <v>5.9040367769244984E-2</v>
      </c>
      <c r="AA33" s="2">
        <v>1.020079867869234</v>
      </c>
      <c r="AB33" s="2">
        <v>1.3330668343492251</v>
      </c>
      <c r="AC33" s="2">
        <v>2.0764134763692423</v>
      </c>
      <c r="AD33" s="2">
        <v>1.538133375409245</v>
      </c>
      <c r="AE33" s="2">
        <v>2.2880968023692252</v>
      </c>
      <c r="AF33" s="2">
        <v>1.3477316226692384</v>
      </c>
      <c r="AG33" s="2">
        <v>-0.21509650943075509</v>
      </c>
      <c r="AH33" s="2">
        <v>-1.3804676941707616</v>
      </c>
      <c r="AI33" s="2">
        <v>-3.3722278468307572</v>
      </c>
      <c r="AJ33" s="2">
        <v>-2.8223534988307661</v>
      </c>
      <c r="AK33" s="2">
        <v>-2.5511742228307752</v>
      </c>
      <c r="AL33" s="2">
        <v>-0.85183288539076163</v>
      </c>
      <c r="AM33" s="2">
        <v>0.39340332639922526</v>
      </c>
      <c r="AN33" s="2">
        <v>0.59083584561924296</v>
      </c>
      <c r="AO33" s="2">
        <v>1.6826666062692384</v>
      </c>
      <c r="AP33" s="2">
        <v>1.4205022298692254</v>
      </c>
      <c r="AQ33" s="2">
        <v>1.9076068417692387</v>
      </c>
      <c r="AR33" s="2">
        <v>3.0384176178892228</v>
      </c>
      <c r="AS33" s="2">
        <v>2.3836384248692406</v>
      </c>
      <c r="AT33" s="2">
        <v>1.7291000883692318</v>
      </c>
      <c r="AU33" s="2">
        <v>0.57640479186923832</v>
      </c>
    </row>
    <row r="34" spans="1:47" x14ac:dyDescent="0.25">
      <c r="A34">
        <v>2006.375</v>
      </c>
      <c r="B34">
        <v>5</v>
      </c>
      <c r="C34" s="2">
        <v>2.1628221249392339</v>
      </c>
      <c r="D34">
        <v>5.647699611371106</v>
      </c>
      <c r="G34" s="2">
        <v>2.1628221249392339</v>
      </c>
      <c r="H34" s="2">
        <v>2.2926456901192314</v>
      </c>
      <c r="I34" s="2">
        <v>1.9418874460192272</v>
      </c>
      <c r="J34" s="2">
        <v>1.5328446123392316</v>
      </c>
      <c r="K34" s="2">
        <v>0.24639725443924221</v>
      </c>
      <c r="L34" s="2">
        <v>-1.7059552504307725</v>
      </c>
      <c r="M34" s="2">
        <v>2.3657050289692316</v>
      </c>
      <c r="N34" s="2">
        <v>2.1485403461692405</v>
      </c>
      <c r="O34" s="2">
        <v>1.8314558438692428</v>
      </c>
      <c r="P34" s="2">
        <v>1.3496924048692274</v>
      </c>
      <c r="Q34" s="2">
        <v>1.4338550498692317</v>
      </c>
      <c r="R34" s="2">
        <v>0.3387690722692363</v>
      </c>
      <c r="S34" s="2">
        <v>-0.5079246517307725</v>
      </c>
      <c r="T34" s="2">
        <v>0.29846351686923395</v>
      </c>
      <c r="U34" s="2">
        <v>-1.6761749096307603</v>
      </c>
      <c r="V34" s="2">
        <v>-1.3825177939307545</v>
      </c>
      <c r="W34" s="2">
        <v>-1.774578943930764</v>
      </c>
      <c r="X34" s="2">
        <v>-0.34530564288076371</v>
      </c>
      <c r="Y34" s="2">
        <v>0.32788333794924063</v>
      </c>
      <c r="Z34" s="2">
        <v>0.44187939644322305</v>
      </c>
      <c r="AA34" s="2">
        <v>0.97939350272924519</v>
      </c>
      <c r="AB34" s="2">
        <v>0.19707756144923189</v>
      </c>
      <c r="AC34" s="2">
        <v>0.82747681711923837</v>
      </c>
      <c r="AD34" s="2">
        <v>1.9188675702592293</v>
      </c>
      <c r="AE34" s="2">
        <v>1.3046613783592229</v>
      </c>
      <c r="AF34" s="2">
        <v>0.59094081723922087</v>
      </c>
      <c r="AG34" s="2">
        <v>1.4408482313592275</v>
      </c>
      <c r="AH34" s="2">
        <v>-1.6729482482407596</v>
      </c>
      <c r="AI34" s="2">
        <v>-1.095964693210753</v>
      </c>
      <c r="AJ34" s="2">
        <v>-1.0499957530007684</v>
      </c>
      <c r="AK34" s="2">
        <v>1.8076010837492387</v>
      </c>
      <c r="AL34" s="2">
        <v>5.9040367769244984E-2</v>
      </c>
      <c r="AM34" s="2">
        <v>1.020079867869234</v>
      </c>
      <c r="AN34" s="2">
        <v>1.3330668343492251</v>
      </c>
      <c r="AO34" s="2">
        <v>2.0764134763692423</v>
      </c>
      <c r="AP34" s="2">
        <v>1.538133375409245</v>
      </c>
      <c r="AQ34" s="2">
        <v>2.2880968023692252</v>
      </c>
      <c r="AR34" s="2">
        <v>1.3477316226692384</v>
      </c>
      <c r="AS34" s="2">
        <v>-0.21509650943075509</v>
      </c>
      <c r="AT34" s="2">
        <v>-1.3804676941707616</v>
      </c>
      <c r="AU34" s="2">
        <v>-3.3722278468307572</v>
      </c>
    </row>
    <row r="35" spans="1:47" x14ac:dyDescent="0.25">
      <c r="A35">
        <v>2007.375</v>
      </c>
      <c r="B35">
        <v>5</v>
      </c>
      <c r="C35" s="2">
        <v>2.2741382218892316</v>
      </c>
      <c r="D35">
        <v>6.6663924512368578</v>
      </c>
      <c r="G35" s="2">
        <v>2.2741382218892316</v>
      </c>
      <c r="H35" s="2">
        <v>0.91576861426923528</v>
      </c>
      <c r="I35" s="2">
        <v>1.5584511780692361</v>
      </c>
      <c r="J35" s="2">
        <v>-0.38390259033377455</v>
      </c>
      <c r="K35" s="2">
        <v>-0.29827832770077151</v>
      </c>
      <c r="L35" s="2">
        <v>-1.3194225846907526</v>
      </c>
      <c r="M35" s="2">
        <v>0.34878441866923404</v>
      </c>
      <c r="N35" s="2">
        <v>0.133375123389223</v>
      </c>
      <c r="O35" s="2">
        <v>1.2713854909392337</v>
      </c>
      <c r="P35" s="2">
        <v>1.789928194669234</v>
      </c>
      <c r="Q35" s="2">
        <v>1.2275044462992428</v>
      </c>
      <c r="R35" s="2">
        <v>1.816965704619234</v>
      </c>
      <c r="S35" s="2">
        <v>2.1628221249392339</v>
      </c>
      <c r="T35" s="2">
        <v>2.2926456901192314</v>
      </c>
      <c r="U35" s="2">
        <v>1.9418874460192272</v>
      </c>
      <c r="V35" s="2">
        <v>1.5328446123392316</v>
      </c>
      <c r="W35" s="2">
        <v>0.24639725443924221</v>
      </c>
      <c r="X35" s="2">
        <v>-1.7059552504307725</v>
      </c>
      <c r="Y35" s="2">
        <v>2.3657050289692316</v>
      </c>
      <c r="Z35" s="2">
        <v>2.1485403461692405</v>
      </c>
      <c r="AA35" s="2">
        <v>1.8314558438692428</v>
      </c>
      <c r="AB35" s="2">
        <v>1.3496924048692274</v>
      </c>
      <c r="AC35" s="2">
        <v>1.4338550498692317</v>
      </c>
      <c r="AD35" s="2">
        <v>0.3387690722692363</v>
      </c>
      <c r="AE35" s="2">
        <v>-0.5079246517307725</v>
      </c>
      <c r="AF35" s="2">
        <v>0.29846351686923395</v>
      </c>
      <c r="AG35" s="2">
        <v>-1.6761749096307603</v>
      </c>
      <c r="AH35" s="2">
        <v>-1.3825177939307545</v>
      </c>
      <c r="AI35" s="2">
        <v>-1.774578943930764</v>
      </c>
      <c r="AJ35" s="2">
        <v>-0.34530564288076371</v>
      </c>
      <c r="AK35" s="2">
        <v>0.32788333794924063</v>
      </c>
      <c r="AL35" s="2">
        <v>0.44187939644322305</v>
      </c>
      <c r="AM35" s="2">
        <v>0.97939350272924519</v>
      </c>
      <c r="AN35" s="2">
        <v>0.19707756144923189</v>
      </c>
      <c r="AO35" s="2">
        <v>0.82747681711923837</v>
      </c>
      <c r="AP35" s="2">
        <v>1.9188675702592293</v>
      </c>
      <c r="AQ35" s="2">
        <v>1.3046613783592229</v>
      </c>
      <c r="AR35" s="2">
        <v>0.59094081723922087</v>
      </c>
      <c r="AS35" s="2">
        <v>1.4408482313592275</v>
      </c>
      <c r="AT35" s="2">
        <v>-1.6729482482407596</v>
      </c>
      <c r="AU35" s="2">
        <v>-1.095964693210753</v>
      </c>
    </row>
    <row r="36" spans="1:47" x14ac:dyDescent="0.25">
      <c r="A36">
        <v>2008.375</v>
      </c>
      <c r="B36">
        <v>5</v>
      </c>
      <c r="C36" s="2">
        <v>3.1445083440692292</v>
      </c>
      <c r="D36">
        <v>6.2669405482510081</v>
      </c>
      <c r="G36" s="2">
        <v>3.1445083440692292</v>
      </c>
      <c r="H36" s="2">
        <v>4.3037038856692229</v>
      </c>
      <c r="I36" s="2">
        <v>3.5141544352692451</v>
      </c>
      <c r="J36" s="2">
        <v>2.0171252992692406</v>
      </c>
      <c r="K36" s="2">
        <v>2.6252510639492432</v>
      </c>
      <c r="L36" s="2">
        <v>2.6049737380592211</v>
      </c>
      <c r="M36" s="2">
        <v>1.9780654593992426</v>
      </c>
      <c r="N36" s="2">
        <v>3.8121810804692426</v>
      </c>
      <c r="O36" s="2">
        <v>2.9581203447292252</v>
      </c>
      <c r="P36" s="2">
        <v>2.7815152350692447</v>
      </c>
      <c r="Q36" s="2">
        <v>2.0566604165692253</v>
      </c>
      <c r="R36" s="2">
        <v>2.5920905191692314</v>
      </c>
      <c r="S36" s="2">
        <v>2.2741382218892316</v>
      </c>
      <c r="T36" s="2">
        <v>0.91576861426923528</v>
      </c>
      <c r="U36" s="2">
        <v>1.5584511780692361</v>
      </c>
      <c r="V36" s="2">
        <v>-0.38390259033377455</v>
      </c>
      <c r="W36" s="2">
        <v>-0.29827832770077151</v>
      </c>
      <c r="X36" s="2">
        <v>-1.3194225846907526</v>
      </c>
      <c r="Y36" s="2">
        <v>0.34878441866923404</v>
      </c>
      <c r="Z36" s="2">
        <v>0.133375123389223</v>
      </c>
      <c r="AA36" s="2">
        <v>1.2713854909392337</v>
      </c>
      <c r="AB36" s="2">
        <v>1.789928194669234</v>
      </c>
      <c r="AC36" s="2">
        <v>1.2275044462992428</v>
      </c>
      <c r="AD36" s="2">
        <v>1.816965704619234</v>
      </c>
      <c r="AE36" s="2">
        <v>2.1628221249392339</v>
      </c>
      <c r="AF36" s="2">
        <v>2.2926456901192314</v>
      </c>
      <c r="AG36" s="2">
        <v>1.9418874460192272</v>
      </c>
      <c r="AH36" s="2">
        <v>1.5328446123392316</v>
      </c>
      <c r="AI36" s="2">
        <v>0.24639725443924221</v>
      </c>
      <c r="AJ36" s="2">
        <v>-1.7059552504307725</v>
      </c>
      <c r="AK36" s="2">
        <v>2.3657050289692316</v>
      </c>
      <c r="AL36" s="2">
        <v>2.1485403461692405</v>
      </c>
      <c r="AM36" s="2">
        <v>1.8314558438692428</v>
      </c>
      <c r="AN36" s="2">
        <v>1.3496924048692274</v>
      </c>
      <c r="AO36" s="2">
        <v>1.4338550498692317</v>
      </c>
      <c r="AP36" s="2">
        <v>0.3387690722692363</v>
      </c>
      <c r="AQ36" s="2">
        <v>-0.5079246517307725</v>
      </c>
      <c r="AR36" s="2">
        <v>0.29846351686923395</v>
      </c>
      <c r="AS36" s="2">
        <v>-1.6761749096307603</v>
      </c>
      <c r="AT36" s="2">
        <v>-1.3825177939307545</v>
      </c>
      <c r="AU36" s="2">
        <v>-1.774578943930764</v>
      </c>
    </row>
    <row r="37" spans="1:47" x14ac:dyDescent="0.25">
      <c r="A37">
        <v>2009.375</v>
      </c>
      <c r="B37">
        <v>5</v>
      </c>
      <c r="C37" s="2">
        <v>2.8559780762592273</v>
      </c>
      <c r="D37">
        <v>6.0614148305002242</v>
      </c>
      <c r="G37" s="2">
        <v>2.8559780762592273</v>
      </c>
      <c r="H37" s="2">
        <v>3.3982535946892316</v>
      </c>
      <c r="I37" s="2">
        <v>3.7437798352422273</v>
      </c>
      <c r="J37" s="2">
        <v>3.1401515433092211</v>
      </c>
      <c r="K37" s="2">
        <v>2.3256610174192414</v>
      </c>
      <c r="L37" s="2">
        <v>3.0732084994992381</v>
      </c>
      <c r="M37" s="2">
        <v>2.4197133966692208</v>
      </c>
      <c r="N37" s="2">
        <v>3.7297149387692254</v>
      </c>
      <c r="O37" s="2">
        <v>3.1178040014692385</v>
      </c>
      <c r="P37" s="2">
        <v>3.3034292364692428</v>
      </c>
      <c r="Q37" s="2">
        <v>3.5154691291692206</v>
      </c>
      <c r="R37" s="2">
        <v>3.7396919383692429</v>
      </c>
      <c r="S37" s="2">
        <v>3.1445083440692292</v>
      </c>
      <c r="T37" s="2">
        <v>4.3037038856692229</v>
      </c>
      <c r="U37" s="2">
        <v>3.5141544352692451</v>
      </c>
      <c r="V37" s="2">
        <v>2.0171252992692406</v>
      </c>
      <c r="W37" s="2">
        <v>2.6252510639492432</v>
      </c>
      <c r="X37" s="2">
        <v>2.6049737380592211</v>
      </c>
      <c r="Y37" s="2">
        <v>1.9780654593992426</v>
      </c>
      <c r="Z37" s="2">
        <v>3.8121810804692426</v>
      </c>
      <c r="AA37" s="2">
        <v>2.9581203447292252</v>
      </c>
      <c r="AB37" s="2">
        <v>2.7815152350692447</v>
      </c>
      <c r="AC37" s="2">
        <v>2.0566604165692253</v>
      </c>
      <c r="AD37" s="2">
        <v>2.5920905191692314</v>
      </c>
      <c r="AE37" s="2">
        <v>2.2741382218892316</v>
      </c>
      <c r="AF37" s="2">
        <v>0.91576861426923528</v>
      </c>
      <c r="AG37" s="2">
        <v>1.5584511780692361</v>
      </c>
      <c r="AH37" s="2">
        <v>-0.38390259033377455</v>
      </c>
      <c r="AI37" s="2">
        <v>-0.29827832770077151</v>
      </c>
      <c r="AJ37" s="2">
        <v>-1.3194225846907526</v>
      </c>
      <c r="AK37" s="2">
        <v>0.34878441866923404</v>
      </c>
      <c r="AL37" s="2">
        <v>0.133375123389223</v>
      </c>
      <c r="AM37" s="2">
        <v>1.2713854909392337</v>
      </c>
      <c r="AN37" s="2">
        <v>1.789928194669234</v>
      </c>
      <c r="AO37" s="2">
        <v>1.2275044462992428</v>
      </c>
      <c r="AP37" s="2">
        <v>1.816965704619234</v>
      </c>
      <c r="AQ37" s="2">
        <v>2.1628221249392339</v>
      </c>
      <c r="AR37" s="2">
        <v>2.2926456901192314</v>
      </c>
      <c r="AS37" s="2">
        <v>1.9418874460192272</v>
      </c>
      <c r="AT37" s="2">
        <v>1.5328446123392316</v>
      </c>
      <c r="AU37" s="2">
        <v>0.24639725443924221</v>
      </c>
    </row>
    <row r="38" spans="1:47" x14ac:dyDescent="0.25">
      <c r="A38">
        <v>2010.375</v>
      </c>
      <c r="B38">
        <v>5</v>
      </c>
      <c r="C38" s="2">
        <v>2.1367981933692386</v>
      </c>
      <c r="D38">
        <v>6.7561961023371948</v>
      </c>
      <c r="G38" s="2">
        <v>2.1367981933692386</v>
      </c>
      <c r="H38" s="2">
        <v>1.1052457697692384</v>
      </c>
      <c r="I38" s="2">
        <v>-0.48756181103076601</v>
      </c>
      <c r="J38" s="2">
        <v>-2.6477017098307662</v>
      </c>
      <c r="K38" s="2">
        <v>-3.3208245141307722</v>
      </c>
      <c r="L38" s="2">
        <v>-2.4654593805307572</v>
      </c>
      <c r="M38" s="2">
        <v>1.0901500019244892E-2</v>
      </c>
      <c r="N38" s="2">
        <v>-0.44134536233076377</v>
      </c>
      <c r="O38" s="2">
        <v>0.55891123916923846</v>
      </c>
      <c r="P38" s="2">
        <v>1.2312497751892382</v>
      </c>
      <c r="Q38" s="2">
        <v>1.1174872949192272</v>
      </c>
      <c r="R38" s="2">
        <v>1.0325521682292274</v>
      </c>
      <c r="S38" s="2">
        <v>2.8559780762592273</v>
      </c>
      <c r="T38" s="2">
        <v>3.3982535946892316</v>
      </c>
      <c r="U38" s="2">
        <v>3.7437798352422273</v>
      </c>
      <c r="V38" s="2">
        <v>3.1401515433092211</v>
      </c>
      <c r="W38" s="2">
        <v>2.3256610174192414</v>
      </c>
      <c r="X38" s="2">
        <v>3.0732084994992381</v>
      </c>
      <c r="Y38" s="2">
        <v>2.4197133966692208</v>
      </c>
      <c r="Z38" s="2">
        <v>3.7297149387692254</v>
      </c>
      <c r="AA38" s="2">
        <v>3.1178040014692385</v>
      </c>
      <c r="AB38" s="2">
        <v>3.3034292364692428</v>
      </c>
      <c r="AC38" s="2">
        <v>3.5154691291692206</v>
      </c>
      <c r="AD38" s="2">
        <v>3.7396919383692429</v>
      </c>
      <c r="AE38" s="2">
        <v>3.1445083440692292</v>
      </c>
      <c r="AF38" s="2">
        <v>4.3037038856692229</v>
      </c>
      <c r="AG38" s="2">
        <v>3.5141544352692451</v>
      </c>
      <c r="AH38" s="2">
        <v>2.0171252992692406</v>
      </c>
      <c r="AI38" s="2">
        <v>2.6252510639492432</v>
      </c>
      <c r="AJ38" s="2">
        <v>2.6049737380592211</v>
      </c>
      <c r="AK38" s="2">
        <v>1.9780654593992426</v>
      </c>
      <c r="AL38" s="2">
        <v>3.8121810804692426</v>
      </c>
      <c r="AM38" s="2">
        <v>2.9581203447292252</v>
      </c>
      <c r="AN38" s="2">
        <v>2.7815152350692447</v>
      </c>
      <c r="AO38" s="2">
        <v>2.0566604165692253</v>
      </c>
      <c r="AP38" s="2">
        <v>2.5920905191692314</v>
      </c>
      <c r="AQ38" s="2">
        <v>2.2741382218892316</v>
      </c>
      <c r="AR38" s="2">
        <v>0.91576861426923528</v>
      </c>
      <c r="AS38" s="2">
        <v>1.5584511780692361</v>
      </c>
      <c r="AT38" s="2">
        <v>-0.38390259033377455</v>
      </c>
      <c r="AU38" s="2">
        <v>-0.29827832770077151</v>
      </c>
    </row>
    <row r="39" spans="1:47" x14ac:dyDescent="0.25">
      <c r="A39">
        <v>2011.375</v>
      </c>
      <c r="B39">
        <v>5</v>
      </c>
      <c r="C39" s="2">
        <v>2.994733051169236</v>
      </c>
      <c r="D39">
        <v>6.3366638503033856</v>
      </c>
      <c r="G39" s="2">
        <v>2.994733051169236</v>
      </c>
      <c r="H39" s="2">
        <v>3.7169376469992383</v>
      </c>
      <c r="I39" s="2">
        <v>2.6917547487692408</v>
      </c>
      <c r="J39" s="2">
        <v>4.0854112138192225</v>
      </c>
      <c r="K39" s="2">
        <v>1.239910041719225</v>
      </c>
      <c r="L39" s="2">
        <v>3.7306486162292316</v>
      </c>
      <c r="M39" s="2">
        <v>4.031058309969243</v>
      </c>
      <c r="N39" s="2">
        <v>3.7667653419692209</v>
      </c>
      <c r="O39" s="2">
        <v>4.2842263740692337</v>
      </c>
      <c r="P39" s="2">
        <v>5.3692223996192361</v>
      </c>
      <c r="Q39" s="2">
        <v>5.3632401589792407</v>
      </c>
      <c r="R39" s="2">
        <v>3.3288297101692361</v>
      </c>
      <c r="S39" s="2">
        <v>2.1367981933692386</v>
      </c>
      <c r="T39" s="2">
        <v>1.1052457697692384</v>
      </c>
      <c r="U39" s="2">
        <v>-0.48756181103076601</v>
      </c>
      <c r="V39" s="2">
        <v>-2.6477017098307662</v>
      </c>
      <c r="W39" s="2">
        <v>-3.3208245141307722</v>
      </c>
      <c r="X39" s="2">
        <v>-2.4654593805307572</v>
      </c>
      <c r="Y39" s="2">
        <v>1.0901500019244892E-2</v>
      </c>
      <c r="Z39" s="2">
        <v>-0.44134536233076377</v>
      </c>
      <c r="AA39" s="2">
        <v>0.55891123916923846</v>
      </c>
      <c r="AB39" s="2">
        <v>1.2312497751892382</v>
      </c>
      <c r="AC39" s="2">
        <v>1.1174872949192272</v>
      </c>
      <c r="AD39" s="2">
        <v>1.0325521682292274</v>
      </c>
      <c r="AE39" s="2">
        <v>2.8559780762592273</v>
      </c>
      <c r="AF39" s="2">
        <v>3.3982535946892316</v>
      </c>
      <c r="AG39" s="2">
        <v>3.7437798352422273</v>
      </c>
      <c r="AH39" s="2">
        <v>3.1401515433092211</v>
      </c>
      <c r="AI39" s="2">
        <v>2.3256610174192414</v>
      </c>
      <c r="AJ39" s="2">
        <v>3.0732084994992381</v>
      </c>
      <c r="AK39" s="2">
        <v>2.4197133966692208</v>
      </c>
      <c r="AL39" s="2">
        <v>3.7297149387692254</v>
      </c>
      <c r="AM39" s="2">
        <v>3.1178040014692385</v>
      </c>
      <c r="AN39" s="2">
        <v>3.3034292364692428</v>
      </c>
      <c r="AO39" s="2">
        <v>3.5154691291692206</v>
      </c>
      <c r="AP39" s="2">
        <v>3.7396919383692429</v>
      </c>
      <c r="AQ39" s="2">
        <v>3.1445083440692292</v>
      </c>
      <c r="AR39" s="2">
        <v>4.3037038856692229</v>
      </c>
      <c r="AS39" s="2">
        <v>3.5141544352692451</v>
      </c>
      <c r="AT39" s="2">
        <v>2.0171252992692406</v>
      </c>
      <c r="AU39" s="2">
        <v>2.6252510639492432</v>
      </c>
    </row>
    <row r="40" spans="1:47" x14ac:dyDescent="0.25">
      <c r="A40">
        <v>2012.375</v>
      </c>
      <c r="B40">
        <v>5</v>
      </c>
      <c r="C40" s="2">
        <v>3.3148665312692316</v>
      </c>
      <c r="D40">
        <v>5.4518423974708536</v>
      </c>
      <c r="G40" s="2">
        <v>3.3148665312692316</v>
      </c>
      <c r="H40" s="2">
        <v>2.7316463550692207</v>
      </c>
      <c r="I40" s="2">
        <v>2.9837590889692205</v>
      </c>
      <c r="J40" s="2">
        <v>0.95535216508924714</v>
      </c>
      <c r="K40" s="2">
        <v>1.7700253141892386</v>
      </c>
      <c r="L40" s="2">
        <v>2.882561274810246</v>
      </c>
      <c r="M40" s="2">
        <v>4.0480641576192209</v>
      </c>
      <c r="N40" s="2">
        <v>3.3780577038692257</v>
      </c>
      <c r="O40" s="2">
        <v>3.505408443069232</v>
      </c>
      <c r="P40" s="2">
        <v>3.303517913359225</v>
      </c>
      <c r="Q40" s="2">
        <v>3.6558712369092294</v>
      </c>
      <c r="R40" s="2">
        <v>2.754497701969234</v>
      </c>
      <c r="S40" s="2">
        <v>2.994733051169236</v>
      </c>
      <c r="T40" s="2">
        <v>3.7169376469992383</v>
      </c>
      <c r="U40" s="2">
        <v>2.6917547487692408</v>
      </c>
      <c r="V40" s="2">
        <v>4.0854112138192225</v>
      </c>
      <c r="W40" s="2">
        <v>1.239910041719225</v>
      </c>
      <c r="X40" s="2">
        <v>3.7306486162292316</v>
      </c>
      <c r="Y40" s="2">
        <v>4.031058309969243</v>
      </c>
      <c r="Z40" s="2">
        <v>3.7667653419692209</v>
      </c>
      <c r="AA40" s="2">
        <v>4.2842263740692337</v>
      </c>
      <c r="AB40" s="2">
        <v>5.3692223996192361</v>
      </c>
      <c r="AC40" s="2">
        <v>5.3632401589792407</v>
      </c>
      <c r="AD40" s="2">
        <v>3.3288297101692361</v>
      </c>
      <c r="AE40" s="2">
        <v>2.1367981933692386</v>
      </c>
      <c r="AF40" s="2">
        <v>1.1052457697692384</v>
      </c>
      <c r="AG40" s="2">
        <v>-0.48756181103076601</v>
      </c>
      <c r="AH40" s="2">
        <v>-2.6477017098307662</v>
      </c>
      <c r="AI40" s="2">
        <v>-3.3208245141307722</v>
      </c>
      <c r="AJ40" s="2">
        <v>-2.4654593805307572</v>
      </c>
      <c r="AK40" s="2">
        <v>1.0901500019244892E-2</v>
      </c>
      <c r="AL40" s="2">
        <v>-0.44134536233076377</v>
      </c>
      <c r="AM40" s="2">
        <v>0.55891123916923846</v>
      </c>
      <c r="AN40" s="2">
        <v>1.2312497751892382</v>
      </c>
      <c r="AO40" s="2">
        <v>1.1174872949192272</v>
      </c>
      <c r="AP40" s="2">
        <v>1.0325521682292274</v>
      </c>
      <c r="AQ40" s="2">
        <v>2.8559780762592273</v>
      </c>
      <c r="AR40" s="2">
        <v>3.3982535946892316</v>
      </c>
      <c r="AS40" s="2">
        <v>3.7437798352422273</v>
      </c>
      <c r="AT40" s="2">
        <v>3.1401515433092211</v>
      </c>
      <c r="AU40" s="2">
        <v>2.3256610174192414</v>
      </c>
    </row>
    <row r="41" spans="1:47" x14ac:dyDescent="0.25">
      <c r="A41">
        <v>2013.375</v>
      </c>
      <c r="B41">
        <v>5</v>
      </c>
      <c r="C41" s="2">
        <v>2.6100064923692252</v>
      </c>
      <c r="D41">
        <v>7.2262565019991634</v>
      </c>
      <c r="G41" s="2">
        <v>2.6100064923692252</v>
      </c>
      <c r="H41" s="2">
        <v>2.4413346113592227</v>
      </c>
      <c r="I41" s="2">
        <v>1.7311234118592274</v>
      </c>
      <c r="J41" s="2">
        <v>1.2031396460692443</v>
      </c>
      <c r="K41" s="2">
        <v>0.36910590186924719</v>
      </c>
      <c r="L41" s="2">
        <v>0.81033411676924127</v>
      </c>
      <c r="M41" s="2">
        <v>1.2795358532692251</v>
      </c>
      <c r="N41" s="2">
        <v>1.5053767653692383</v>
      </c>
      <c r="O41" s="2">
        <v>3.135958294269245</v>
      </c>
      <c r="P41" s="2">
        <v>3.1158533679692386</v>
      </c>
      <c r="Q41" s="2">
        <v>3.1915599164692323</v>
      </c>
      <c r="R41" s="2">
        <v>2.4713739030692272</v>
      </c>
      <c r="S41" s="2">
        <v>3.3148665312692316</v>
      </c>
      <c r="T41" s="2">
        <v>2.7316463550692207</v>
      </c>
      <c r="U41" s="2">
        <v>2.9837590889692205</v>
      </c>
      <c r="V41" s="2">
        <v>0.95535216508924714</v>
      </c>
      <c r="W41" s="2">
        <v>1.7700253141892386</v>
      </c>
      <c r="X41" s="2">
        <v>2.882561274810246</v>
      </c>
      <c r="Y41" s="2">
        <v>4.0480641576192209</v>
      </c>
      <c r="Z41" s="2">
        <v>3.3780577038692257</v>
      </c>
      <c r="AA41" s="2">
        <v>3.505408443069232</v>
      </c>
      <c r="AB41" s="2">
        <v>3.303517913359225</v>
      </c>
      <c r="AC41" s="2">
        <v>3.6558712369092294</v>
      </c>
      <c r="AD41" s="2">
        <v>2.754497701969234</v>
      </c>
      <c r="AE41" s="2">
        <v>2.994733051169236</v>
      </c>
      <c r="AF41" s="2">
        <v>3.7169376469992383</v>
      </c>
      <c r="AG41" s="2">
        <v>2.6917547487692408</v>
      </c>
      <c r="AH41" s="2">
        <v>4.0854112138192225</v>
      </c>
      <c r="AI41" s="2">
        <v>1.239910041719225</v>
      </c>
      <c r="AJ41" s="2">
        <v>3.7306486162292316</v>
      </c>
      <c r="AK41" s="2">
        <v>4.031058309969243</v>
      </c>
      <c r="AL41" s="2">
        <v>3.7667653419692209</v>
      </c>
      <c r="AM41" s="2">
        <v>4.2842263740692337</v>
      </c>
      <c r="AN41" s="2">
        <v>5.3692223996192361</v>
      </c>
      <c r="AO41" s="2">
        <v>5.3632401589792407</v>
      </c>
      <c r="AP41" s="2">
        <v>3.3288297101692361</v>
      </c>
      <c r="AQ41" s="2">
        <v>2.1367981933692386</v>
      </c>
      <c r="AR41" s="2">
        <v>1.1052457697692384</v>
      </c>
      <c r="AS41" s="2">
        <v>-0.48756181103076601</v>
      </c>
      <c r="AT41" s="2">
        <v>-2.6477017098307662</v>
      </c>
      <c r="AU41" s="2">
        <v>-3.3208245141307722</v>
      </c>
    </row>
    <row r="42" spans="1:47" x14ac:dyDescent="0.25">
      <c r="A42">
        <v>2014.375</v>
      </c>
      <c r="B42">
        <v>5</v>
      </c>
      <c r="C42" s="2">
        <v>1.4034630548992453</v>
      </c>
      <c r="D42">
        <v>4.1727955499911795</v>
      </c>
      <c r="G42" s="2">
        <v>1.4034630548992453</v>
      </c>
      <c r="H42" s="2">
        <v>0.41214923718922075</v>
      </c>
      <c r="I42" s="2">
        <v>0.28743131410924311</v>
      </c>
      <c r="J42" s="2">
        <v>1.0879898171392406</v>
      </c>
      <c r="K42" s="2">
        <v>-0.77898724903076388</v>
      </c>
      <c r="L42" s="2">
        <v>1.0610023320692252</v>
      </c>
      <c r="M42" s="2">
        <v>2.2475169349192448</v>
      </c>
      <c r="N42" s="2">
        <v>1.7144541562192339</v>
      </c>
      <c r="O42" s="2">
        <v>1.7441879054492251</v>
      </c>
      <c r="P42" s="2">
        <v>2.441292262069223</v>
      </c>
      <c r="Q42" s="2">
        <v>3.4288168388092322</v>
      </c>
      <c r="R42" s="2">
        <v>3.176564167829234</v>
      </c>
      <c r="S42" s="2">
        <v>2.6100064923692252</v>
      </c>
      <c r="T42" s="2">
        <v>2.4413346113592227</v>
      </c>
      <c r="U42" s="2">
        <v>1.7311234118592274</v>
      </c>
      <c r="V42" s="2">
        <v>1.2031396460692443</v>
      </c>
      <c r="W42" s="2">
        <v>0.36910590186924719</v>
      </c>
      <c r="X42" s="2">
        <v>0.81033411676924127</v>
      </c>
      <c r="Y42" s="2">
        <v>1.2795358532692251</v>
      </c>
      <c r="Z42" s="2">
        <v>1.5053767653692383</v>
      </c>
      <c r="AA42" s="2">
        <v>3.135958294269245</v>
      </c>
      <c r="AB42" s="2">
        <v>3.1158533679692386</v>
      </c>
      <c r="AC42" s="2">
        <v>3.1915599164692323</v>
      </c>
      <c r="AD42" s="2">
        <v>2.4713739030692272</v>
      </c>
      <c r="AE42" s="2">
        <v>3.3148665312692316</v>
      </c>
      <c r="AF42" s="2">
        <v>2.7316463550692207</v>
      </c>
      <c r="AG42" s="2">
        <v>2.9837590889692205</v>
      </c>
      <c r="AH42" s="2">
        <v>0.95535216508924714</v>
      </c>
      <c r="AI42" s="2">
        <v>1.7700253141892386</v>
      </c>
      <c r="AJ42" s="2">
        <v>2.882561274810246</v>
      </c>
      <c r="AK42" s="2">
        <v>4.0480641576192209</v>
      </c>
      <c r="AL42" s="2">
        <v>3.3780577038692257</v>
      </c>
      <c r="AM42" s="2">
        <v>3.505408443069232</v>
      </c>
      <c r="AN42" s="2">
        <v>3.303517913359225</v>
      </c>
      <c r="AO42" s="2">
        <v>3.6558712369092294</v>
      </c>
      <c r="AP42" s="2">
        <v>2.754497701969234</v>
      </c>
      <c r="AQ42" s="2">
        <v>2.994733051169236</v>
      </c>
      <c r="AR42" s="2">
        <v>3.7169376469992383</v>
      </c>
      <c r="AS42" s="2">
        <v>2.6917547487692408</v>
      </c>
      <c r="AT42" s="2">
        <v>4.0854112138192225</v>
      </c>
      <c r="AU42" s="2">
        <v>1.239910041719225</v>
      </c>
    </row>
    <row r="43" spans="1:47" x14ac:dyDescent="0.25">
      <c r="A43">
        <v>2015.375</v>
      </c>
      <c r="B43">
        <v>5</v>
      </c>
      <c r="C43" s="2">
        <v>-3.0684870940772491E-2</v>
      </c>
      <c r="D43">
        <v>5.6586619219247059</v>
      </c>
      <c r="G43" s="2">
        <v>-3.0684870940772491E-2</v>
      </c>
      <c r="H43" s="2">
        <v>0.45460829456923418</v>
      </c>
      <c r="I43" s="2">
        <v>3.5930787669227304E-2</v>
      </c>
      <c r="J43" s="2">
        <v>-1.4061045382307595</v>
      </c>
      <c r="K43" s="2">
        <v>-2.1196752670907553</v>
      </c>
      <c r="L43" s="2">
        <v>-2.2526105113207597</v>
      </c>
      <c r="M43" s="2">
        <v>-1.2621451354507678</v>
      </c>
      <c r="N43" s="2">
        <v>-0.56983358888077473</v>
      </c>
      <c r="O43" s="2">
        <v>0.10178133444922077</v>
      </c>
      <c r="P43" s="2">
        <v>0.71163629737922962</v>
      </c>
      <c r="Q43" s="2">
        <v>1.2302889477092382</v>
      </c>
      <c r="R43" s="2">
        <v>1.5207169755392274</v>
      </c>
      <c r="S43" s="2">
        <v>1.4034630548992453</v>
      </c>
      <c r="T43" s="2">
        <v>0.41214923718922075</v>
      </c>
      <c r="U43" s="2">
        <v>0.28743131410924311</v>
      </c>
      <c r="V43" s="2">
        <v>1.0879898171392406</v>
      </c>
      <c r="W43" s="2">
        <v>-0.77898724903076388</v>
      </c>
      <c r="X43" s="2">
        <v>1.0610023320692252</v>
      </c>
      <c r="Y43" s="2">
        <v>2.2475169349192448</v>
      </c>
      <c r="Z43" s="2">
        <v>1.7144541562192339</v>
      </c>
      <c r="AA43" s="2">
        <v>1.7441879054492251</v>
      </c>
      <c r="AB43" s="2">
        <v>2.441292262069223</v>
      </c>
      <c r="AC43" s="2">
        <v>3.4288168388092322</v>
      </c>
      <c r="AD43" s="2">
        <v>3.176564167829234</v>
      </c>
      <c r="AE43" s="2">
        <v>2.6100064923692252</v>
      </c>
      <c r="AF43" s="2">
        <v>2.4413346113592227</v>
      </c>
      <c r="AG43" s="2">
        <v>1.7311234118592274</v>
      </c>
      <c r="AH43" s="2">
        <v>1.2031396460692443</v>
      </c>
      <c r="AI43" s="2">
        <v>0.36910590186924719</v>
      </c>
      <c r="AJ43" s="2">
        <v>0.81033411676924127</v>
      </c>
      <c r="AK43" s="2">
        <v>1.2795358532692251</v>
      </c>
      <c r="AL43" s="2">
        <v>1.5053767653692383</v>
      </c>
      <c r="AM43" s="2">
        <v>3.135958294269245</v>
      </c>
      <c r="AN43" s="2">
        <v>3.1158533679692386</v>
      </c>
      <c r="AO43" s="2">
        <v>3.1915599164692323</v>
      </c>
      <c r="AP43" s="2">
        <v>2.4713739030692272</v>
      </c>
      <c r="AQ43" s="2">
        <v>3.3148665312692316</v>
      </c>
      <c r="AR43" s="2">
        <v>2.7316463550692207</v>
      </c>
      <c r="AS43" s="2">
        <v>2.9837590889692205</v>
      </c>
      <c r="AT43" s="2">
        <v>0.95535216508924714</v>
      </c>
      <c r="AU43" s="2">
        <v>1.7700253141892386</v>
      </c>
    </row>
    <row r="44" spans="1:47" x14ac:dyDescent="0.25">
      <c r="A44">
        <v>2016.375</v>
      </c>
      <c r="B44">
        <v>5</v>
      </c>
      <c r="C44" s="2">
        <v>-3.6238594620772724E-2</v>
      </c>
      <c r="D44">
        <v>4.7538022953024761</v>
      </c>
      <c r="G44" s="2">
        <v>-3.6238594620772724E-2</v>
      </c>
      <c r="H44" s="2">
        <v>-1.9728460609507639</v>
      </c>
      <c r="I44" s="2">
        <v>-2.3126394715807717</v>
      </c>
      <c r="J44" s="2">
        <v>-4.0803512152507615</v>
      </c>
      <c r="K44" s="2">
        <v>-5.0763222569207516</v>
      </c>
      <c r="L44" s="2">
        <v>-3.4209596195307723</v>
      </c>
      <c r="M44" s="2">
        <v>-1.3308764840307548</v>
      </c>
      <c r="N44" s="2">
        <v>-3.1528870372307658</v>
      </c>
      <c r="O44" s="2">
        <v>-1.9948764680307747</v>
      </c>
      <c r="P44" s="2">
        <v>-1.5252614967307725</v>
      </c>
      <c r="Q44" s="2">
        <v>-1.6149105574307594</v>
      </c>
      <c r="R44" s="2">
        <v>-0.92363914943077907</v>
      </c>
      <c r="S44" s="2">
        <v>-3.0684870940772491E-2</v>
      </c>
      <c r="T44" s="2">
        <v>0.45460829456923418</v>
      </c>
      <c r="U44" s="2">
        <v>3.5930787669227304E-2</v>
      </c>
      <c r="V44" s="2">
        <v>-1.4061045382307595</v>
      </c>
      <c r="W44" s="2">
        <v>-2.1196752670907553</v>
      </c>
      <c r="X44" s="2">
        <v>-2.2526105113207597</v>
      </c>
      <c r="Y44" s="2">
        <v>-1.2621451354507678</v>
      </c>
      <c r="Z44" s="2">
        <v>-0.56983358888077473</v>
      </c>
      <c r="AA44" s="2">
        <v>0.10178133444922077</v>
      </c>
      <c r="AB44" s="2">
        <v>0.71163629737922962</v>
      </c>
      <c r="AC44" s="2">
        <v>1.2302889477092382</v>
      </c>
      <c r="AD44" s="2">
        <v>1.5207169755392274</v>
      </c>
      <c r="AE44" s="2">
        <v>1.4034630548992453</v>
      </c>
      <c r="AF44" s="2">
        <v>0.41214923718922075</v>
      </c>
      <c r="AG44" s="2">
        <v>0.28743131410924311</v>
      </c>
      <c r="AH44" s="2">
        <v>1.0879898171392406</v>
      </c>
      <c r="AI44" s="2">
        <v>-0.77898724903076388</v>
      </c>
      <c r="AJ44" s="2">
        <v>1.0610023320692252</v>
      </c>
      <c r="AK44" s="2">
        <v>2.2475169349192448</v>
      </c>
      <c r="AL44" s="2">
        <v>1.7144541562192339</v>
      </c>
      <c r="AM44" s="2">
        <v>1.7441879054492251</v>
      </c>
      <c r="AN44" s="2">
        <v>2.441292262069223</v>
      </c>
      <c r="AO44" s="2">
        <v>3.4288168388092322</v>
      </c>
      <c r="AP44" s="2">
        <v>3.176564167829234</v>
      </c>
      <c r="AQ44" s="2">
        <v>2.6100064923692252</v>
      </c>
      <c r="AR44" s="2">
        <v>2.4413346113592227</v>
      </c>
      <c r="AS44" s="2">
        <v>1.7311234118592274</v>
      </c>
      <c r="AT44" s="2">
        <v>1.2031396460692443</v>
      </c>
      <c r="AU44" s="2">
        <v>0.36910590186924719</v>
      </c>
    </row>
    <row r="45" spans="1:47" x14ac:dyDescent="0.25">
      <c r="A45">
        <v>2017.375</v>
      </c>
      <c r="B45">
        <v>5</v>
      </c>
      <c r="C45" s="2">
        <v>0.6355308827592252</v>
      </c>
      <c r="D45">
        <v>6.2381023109649245</v>
      </c>
      <c r="G45" s="2">
        <v>0.6355308827592252</v>
      </c>
      <c r="H45" s="2">
        <v>0.2263728185012383</v>
      </c>
      <c r="I45" s="2">
        <v>0.75269428361922963</v>
      </c>
      <c r="J45" s="2">
        <v>0.10561636126922933</v>
      </c>
      <c r="K45" s="2">
        <v>0.53788867355923242</v>
      </c>
      <c r="L45" s="2">
        <v>1.3136739487692362</v>
      </c>
      <c r="M45" s="2">
        <v>0.48803656106923615</v>
      </c>
      <c r="N45" s="2">
        <v>0.91796129348923017</v>
      </c>
      <c r="O45" s="2">
        <v>2.3205943892092407</v>
      </c>
      <c r="P45" s="2">
        <v>2.8199650322192427</v>
      </c>
      <c r="Q45" s="2">
        <v>2.6337997278192273</v>
      </c>
      <c r="R45" s="2">
        <v>1.1669819309692406</v>
      </c>
      <c r="S45" s="2">
        <v>-3.6238594620772724E-2</v>
      </c>
      <c r="T45" s="2">
        <v>-1.9728460609507639</v>
      </c>
      <c r="U45" s="2">
        <v>-2.3126394715807717</v>
      </c>
      <c r="V45" s="2">
        <v>-4.0803512152507615</v>
      </c>
      <c r="W45" s="2">
        <v>-5.0763222569207516</v>
      </c>
      <c r="X45" s="2">
        <v>-3.4209596195307723</v>
      </c>
      <c r="Y45" s="2">
        <v>-1.3308764840307548</v>
      </c>
      <c r="Z45" s="2">
        <v>-3.1528870372307658</v>
      </c>
      <c r="AA45" s="2">
        <v>-1.9948764680307747</v>
      </c>
      <c r="AB45" s="2">
        <v>-1.5252614967307725</v>
      </c>
      <c r="AC45" s="2">
        <v>-1.6149105574307594</v>
      </c>
      <c r="AD45" s="2">
        <v>-0.92363914943077907</v>
      </c>
      <c r="AE45" s="2">
        <v>-3.0684870940772491E-2</v>
      </c>
      <c r="AF45" s="2">
        <v>0.45460829456923418</v>
      </c>
      <c r="AG45" s="2">
        <v>3.5930787669227304E-2</v>
      </c>
      <c r="AH45" s="2">
        <v>-1.4061045382307595</v>
      </c>
      <c r="AI45" s="2">
        <v>-2.1196752670907553</v>
      </c>
      <c r="AJ45" s="2">
        <v>-2.2526105113207597</v>
      </c>
      <c r="AK45" s="2">
        <v>-1.2621451354507678</v>
      </c>
      <c r="AL45" s="2">
        <v>-0.56983358888077473</v>
      </c>
      <c r="AM45" s="2">
        <v>0.10178133444922077</v>
      </c>
      <c r="AN45" s="2">
        <v>0.71163629737922962</v>
      </c>
      <c r="AO45" s="2">
        <v>1.2302889477092382</v>
      </c>
      <c r="AP45" s="2">
        <v>1.5207169755392274</v>
      </c>
      <c r="AQ45" s="2">
        <v>1.4034630548992453</v>
      </c>
      <c r="AR45" s="2">
        <v>0.41214923718922075</v>
      </c>
      <c r="AS45" s="2">
        <v>0.28743131410924311</v>
      </c>
      <c r="AT45" s="2">
        <v>1.0879898171392406</v>
      </c>
      <c r="AU45" s="2">
        <v>-0.77898724903076388</v>
      </c>
    </row>
    <row r="46" spans="1:47" x14ac:dyDescent="0.25">
      <c r="A46">
        <v>2018.375</v>
      </c>
      <c r="B46">
        <v>5</v>
      </c>
      <c r="C46" s="2">
        <v>2.0574152523692271</v>
      </c>
      <c r="D46">
        <v>6.307542893189571</v>
      </c>
      <c r="G46" s="2">
        <v>2.0574152523692271</v>
      </c>
      <c r="H46" s="2">
        <v>2.057989922469234</v>
      </c>
      <c r="I46" s="2">
        <v>2.4866597172692426</v>
      </c>
      <c r="J46" s="2">
        <v>1.7138665980692449</v>
      </c>
      <c r="K46" s="2">
        <v>9.4529943569231722E-2</v>
      </c>
      <c r="L46" s="2">
        <v>0.60212085066922516</v>
      </c>
      <c r="M46" s="2">
        <v>2.3005714547692206</v>
      </c>
      <c r="N46" s="2">
        <v>2.2583431590692404</v>
      </c>
      <c r="O46" s="2">
        <v>1.6955769090092339</v>
      </c>
      <c r="P46" s="2">
        <v>2.0752345825592298</v>
      </c>
      <c r="Q46" s="2">
        <v>2.4774201739092447</v>
      </c>
      <c r="R46" s="2">
        <v>0.86056713492922976</v>
      </c>
      <c r="S46" s="2">
        <v>0.6355308827592252</v>
      </c>
      <c r="T46" s="2">
        <v>0.2263728185012383</v>
      </c>
      <c r="U46" s="2">
        <v>0.75269428361922963</v>
      </c>
      <c r="V46" s="2">
        <v>0.10561636126922933</v>
      </c>
      <c r="W46" s="2">
        <v>0.53788867355923242</v>
      </c>
      <c r="X46" s="2">
        <v>1.3136739487692362</v>
      </c>
      <c r="Y46" s="2">
        <v>0.48803656106923615</v>
      </c>
      <c r="Z46" s="2">
        <v>0.91796129348923017</v>
      </c>
      <c r="AA46" s="2">
        <v>2.3205943892092407</v>
      </c>
      <c r="AB46" s="2">
        <v>2.8199650322192427</v>
      </c>
      <c r="AC46" s="2">
        <v>2.6337997278192273</v>
      </c>
      <c r="AD46" s="2">
        <v>1.1669819309692406</v>
      </c>
      <c r="AE46" s="2">
        <v>-3.6238594620772724E-2</v>
      </c>
      <c r="AF46" s="2">
        <v>-1.9728460609507639</v>
      </c>
      <c r="AG46" s="2">
        <v>-2.3126394715807717</v>
      </c>
      <c r="AH46" s="2">
        <v>-4.0803512152507615</v>
      </c>
      <c r="AI46" s="2">
        <v>-5.0763222569207516</v>
      </c>
      <c r="AJ46" s="2">
        <v>-3.4209596195307723</v>
      </c>
      <c r="AK46" s="2">
        <v>-1.3308764840307548</v>
      </c>
      <c r="AL46" s="2">
        <v>-3.1528870372307658</v>
      </c>
      <c r="AM46" s="2">
        <v>-1.9948764680307747</v>
      </c>
      <c r="AN46" s="2">
        <v>-1.5252614967307725</v>
      </c>
      <c r="AO46" s="2">
        <v>-1.6149105574307594</v>
      </c>
      <c r="AP46" s="2">
        <v>-0.92363914943077907</v>
      </c>
      <c r="AQ46" s="2">
        <v>-3.0684870940772491E-2</v>
      </c>
      <c r="AR46" s="2">
        <v>0.45460829456923418</v>
      </c>
      <c r="AS46" s="2">
        <v>3.5930787669227304E-2</v>
      </c>
      <c r="AT46" s="2">
        <v>-1.4061045382307595</v>
      </c>
      <c r="AU46" s="2">
        <v>-2.1196752670907553</v>
      </c>
    </row>
    <row r="47" spans="1:47" x14ac:dyDescent="0.25">
      <c r="A47">
        <v>2019.375</v>
      </c>
      <c r="B47">
        <v>5</v>
      </c>
      <c r="C47" s="2">
        <v>0.16846339816923617</v>
      </c>
      <c r="D47">
        <v>5.1351941209427494</v>
      </c>
      <c r="G47" s="2">
        <v>0.16846339816923617</v>
      </c>
      <c r="H47" s="2">
        <v>-0.47616772613075503</v>
      </c>
      <c r="I47" s="2">
        <v>-0.53457451533077904</v>
      </c>
      <c r="J47" s="2">
        <v>0.49570576106923198</v>
      </c>
      <c r="K47" s="2">
        <v>-1.7311455758407726</v>
      </c>
      <c r="L47" s="2">
        <v>-0.96561260333077037</v>
      </c>
      <c r="M47" s="2">
        <v>-0.49344882973076382</v>
      </c>
      <c r="N47" s="2">
        <v>-0.57542024343075715</v>
      </c>
      <c r="O47" s="2">
        <v>0.80345345206922736</v>
      </c>
      <c r="P47" s="2">
        <v>1.1295069963692277</v>
      </c>
      <c r="Q47" s="2">
        <v>2.2252832571692274</v>
      </c>
      <c r="R47" s="2">
        <v>1.4889856663692449</v>
      </c>
      <c r="S47" s="2">
        <v>2.0574152523692271</v>
      </c>
      <c r="T47" s="2">
        <v>2.057989922469234</v>
      </c>
      <c r="U47" s="2">
        <v>2.4866597172692426</v>
      </c>
      <c r="V47" s="2">
        <v>1.7138665980692449</v>
      </c>
      <c r="W47" s="2">
        <v>9.4529943569231722E-2</v>
      </c>
      <c r="X47" s="2">
        <v>0.60212085066922516</v>
      </c>
      <c r="Y47" s="2">
        <v>2.3005714547692206</v>
      </c>
      <c r="Z47" s="2">
        <v>2.2583431590692404</v>
      </c>
      <c r="AA47" s="2">
        <v>1.6955769090092339</v>
      </c>
      <c r="AB47" s="2">
        <v>2.0752345825592298</v>
      </c>
      <c r="AC47" s="2">
        <v>2.4774201739092447</v>
      </c>
      <c r="AD47" s="2">
        <v>0.86056713492922976</v>
      </c>
      <c r="AE47" s="2">
        <v>0.6355308827592252</v>
      </c>
      <c r="AF47" s="2">
        <v>0.2263728185012383</v>
      </c>
      <c r="AG47" s="2">
        <v>0.75269428361922963</v>
      </c>
      <c r="AH47" s="2">
        <v>0.10561636126922933</v>
      </c>
      <c r="AI47" s="2">
        <v>0.53788867355923242</v>
      </c>
      <c r="AJ47" s="2">
        <v>1.3136739487692362</v>
      </c>
      <c r="AK47" s="2">
        <v>0.48803656106923615</v>
      </c>
      <c r="AL47" s="2">
        <v>0.91796129348923017</v>
      </c>
      <c r="AM47" s="2">
        <v>2.3205943892092407</v>
      </c>
      <c r="AN47" s="2">
        <v>2.8199650322192427</v>
      </c>
      <c r="AO47" s="2">
        <v>2.6337997278192273</v>
      </c>
      <c r="AP47" s="2">
        <v>1.1669819309692406</v>
      </c>
      <c r="AQ47" s="2">
        <v>-3.6238594620772724E-2</v>
      </c>
      <c r="AR47" s="2">
        <v>-1.9728460609507639</v>
      </c>
      <c r="AS47" s="2">
        <v>-2.3126394715807717</v>
      </c>
      <c r="AT47" s="2">
        <v>-4.0803512152507615</v>
      </c>
      <c r="AU47" s="2">
        <v>-5.0763222569207516</v>
      </c>
    </row>
    <row r="48" spans="1:47" x14ac:dyDescent="0.25">
      <c r="A48">
        <v>2020.375</v>
      </c>
      <c r="B48">
        <v>5</v>
      </c>
      <c r="C48" s="2">
        <v>0.94188844476923839</v>
      </c>
      <c r="D48">
        <v>6.2019293354051133</v>
      </c>
      <c r="G48" s="2">
        <v>0.94188844476923839</v>
      </c>
      <c r="H48" s="2">
        <v>1.418113753069234</v>
      </c>
      <c r="I48" s="2">
        <v>2.890156064869227</v>
      </c>
      <c r="J48" s="2">
        <v>0.72176298916923387</v>
      </c>
      <c r="K48" s="2">
        <v>0.50067563736922516</v>
      </c>
      <c r="L48" s="2">
        <v>-1.2565737220307747</v>
      </c>
      <c r="M48" s="2">
        <v>-1.0369431740307637</v>
      </c>
      <c r="N48" s="2">
        <v>0.70103079876923413</v>
      </c>
      <c r="O48" s="2">
        <v>0.37751908686922514</v>
      </c>
      <c r="P48" s="2">
        <v>0.59593210106922745</v>
      </c>
      <c r="Q48" s="2">
        <v>0.41449108666922962</v>
      </c>
      <c r="R48" s="2">
        <v>0.73665835736922736</v>
      </c>
      <c r="S48" s="2">
        <v>0.16846339816923617</v>
      </c>
      <c r="T48" s="2">
        <v>-0.47616772613075503</v>
      </c>
      <c r="U48" s="2">
        <v>-0.53457451533077904</v>
      </c>
      <c r="V48" s="2">
        <v>0.49570576106923198</v>
      </c>
      <c r="W48" s="2">
        <v>-1.7311455758407726</v>
      </c>
      <c r="X48" s="2">
        <v>-0.96561260333077037</v>
      </c>
      <c r="Y48" s="2">
        <v>-0.49344882973076382</v>
      </c>
      <c r="Z48" s="2">
        <v>-0.57542024343075715</v>
      </c>
      <c r="AA48" s="2">
        <v>0.80345345206922736</v>
      </c>
      <c r="AB48" s="2">
        <v>1.1295069963692277</v>
      </c>
      <c r="AC48" s="2">
        <v>2.2252832571692274</v>
      </c>
      <c r="AD48" s="2">
        <v>1.4889856663692449</v>
      </c>
      <c r="AE48" s="2">
        <v>2.0574152523692271</v>
      </c>
      <c r="AF48" s="2">
        <v>2.057989922469234</v>
      </c>
      <c r="AG48" s="2">
        <v>2.4866597172692426</v>
      </c>
      <c r="AH48" s="2">
        <v>1.7138665980692449</v>
      </c>
      <c r="AI48" s="2">
        <v>9.4529943569231722E-2</v>
      </c>
      <c r="AJ48" s="2">
        <v>0.60212085066922516</v>
      </c>
      <c r="AK48" s="2">
        <v>2.3005714547692206</v>
      </c>
      <c r="AL48" s="2">
        <v>2.2583431590692404</v>
      </c>
      <c r="AM48" s="2">
        <v>1.6955769090092339</v>
      </c>
      <c r="AN48" s="2">
        <v>2.0752345825592298</v>
      </c>
      <c r="AO48" s="2">
        <v>2.4774201739092447</v>
      </c>
      <c r="AP48" s="2">
        <v>0.86056713492922976</v>
      </c>
      <c r="AQ48" s="2">
        <v>0.6355308827592252</v>
      </c>
      <c r="AR48" s="2">
        <v>0.2263728185012383</v>
      </c>
      <c r="AS48" s="2">
        <v>0.75269428361922963</v>
      </c>
      <c r="AT48" s="2">
        <v>0.10561636126922933</v>
      </c>
      <c r="AU48" s="2">
        <v>0.53788867355923242</v>
      </c>
    </row>
    <row r="49" spans="1:47" x14ac:dyDescent="0.25">
      <c r="A49">
        <v>2021.375</v>
      </c>
      <c r="B49">
        <v>5</v>
      </c>
      <c r="C49" s="2">
        <v>3.013470621229243</v>
      </c>
      <c r="D49">
        <v>6.8995028705075123</v>
      </c>
      <c r="G49" s="2">
        <v>3.013470621229243</v>
      </c>
      <c r="H49" s="2">
        <v>3.4358862912692407</v>
      </c>
      <c r="I49" s="2">
        <v>4.1419505337292053</v>
      </c>
      <c r="J49" s="2">
        <v>1.6625542466692296</v>
      </c>
      <c r="K49" s="2">
        <v>0.56966047319922519</v>
      </c>
      <c r="L49" s="2">
        <v>7.4266250269225065E-2</v>
      </c>
      <c r="M49" s="2">
        <v>2.7389921961692316</v>
      </c>
      <c r="N49" s="2">
        <v>2.6532131311692275</v>
      </c>
      <c r="O49" s="2">
        <v>2.7449835301692338</v>
      </c>
      <c r="P49" s="2">
        <v>2.4282919043692339</v>
      </c>
      <c r="Q49" s="2">
        <v>2.4569034265692382</v>
      </c>
      <c r="R49" s="2">
        <v>1.9575282925692208</v>
      </c>
      <c r="S49" s="2">
        <v>0.94188844476923839</v>
      </c>
      <c r="T49" s="2">
        <v>1.418113753069234</v>
      </c>
      <c r="U49" s="2">
        <v>2.890156064869227</v>
      </c>
      <c r="V49" s="2">
        <v>0.72176298916923387</v>
      </c>
      <c r="W49" s="2">
        <v>0.50067563736922516</v>
      </c>
      <c r="X49" s="2">
        <v>-1.2565737220307747</v>
      </c>
      <c r="Y49" s="2">
        <v>-1.0369431740307637</v>
      </c>
      <c r="Z49" s="2">
        <v>0.70103079876923413</v>
      </c>
      <c r="AA49" s="2">
        <v>0.37751908686922514</v>
      </c>
      <c r="AB49" s="2">
        <v>0.59593210106922745</v>
      </c>
      <c r="AC49" s="2">
        <v>0.41449108666922962</v>
      </c>
      <c r="AD49" s="2">
        <v>0.73665835736922736</v>
      </c>
      <c r="AE49" s="2">
        <v>0.16846339816923617</v>
      </c>
      <c r="AF49" s="2">
        <v>-0.47616772613075503</v>
      </c>
      <c r="AG49" s="2">
        <v>-0.53457451533077904</v>
      </c>
      <c r="AH49" s="2">
        <v>0.49570576106923198</v>
      </c>
      <c r="AI49" s="2">
        <v>-1.7311455758407726</v>
      </c>
      <c r="AJ49" s="2">
        <v>-0.96561260333077037</v>
      </c>
      <c r="AK49" s="2">
        <v>-0.49344882973076382</v>
      </c>
      <c r="AL49" s="2">
        <v>-0.57542024343075715</v>
      </c>
      <c r="AM49" s="2">
        <v>0.80345345206922736</v>
      </c>
      <c r="AN49" s="2">
        <v>1.1295069963692277</v>
      </c>
      <c r="AO49" s="2">
        <v>2.2252832571692274</v>
      </c>
      <c r="AP49" s="2">
        <v>1.4889856663692449</v>
      </c>
      <c r="AQ49" s="2">
        <v>2.0574152523692271</v>
      </c>
      <c r="AR49" s="2">
        <v>2.057989922469234</v>
      </c>
      <c r="AS49" s="2">
        <v>2.4866597172692426</v>
      </c>
      <c r="AT49" s="2">
        <v>1.7138665980692449</v>
      </c>
      <c r="AU49" s="2">
        <v>9.4529943569231722E-2</v>
      </c>
    </row>
    <row r="50" spans="1:47" x14ac:dyDescent="0.25">
      <c r="A50">
        <v>2022.375</v>
      </c>
      <c r="B50">
        <v>5</v>
      </c>
      <c r="C50" s="2">
        <v>4.3843827266992443</v>
      </c>
      <c r="D50">
        <v>4.4102775983475917</v>
      </c>
      <c r="G50" s="2">
        <v>4.3843827266992443</v>
      </c>
      <c r="H50" s="2">
        <v>3.738704460969243</v>
      </c>
      <c r="I50" s="2">
        <v>2.5391773460692382</v>
      </c>
      <c r="J50" s="2">
        <v>1.5244433762692298</v>
      </c>
      <c r="K50" s="2">
        <v>1.1166221583692315</v>
      </c>
      <c r="L50" s="2">
        <v>3.7450370694692299</v>
      </c>
      <c r="M50" s="2">
        <v>3.3026885758992401</v>
      </c>
      <c r="N50" s="2">
        <v>3.7375478410922232</v>
      </c>
      <c r="O50" s="2">
        <v>3.2127393982092203</v>
      </c>
      <c r="P50" s="2">
        <v>2.8442826277692275</v>
      </c>
      <c r="Q50" s="2">
        <v>4.163303717119228</v>
      </c>
      <c r="R50" s="2">
        <v>2.8356994875692361</v>
      </c>
      <c r="S50" s="2">
        <v>3.013470621229243</v>
      </c>
      <c r="T50" s="2">
        <v>3.4358862912692407</v>
      </c>
      <c r="U50" s="2">
        <v>4.1419505337292053</v>
      </c>
      <c r="V50" s="2">
        <v>1.6625542466692296</v>
      </c>
      <c r="W50" s="2">
        <v>0.56966047319922519</v>
      </c>
      <c r="X50" s="2">
        <v>7.4266250269225065E-2</v>
      </c>
      <c r="Y50" s="2">
        <v>2.7389921961692316</v>
      </c>
      <c r="Z50" s="2">
        <v>2.6532131311692275</v>
      </c>
      <c r="AA50" s="2">
        <v>2.7449835301692338</v>
      </c>
      <c r="AB50" s="2">
        <v>2.4282919043692339</v>
      </c>
      <c r="AC50" s="2">
        <v>2.4569034265692382</v>
      </c>
      <c r="AD50" s="2">
        <v>1.9575282925692208</v>
      </c>
      <c r="AE50" s="2">
        <v>0.94188844476923839</v>
      </c>
      <c r="AF50" s="2">
        <v>1.418113753069234</v>
      </c>
      <c r="AG50" s="2">
        <v>2.890156064869227</v>
      </c>
      <c r="AH50" s="2">
        <v>0.72176298916923387</v>
      </c>
      <c r="AI50" s="2">
        <v>0.50067563736922516</v>
      </c>
      <c r="AJ50" s="2">
        <v>-1.2565737220307747</v>
      </c>
      <c r="AK50" s="2">
        <v>-1.0369431740307637</v>
      </c>
      <c r="AL50" s="2">
        <v>0.70103079876923413</v>
      </c>
      <c r="AM50" s="2">
        <v>0.37751908686922514</v>
      </c>
      <c r="AN50" s="2">
        <v>0.59593210106922745</v>
      </c>
      <c r="AO50" s="2">
        <v>0.41449108666922962</v>
      </c>
      <c r="AP50" s="2">
        <v>0.73665835736922736</v>
      </c>
      <c r="AQ50" s="2">
        <v>0.16846339816923617</v>
      </c>
      <c r="AR50" s="2">
        <v>-0.47616772613075503</v>
      </c>
      <c r="AS50" s="2">
        <v>-0.53457451533077904</v>
      </c>
      <c r="AT50" s="2">
        <v>0.49570576106923198</v>
      </c>
      <c r="AU50" s="2">
        <v>-1.7311455758407726</v>
      </c>
    </row>
    <row r="51" spans="1:47" x14ac:dyDescent="0.25">
      <c r="A51">
        <v>2023.375</v>
      </c>
      <c r="B51">
        <v>5</v>
      </c>
      <c r="C51" s="2">
        <v>2.5315232330692252</v>
      </c>
      <c r="D51">
        <v>8.8450223318814309</v>
      </c>
      <c r="G51" s="2">
        <v>2.5315232330692252</v>
      </c>
      <c r="H51" s="2">
        <v>2.4242919410692383</v>
      </c>
      <c r="I51" s="2">
        <v>3.0204558906692407</v>
      </c>
      <c r="J51" s="2">
        <v>2.5160163088692427</v>
      </c>
      <c r="K51" s="2">
        <v>0.21799792796922957</v>
      </c>
      <c r="L51" s="2">
        <v>1.0712564202692405</v>
      </c>
      <c r="M51" s="2">
        <v>3.5479114080692211</v>
      </c>
      <c r="N51" s="2">
        <v>3.5468615474692231</v>
      </c>
      <c r="O51" s="2">
        <v>3.5616315340692255</v>
      </c>
      <c r="P51" s="2">
        <v>4.1160447731392207</v>
      </c>
      <c r="Q51" s="2">
        <v>4.716440559979227</v>
      </c>
      <c r="R51" s="2">
        <v>3.4192657767092252</v>
      </c>
      <c r="S51" s="2">
        <v>4.3843827266992443</v>
      </c>
      <c r="T51" s="2">
        <v>3.738704460969243</v>
      </c>
      <c r="U51" s="2">
        <v>2.5391773460692382</v>
      </c>
      <c r="V51" s="2">
        <v>1.5244433762692298</v>
      </c>
      <c r="W51" s="2">
        <v>1.1166221583692315</v>
      </c>
      <c r="X51" s="2">
        <v>3.7450370694692299</v>
      </c>
      <c r="Y51" s="2">
        <v>3.3026885758992401</v>
      </c>
      <c r="Z51" s="2">
        <v>3.7375478410922232</v>
      </c>
      <c r="AA51" s="2">
        <v>3.2127393982092203</v>
      </c>
      <c r="AB51" s="2">
        <v>2.8442826277692275</v>
      </c>
      <c r="AC51" s="2">
        <v>4.163303717119228</v>
      </c>
      <c r="AD51" s="2">
        <v>2.8356994875692361</v>
      </c>
      <c r="AE51" s="2">
        <v>3.013470621229243</v>
      </c>
      <c r="AF51" s="2">
        <v>3.4358862912692407</v>
      </c>
      <c r="AG51" s="2">
        <v>4.1419505337292053</v>
      </c>
      <c r="AH51" s="2">
        <v>1.6625542466692296</v>
      </c>
      <c r="AI51" s="2">
        <v>0.56966047319922519</v>
      </c>
      <c r="AJ51" s="2">
        <v>7.4266250269225065E-2</v>
      </c>
      <c r="AK51" s="2">
        <v>2.7389921961692316</v>
      </c>
      <c r="AL51" s="2">
        <v>2.6532131311692275</v>
      </c>
      <c r="AM51" s="2">
        <v>2.7449835301692338</v>
      </c>
      <c r="AN51" s="2">
        <v>2.4282919043692339</v>
      </c>
      <c r="AO51" s="2">
        <v>2.4569034265692382</v>
      </c>
      <c r="AP51" s="2">
        <v>1.9575282925692208</v>
      </c>
      <c r="AQ51" s="2">
        <v>0.94188844476923839</v>
      </c>
      <c r="AR51" s="2">
        <v>1.418113753069234</v>
      </c>
      <c r="AS51" s="2">
        <v>2.890156064869227</v>
      </c>
      <c r="AT51" s="2">
        <v>0.72176298916923387</v>
      </c>
      <c r="AU51" s="2">
        <v>0.50067563736922516</v>
      </c>
    </row>
    <row r="52" spans="1:47" x14ac:dyDescent="0.25">
      <c r="A52">
        <v>2024</v>
      </c>
      <c r="S52" s="2">
        <v>2.5315232330692252</v>
      </c>
      <c r="T52" s="2">
        <v>2.4242919410692383</v>
      </c>
      <c r="U52" s="2">
        <v>3.0204558906692407</v>
      </c>
      <c r="V52" s="2">
        <v>2.5160163088692427</v>
      </c>
      <c r="W52" s="2">
        <v>0.21799792796922957</v>
      </c>
      <c r="X52" s="2">
        <v>1.0712564202692405</v>
      </c>
      <c r="Y52" s="2">
        <v>3.5479114080692211</v>
      </c>
      <c r="Z52" s="2">
        <v>3.5468615474692231</v>
      </c>
      <c r="AA52" s="2">
        <v>3.5616315340692255</v>
      </c>
      <c r="AB52" s="2">
        <v>4.1160447731392207</v>
      </c>
      <c r="AC52" s="2">
        <v>4.716440559979227</v>
      </c>
      <c r="AD52" s="2">
        <v>3.4192657767092252</v>
      </c>
      <c r="AE52" s="2">
        <v>4.3843827266992443</v>
      </c>
      <c r="AF52" s="2">
        <v>3.738704460969243</v>
      </c>
      <c r="AG52" s="2">
        <v>2.5391773460692382</v>
      </c>
      <c r="AH52" s="2">
        <v>1.5244433762692298</v>
      </c>
      <c r="AI52" s="2">
        <v>1.1166221583692315</v>
      </c>
      <c r="AJ52" s="2">
        <v>3.7450370694692299</v>
      </c>
      <c r="AK52" s="2">
        <v>3.3026885758992401</v>
      </c>
      <c r="AL52" s="2">
        <v>3.7375478410922232</v>
      </c>
      <c r="AM52" s="2">
        <v>3.2127393982092203</v>
      </c>
      <c r="AN52" s="2">
        <v>2.8442826277692275</v>
      </c>
      <c r="AO52" s="2">
        <v>4.163303717119228</v>
      </c>
      <c r="AP52" s="2">
        <v>2.8356994875692361</v>
      </c>
      <c r="AQ52" s="2">
        <v>3.013470621229243</v>
      </c>
      <c r="AR52" s="2">
        <v>3.4358862912692407</v>
      </c>
      <c r="AS52" s="2">
        <v>4.1419505337292053</v>
      </c>
      <c r="AT52" s="2">
        <v>1.6625542466692296</v>
      </c>
      <c r="AU52" s="2">
        <v>0.56966047319922519</v>
      </c>
    </row>
    <row r="53" spans="1:47" x14ac:dyDescent="0.25">
      <c r="AE53" s="2">
        <v>2.5315232330692252</v>
      </c>
      <c r="AF53" s="2">
        <v>2.4242919410692383</v>
      </c>
      <c r="AK53" s="2">
        <v>3.5479114080692211</v>
      </c>
      <c r="AQ53" s="2">
        <v>4.3843827266992443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7033-81E1-4DFA-93A4-73BB4CD64C21}">
  <dimension ref="A1:K79"/>
  <sheetViews>
    <sheetView workbookViewId="0">
      <selection activeCell="O29" sqref="O29"/>
    </sheetView>
  </sheetViews>
  <sheetFormatPr defaultRowHeight="15" x14ac:dyDescent="0.25"/>
  <sheetData>
    <row r="1" spans="1:2" x14ac:dyDescent="0.25">
      <c r="A1" t="s">
        <v>12</v>
      </c>
    </row>
    <row r="2" spans="1:2" x14ac:dyDescent="0.25">
      <c r="B2" t="s">
        <v>16</v>
      </c>
    </row>
    <row r="18" spans="2:3" x14ac:dyDescent="0.25">
      <c r="B18" t="s">
        <v>13</v>
      </c>
    </row>
    <row r="19" spans="2:3" x14ac:dyDescent="0.25">
      <c r="B19" t="s">
        <v>14</v>
      </c>
    </row>
    <row r="20" spans="2:3" x14ac:dyDescent="0.25">
      <c r="B20" t="s">
        <v>15</v>
      </c>
    </row>
    <row r="25" spans="2:3" x14ac:dyDescent="0.25">
      <c r="B25" t="s">
        <v>10</v>
      </c>
      <c r="C25" t="s">
        <v>17</v>
      </c>
    </row>
    <row r="41" spans="2:2" x14ac:dyDescent="0.25">
      <c r="B41" t="s">
        <v>18</v>
      </c>
    </row>
    <row r="44" spans="2:2" x14ac:dyDescent="0.25">
      <c r="B44" t="s">
        <v>19</v>
      </c>
    </row>
    <row r="60" spans="2:10" x14ac:dyDescent="0.25">
      <c r="B60" t="s">
        <v>23</v>
      </c>
    </row>
    <row r="61" spans="2:10" x14ac:dyDescent="0.25">
      <c r="B61" t="s">
        <v>20</v>
      </c>
    </row>
    <row r="62" spans="2:10" x14ac:dyDescent="0.25">
      <c r="J62" s="1"/>
    </row>
    <row r="63" spans="2:10" x14ac:dyDescent="0.25">
      <c r="B63" t="s">
        <v>21</v>
      </c>
      <c r="D63" t="s">
        <v>22</v>
      </c>
    </row>
    <row r="79" spans="2:11" x14ac:dyDescent="0.25">
      <c r="B79" t="s">
        <v>25</v>
      </c>
      <c r="K79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2B9F-D2CD-45B7-9299-CAB9CA714AD0}">
  <dimension ref="A1:AA153"/>
  <sheetViews>
    <sheetView tabSelected="1" topLeftCell="A120" workbookViewId="0">
      <selection activeCell="M63" sqref="M63"/>
    </sheetView>
  </sheetViews>
  <sheetFormatPr defaultRowHeight="15" x14ac:dyDescent="0.25"/>
  <cols>
    <col min="5" max="5" width="10" bestFit="1" customWidth="1"/>
    <col min="23" max="23" width="12.7109375" customWidth="1"/>
  </cols>
  <sheetData>
    <row r="1" spans="1:5" x14ac:dyDescent="0.25">
      <c r="A1" t="s">
        <v>26</v>
      </c>
      <c r="B1" t="s">
        <v>12</v>
      </c>
    </row>
    <row r="2" spans="1:5" x14ac:dyDescent="0.25">
      <c r="B2" s="5" t="s">
        <v>27</v>
      </c>
      <c r="C2" s="5"/>
    </row>
    <row r="3" spans="1:5" x14ac:dyDescent="0.25">
      <c r="B3" s="5"/>
      <c r="C3" s="5"/>
    </row>
    <row r="4" spans="1:5" x14ac:dyDescent="0.25">
      <c r="B4" s="5"/>
      <c r="C4" s="5" t="s">
        <v>28</v>
      </c>
    </row>
    <row r="5" spans="1:5" x14ac:dyDescent="0.25">
      <c r="B5" s="5" t="s">
        <v>29</v>
      </c>
      <c r="C5" s="5" t="s">
        <v>30</v>
      </c>
      <c r="D5" t="s">
        <v>31</v>
      </c>
      <c r="E5" t="s">
        <v>32</v>
      </c>
    </row>
    <row r="6" spans="1:5" x14ac:dyDescent="0.25">
      <c r="B6">
        <v>2000</v>
      </c>
      <c r="C6" s="5">
        <v>1399857</v>
      </c>
      <c r="D6">
        <f t="shared" ref="D6:D30" si="0">LN(C6)</f>
        <v>14.151880646511406</v>
      </c>
    </row>
    <row r="7" spans="1:5" x14ac:dyDescent="0.25">
      <c r="B7">
        <v>2001</v>
      </c>
      <c r="C7" s="5">
        <v>853263</v>
      </c>
      <c r="D7">
        <f t="shared" si="0"/>
        <v>13.656823102515766</v>
      </c>
      <c r="E7">
        <f>D7-D6</f>
        <v>-0.49505754399564061</v>
      </c>
    </row>
    <row r="8" spans="1:5" x14ac:dyDescent="0.25">
      <c r="B8">
        <v>2002</v>
      </c>
      <c r="C8" s="5">
        <v>648667</v>
      </c>
      <c r="D8">
        <f t="shared" si="0"/>
        <v>13.382674766934461</v>
      </c>
      <c r="E8">
        <f t="shared" ref="E8:E30" si="1">D8-D7</f>
        <v>-0.27414833558130525</v>
      </c>
    </row>
    <row r="9" spans="1:5" x14ac:dyDescent="0.25">
      <c r="B9">
        <v>2003</v>
      </c>
      <c r="C9" s="5">
        <v>1562429</v>
      </c>
      <c r="D9">
        <f t="shared" si="0"/>
        <v>14.261752219560266</v>
      </c>
      <c r="E9">
        <f t="shared" si="1"/>
        <v>0.87907745262580583</v>
      </c>
    </row>
    <row r="10" spans="1:5" ht="15.75" thickBot="1" x14ac:dyDescent="0.3">
      <c r="B10">
        <v>2004</v>
      </c>
      <c r="C10" s="6">
        <v>546611</v>
      </c>
      <c r="D10" s="4">
        <f t="shared" si="0"/>
        <v>13.211492676679027</v>
      </c>
      <c r="E10" s="4">
        <f t="shared" si="1"/>
        <v>-1.0502595428812391</v>
      </c>
    </row>
    <row r="11" spans="1:5" x14ac:dyDescent="0.25">
      <c r="B11">
        <v>2005</v>
      </c>
      <c r="C11" s="5">
        <v>1075508</v>
      </c>
      <c r="D11">
        <f t="shared" si="0"/>
        <v>13.888303666063001</v>
      </c>
      <c r="E11">
        <f t="shared" si="1"/>
        <v>0.67681098938397355</v>
      </c>
    </row>
    <row r="12" spans="1:5" x14ac:dyDescent="0.25">
      <c r="B12">
        <v>2006</v>
      </c>
      <c r="C12" s="5">
        <v>1280343</v>
      </c>
      <c r="D12">
        <f t="shared" si="0"/>
        <v>14.062638568748588</v>
      </c>
      <c r="E12">
        <f t="shared" si="1"/>
        <v>0.17433490268558671</v>
      </c>
    </row>
    <row r="13" spans="1:5" x14ac:dyDescent="0.25">
      <c r="B13">
        <v>2007</v>
      </c>
      <c r="C13" s="5">
        <v>437555</v>
      </c>
      <c r="D13">
        <f t="shared" si="0"/>
        <v>12.988957691164142</v>
      </c>
      <c r="E13">
        <f t="shared" si="1"/>
        <v>-1.0736808775844455</v>
      </c>
    </row>
    <row r="14" spans="1:5" x14ac:dyDescent="0.25">
      <c r="B14">
        <v>2008</v>
      </c>
      <c r="C14" s="5">
        <v>449941</v>
      </c>
      <c r="D14">
        <f t="shared" si="0"/>
        <v>13.016871742039578</v>
      </c>
      <c r="E14">
        <f t="shared" si="1"/>
        <v>2.7914050875436303E-2</v>
      </c>
    </row>
    <row r="15" spans="1:5" x14ac:dyDescent="0.25">
      <c r="B15">
        <v>2009</v>
      </c>
      <c r="C15">
        <v>308867</v>
      </c>
      <c r="D15">
        <f t="shared" si="0"/>
        <v>12.640666042510325</v>
      </c>
      <c r="E15">
        <f t="shared" si="1"/>
        <v>-0.37620569952925287</v>
      </c>
    </row>
    <row r="16" spans="1:5" x14ac:dyDescent="0.25">
      <c r="B16">
        <v>2010</v>
      </c>
      <c r="C16">
        <v>4540036</v>
      </c>
      <c r="D16">
        <f t="shared" si="0"/>
        <v>15.328445499501511</v>
      </c>
      <c r="E16">
        <f t="shared" si="1"/>
        <v>2.6877794569911853</v>
      </c>
    </row>
    <row r="17" spans="2:5" x14ac:dyDescent="0.25">
      <c r="B17">
        <v>2011</v>
      </c>
      <c r="C17">
        <v>1692466</v>
      </c>
      <c r="D17">
        <f t="shared" si="0"/>
        <v>14.341697194940496</v>
      </c>
      <c r="E17">
        <f t="shared" si="1"/>
        <v>-0.98674830456101503</v>
      </c>
    </row>
    <row r="18" spans="2:5" x14ac:dyDescent="0.25">
      <c r="B18">
        <v>2012</v>
      </c>
      <c r="C18">
        <v>551255</v>
      </c>
      <c r="D18">
        <f t="shared" si="0"/>
        <v>13.219952775996843</v>
      </c>
      <c r="E18">
        <f t="shared" si="1"/>
        <v>-1.1217444189436527</v>
      </c>
    </row>
    <row r="19" spans="2:5" x14ac:dyDescent="0.25">
      <c r="B19">
        <v>2013</v>
      </c>
      <c r="C19">
        <v>1747708</v>
      </c>
      <c r="D19">
        <f t="shared" si="0"/>
        <v>14.373815773188618</v>
      </c>
      <c r="E19">
        <f t="shared" si="1"/>
        <v>1.1538629971917747</v>
      </c>
    </row>
    <row r="20" spans="2:5" x14ac:dyDescent="0.25">
      <c r="B20">
        <v>2014</v>
      </c>
      <c r="C20">
        <v>2863174</v>
      </c>
      <c r="D20">
        <f t="shared" si="0"/>
        <v>14.86744135764391</v>
      </c>
      <c r="E20">
        <f t="shared" si="1"/>
        <v>0.49362558445529281</v>
      </c>
    </row>
    <row r="21" spans="2:5" x14ac:dyDescent="0.25">
      <c r="B21">
        <v>2015</v>
      </c>
      <c r="C21">
        <v>1001669</v>
      </c>
      <c r="D21">
        <f t="shared" si="0"/>
        <v>13.817178166731537</v>
      </c>
      <c r="E21">
        <f t="shared" si="1"/>
        <v>-1.0502631909123732</v>
      </c>
    </row>
    <row r="22" spans="2:5" x14ac:dyDescent="0.25">
      <c r="B22" s="7">
        <v>2016</v>
      </c>
      <c r="C22" s="7">
        <v>287625</v>
      </c>
      <c r="D22" s="7">
        <f t="shared" si="0"/>
        <v>12.569412827337667</v>
      </c>
      <c r="E22" s="7">
        <f t="shared" si="1"/>
        <v>-1.2477653393938706</v>
      </c>
    </row>
    <row r="23" spans="2:5" x14ac:dyDescent="0.25">
      <c r="B23">
        <v>2017</v>
      </c>
      <c r="C23">
        <v>463257</v>
      </c>
      <c r="D23">
        <f t="shared" si="0"/>
        <v>13.046037254664851</v>
      </c>
      <c r="E23">
        <f t="shared" si="1"/>
        <v>0.47662442732718446</v>
      </c>
    </row>
    <row r="24" spans="2:5" x14ac:dyDescent="0.25">
      <c r="B24">
        <v>2018</v>
      </c>
      <c r="C24">
        <v>1608774</v>
      </c>
      <c r="D24">
        <f t="shared" si="0"/>
        <v>14.290982956196114</v>
      </c>
      <c r="E24">
        <f t="shared" si="1"/>
        <v>1.2449457015312628</v>
      </c>
    </row>
    <row r="25" spans="2:5" x14ac:dyDescent="0.25">
      <c r="B25">
        <v>2019</v>
      </c>
      <c r="C25">
        <v>251448</v>
      </c>
      <c r="D25">
        <f t="shared" si="0"/>
        <v>12.434991487700911</v>
      </c>
      <c r="E25">
        <f t="shared" si="1"/>
        <v>-1.855991468495203</v>
      </c>
    </row>
    <row r="26" spans="2:5" x14ac:dyDescent="0.25">
      <c r="B26">
        <v>2020</v>
      </c>
      <c r="C26" s="7">
        <v>77511</v>
      </c>
      <c r="D26">
        <f t="shared" si="0"/>
        <v>11.258175140753421</v>
      </c>
      <c r="E26">
        <f t="shared" si="1"/>
        <v>-1.1768163469474899</v>
      </c>
    </row>
    <row r="27" spans="2:5" x14ac:dyDescent="0.25">
      <c r="B27">
        <v>2021</v>
      </c>
      <c r="C27">
        <v>1139557</v>
      </c>
      <c r="D27">
        <f t="shared" si="0"/>
        <v>13.946150148356267</v>
      </c>
      <c r="E27">
        <f t="shared" si="1"/>
        <v>2.6879750076028461</v>
      </c>
    </row>
    <row r="28" spans="2:5" x14ac:dyDescent="0.25">
      <c r="B28">
        <v>2022</v>
      </c>
      <c r="C28">
        <v>1607251</v>
      </c>
      <c r="D28">
        <f t="shared" si="0"/>
        <v>14.290035824184484</v>
      </c>
      <c r="E28">
        <f t="shared" si="1"/>
        <v>0.34388567582821672</v>
      </c>
    </row>
    <row r="29" spans="2:5" x14ac:dyDescent="0.25">
      <c r="B29">
        <v>2023</v>
      </c>
      <c r="C29">
        <v>576000</v>
      </c>
      <c r="D29">
        <f t="shared" si="0"/>
        <v>13.263862939678027</v>
      </c>
      <c r="E29">
        <f t="shared" si="1"/>
        <v>-1.0261728845064564</v>
      </c>
    </row>
    <row r="30" spans="2:5" x14ac:dyDescent="0.25">
      <c r="B30">
        <v>2024</v>
      </c>
      <c r="C30" s="7">
        <v>115197</v>
      </c>
      <c r="D30">
        <f t="shared" si="0"/>
        <v>11.654398985238171</v>
      </c>
      <c r="E30">
        <f t="shared" si="1"/>
        <v>-1.6094639544398568</v>
      </c>
    </row>
    <row r="31" spans="2:5" x14ac:dyDescent="0.25">
      <c r="B31">
        <v>2025</v>
      </c>
    </row>
    <row r="34" spans="10:24" x14ac:dyDescent="0.25">
      <c r="J34" t="s">
        <v>33</v>
      </c>
    </row>
    <row r="37" spans="10:24" x14ac:dyDescent="0.25">
      <c r="V37" t="s">
        <v>34</v>
      </c>
    </row>
    <row r="38" spans="10:24" x14ac:dyDescent="0.25">
      <c r="V38" t="s">
        <v>35</v>
      </c>
      <c r="W38" t="s">
        <v>36</v>
      </c>
      <c r="X38" t="s">
        <v>36</v>
      </c>
    </row>
    <row r="39" spans="10:24" x14ac:dyDescent="0.25">
      <c r="W39" t="s">
        <v>37</v>
      </c>
      <c r="X39" t="s">
        <v>38</v>
      </c>
    </row>
    <row r="40" spans="10:24" x14ac:dyDescent="0.25">
      <c r="V40" t="s">
        <v>39</v>
      </c>
      <c r="W40">
        <v>1.5389999999999999</v>
      </c>
      <c r="X40">
        <v>14.37</v>
      </c>
    </row>
    <row r="41" spans="10:24" x14ac:dyDescent="0.25">
      <c r="V41" t="s">
        <v>40</v>
      </c>
      <c r="W41">
        <v>0.47699999999999998</v>
      </c>
      <c r="X41">
        <v>13.05</v>
      </c>
    </row>
    <row r="42" spans="10:24" x14ac:dyDescent="0.25">
      <c r="V42" t="s">
        <v>41</v>
      </c>
      <c r="W42">
        <v>2.6880000000000002</v>
      </c>
      <c r="X42">
        <v>13.95</v>
      </c>
    </row>
    <row r="43" spans="10:24" x14ac:dyDescent="0.25">
      <c r="V43" t="s">
        <v>42</v>
      </c>
      <c r="W43" t="s">
        <v>43</v>
      </c>
      <c r="X43" t="s">
        <v>43</v>
      </c>
    </row>
    <row r="44" spans="10:24" x14ac:dyDescent="0.25">
      <c r="V44" t="s">
        <v>44</v>
      </c>
      <c r="W44">
        <f>AVERAGE(W40:W42)</f>
        <v>1.5680000000000003</v>
      </c>
      <c r="X44">
        <f>AVERAGE(X40:X42)</f>
        <v>13.790000000000001</v>
      </c>
    </row>
    <row r="45" spans="10:24" x14ac:dyDescent="0.25">
      <c r="V45" t="s">
        <v>45</v>
      </c>
      <c r="W45">
        <v>11.654</v>
      </c>
    </row>
    <row r="46" spans="10:24" x14ac:dyDescent="0.25">
      <c r="V46" t="s">
        <v>46</v>
      </c>
      <c r="W46">
        <f>W44+W45</f>
        <v>13.222</v>
      </c>
      <c r="X46">
        <v>13.790000000000001</v>
      </c>
    </row>
    <row r="47" spans="10:24" x14ac:dyDescent="0.25">
      <c r="V47" t="s">
        <v>47</v>
      </c>
      <c r="W47" s="8">
        <f>EXP(W46)</f>
        <v>552384.69844618894</v>
      </c>
      <c r="X47" s="8">
        <f>EXP(X46)</f>
        <v>974812.08688022313</v>
      </c>
    </row>
    <row r="48" spans="10:24" x14ac:dyDescent="0.25">
      <c r="W48" t="s">
        <v>78</v>
      </c>
    </row>
    <row r="50" spans="23:23" x14ac:dyDescent="0.25">
      <c r="W50" s="8"/>
    </row>
    <row r="70" spans="1:18" x14ac:dyDescent="0.25">
      <c r="C70" t="s">
        <v>48</v>
      </c>
    </row>
    <row r="71" spans="1:18" x14ac:dyDescent="0.25">
      <c r="C71" t="s">
        <v>49</v>
      </c>
    </row>
    <row r="72" spans="1:18" x14ac:dyDescent="0.25">
      <c r="C72" t="s">
        <v>50</v>
      </c>
    </row>
    <row r="75" spans="1:18" x14ac:dyDescent="0.25">
      <c r="A75" t="s">
        <v>51</v>
      </c>
    </row>
    <row r="76" spans="1:18" x14ac:dyDescent="0.25">
      <c r="M76" t="s">
        <v>52</v>
      </c>
      <c r="Q76" t="s">
        <v>53</v>
      </c>
    </row>
    <row r="77" spans="1:18" x14ac:dyDescent="0.25"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59</v>
      </c>
      <c r="H77" t="s">
        <v>60</v>
      </c>
      <c r="I77" t="s">
        <v>61</v>
      </c>
      <c r="J77" t="s">
        <v>62</v>
      </c>
      <c r="K77" t="s">
        <v>63</v>
      </c>
      <c r="M77">
        <v>1.1000000000000001</v>
      </c>
      <c r="O77" t="s">
        <v>38</v>
      </c>
      <c r="P77" t="s">
        <v>11</v>
      </c>
      <c r="Q77" t="s">
        <v>64</v>
      </c>
      <c r="R77" t="s">
        <v>65</v>
      </c>
    </row>
    <row r="78" spans="1:18" x14ac:dyDescent="0.25">
      <c r="A78">
        <v>1</v>
      </c>
      <c r="B78" t="s">
        <v>66</v>
      </c>
      <c r="C78" t="s">
        <v>12</v>
      </c>
      <c r="D78">
        <v>1951</v>
      </c>
      <c r="E78">
        <v>32000</v>
      </c>
      <c r="F78">
        <v>32000</v>
      </c>
      <c r="G78">
        <v>0</v>
      </c>
      <c r="H78">
        <v>0</v>
      </c>
      <c r="I78">
        <v>0</v>
      </c>
      <c r="J78">
        <v>0</v>
      </c>
      <c r="K78">
        <v>0</v>
      </c>
      <c r="O78">
        <f>LN(E78)</f>
        <v>10.373491181781864</v>
      </c>
      <c r="P78" t="e">
        <f>LN(G78)</f>
        <v>#NUM!</v>
      </c>
    </row>
    <row r="79" spans="1:18" x14ac:dyDescent="0.25">
      <c r="A79">
        <v>2</v>
      </c>
      <c r="B79" t="s">
        <v>66</v>
      </c>
      <c r="C79" t="s">
        <v>12</v>
      </c>
      <c r="D79">
        <v>1952</v>
      </c>
      <c r="E79">
        <v>1652925</v>
      </c>
      <c r="F79">
        <v>3732</v>
      </c>
      <c r="G79">
        <v>1643062</v>
      </c>
      <c r="H79">
        <v>0</v>
      </c>
      <c r="I79">
        <v>6131</v>
      </c>
      <c r="J79">
        <v>0</v>
      </c>
      <c r="K79">
        <v>0</v>
      </c>
      <c r="M79">
        <f>F78</f>
        <v>32000</v>
      </c>
      <c r="O79">
        <f t="shared" ref="O79:O142" si="2">LN(E79)</f>
        <v>14.318057003723002</v>
      </c>
      <c r="P79">
        <f t="shared" ref="P79:P142" si="3">LN(G79)</f>
        <v>14.312072132156482</v>
      </c>
      <c r="Q79">
        <f>LN(G79/F78)</f>
        <v>3.938580950374619</v>
      </c>
      <c r="R79">
        <f>LN(E79/F78)</f>
        <v>3.9445658219411381</v>
      </c>
    </row>
    <row r="80" spans="1:18" x14ac:dyDescent="0.25">
      <c r="A80">
        <v>3</v>
      </c>
      <c r="B80" t="s">
        <v>66</v>
      </c>
      <c r="C80" t="s">
        <v>12</v>
      </c>
      <c r="D80">
        <v>1953</v>
      </c>
      <c r="E80">
        <v>828243</v>
      </c>
      <c r="F80">
        <v>1489</v>
      </c>
      <c r="G80">
        <v>560635</v>
      </c>
      <c r="H80">
        <v>11182</v>
      </c>
      <c r="I80">
        <v>621</v>
      </c>
      <c r="J80">
        <v>254316</v>
      </c>
      <c r="K80">
        <v>0</v>
      </c>
      <c r="M80">
        <f t="shared" ref="M80:M143" si="4">F79</f>
        <v>3732</v>
      </c>
      <c r="O80">
        <f t="shared" si="2"/>
        <v>13.627061868571946</v>
      </c>
      <c r="P80">
        <f t="shared" si="3"/>
        <v>13.236825348871344</v>
      </c>
      <c r="Q80">
        <f t="shared" ref="Q80:Q143" si="5">LN(G80/F79)</f>
        <v>5.01212578690411</v>
      </c>
      <c r="R80">
        <f t="shared" ref="R80:R143" si="6">LN(E80/F79)</f>
        <v>5.4023623066047106</v>
      </c>
    </row>
    <row r="81" spans="1:19" x14ac:dyDescent="0.25">
      <c r="A81">
        <v>4</v>
      </c>
      <c r="B81" t="s">
        <v>66</v>
      </c>
      <c r="C81" t="s">
        <v>12</v>
      </c>
      <c r="D81">
        <v>1954</v>
      </c>
      <c r="E81">
        <v>246165</v>
      </c>
      <c r="F81">
        <v>3925</v>
      </c>
      <c r="G81">
        <v>183278</v>
      </c>
      <c r="H81">
        <v>10368</v>
      </c>
      <c r="I81">
        <v>954</v>
      </c>
      <c r="J81">
        <v>46358</v>
      </c>
      <c r="K81">
        <v>1282</v>
      </c>
      <c r="M81">
        <f t="shared" si="4"/>
        <v>1489</v>
      </c>
      <c r="O81">
        <f t="shared" si="2"/>
        <v>12.413757321781837</v>
      </c>
      <c r="P81">
        <f t="shared" si="3"/>
        <v>12.118759404802452</v>
      </c>
      <c r="Q81">
        <f t="shared" si="5"/>
        <v>4.8128993721184425</v>
      </c>
      <c r="R81">
        <f t="shared" si="6"/>
        <v>5.1078972890978287</v>
      </c>
    </row>
    <row r="82" spans="1:19" x14ac:dyDescent="0.25">
      <c r="A82">
        <v>5</v>
      </c>
      <c r="B82" t="s">
        <v>66</v>
      </c>
      <c r="C82" t="s">
        <v>12</v>
      </c>
      <c r="D82">
        <v>1955</v>
      </c>
      <c r="E82">
        <v>690225</v>
      </c>
      <c r="F82">
        <v>18732</v>
      </c>
      <c r="G82">
        <v>644911</v>
      </c>
      <c r="H82">
        <v>4705</v>
      </c>
      <c r="I82">
        <v>5004</v>
      </c>
      <c r="J82">
        <v>15449</v>
      </c>
      <c r="K82">
        <v>1424</v>
      </c>
      <c r="M82">
        <f t="shared" si="4"/>
        <v>3925</v>
      </c>
      <c r="O82">
        <f t="shared" si="2"/>
        <v>13.444772910375168</v>
      </c>
      <c r="P82">
        <f t="shared" si="3"/>
        <v>13.376867601761049</v>
      </c>
      <c r="Q82">
        <f t="shared" si="5"/>
        <v>5.1017459715445401</v>
      </c>
      <c r="R82">
        <f t="shared" si="6"/>
        <v>5.1696512801586589</v>
      </c>
    </row>
    <row r="83" spans="1:19" x14ac:dyDescent="0.25">
      <c r="A83">
        <v>6</v>
      </c>
      <c r="B83" t="s">
        <v>66</v>
      </c>
      <c r="C83" t="s">
        <v>12</v>
      </c>
      <c r="D83">
        <v>1956</v>
      </c>
      <c r="E83">
        <v>1860093</v>
      </c>
      <c r="F83">
        <v>1172</v>
      </c>
      <c r="G83">
        <v>1763929</v>
      </c>
      <c r="H83">
        <v>20763</v>
      </c>
      <c r="I83">
        <v>114</v>
      </c>
      <c r="J83">
        <v>74115</v>
      </c>
      <c r="K83">
        <v>0</v>
      </c>
      <c r="M83">
        <f t="shared" si="4"/>
        <v>18732</v>
      </c>
      <c r="O83">
        <f t="shared" si="2"/>
        <v>14.436137044439425</v>
      </c>
      <c r="P83">
        <f t="shared" si="3"/>
        <v>14.383054265305736</v>
      </c>
      <c r="Q83">
        <f t="shared" si="5"/>
        <v>4.5450656950023047</v>
      </c>
      <c r="R83">
        <f t="shared" si="6"/>
        <v>4.5981484741359937</v>
      </c>
    </row>
    <row r="84" spans="1:19" x14ac:dyDescent="0.25">
      <c r="A84">
        <v>7</v>
      </c>
      <c r="B84" t="s">
        <v>66</v>
      </c>
      <c r="C84" t="s">
        <v>12</v>
      </c>
      <c r="D84">
        <v>1957</v>
      </c>
      <c r="E84">
        <v>607788</v>
      </c>
      <c r="F84">
        <v>12234</v>
      </c>
      <c r="G84">
        <v>514554</v>
      </c>
      <c r="H84">
        <v>35975</v>
      </c>
      <c r="I84">
        <v>2583</v>
      </c>
      <c r="J84">
        <v>38833</v>
      </c>
      <c r="K84">
        <v>3609</v>
      </c>
      <c r="M84">
        <f t="shared" si="4"/>
        <v>1172</v>
      </c>
      <c r="O84">
        <f t="shared" si="2"/>
        <v>13.317581415933304</v>
      </c>
      <c r="P84">
        <f t="shared" si="3"/>
        <v>13.15105578501694</v>
      </c>
      <c r="Q84">
        <f t="shared" si="5"/>
        <v>6.0845888148799814</v>
      </c>
      <c r="R84">
        <f t="shared" si="6"/>
        <v>6.2511144457963459</v>
      </c>
    </row>
    <row r="85" spans="1:19" x14ac:dyDescent="0.25">
      <c r="A85">
        <v>8</v>
      </c>
      <c r="B85" t="s">
        <v>66</v>
      </c>
      <c r="C85" t="s">
        <v>12</v>
      </c>
      <c r="D85">
        <v>1958</v>
      </c>
      <c r="E85">
        <v>768653</v>
      </c>
      <c r="F85">
        <v>32418</v>
      </c>
      <c r="G85">
        <v>632132</v>
      </c>
      <c r="H85">
        <v>14004</v>
      </c>
      <c r="I85">
        <v>2844</v>
      </c>
      <c r="J85">
        <v>86362</v>
      </c>
      <c r="K85">
        <v>893</v>
      </c>
      <c r="M85">
        <f t="shared" si="4"/>
        <v>12234</v>
      </c>
      <c r="O85">
        <f t="shared" si="2"/>
        <v>13.552394911279853</v>
      </c>
      <c r="P85">
        <f t="shared" si="3"/>
        <v>13.356853512080116</v>
      </c>
      <c r="Q85">
        <f t="shared" si="5"/>
        <v>3.944879272277606</v>
      </c>
      <c r="R85">
        <f t="shared" si="6"/>
        <v>4.1404206714773437</v>
      </c>
    </row>
    <row r="86" spans="1:19" x14ac:dyDescent="0.25">
      <c r="A86">
        <v>9</v>
      </c>
      <c r="B86" t="s">
        <v>66</v>
      </c>
      <c r="C86" t="s">
        <v>12</v>
      </c>
      <c r="D86">
        <v>1959</v>
      </c>
      <c r="E86">
        <v>1487328</v>
      </c>
      <c r="F86">
        <v>13905</v>
      </c>
      <c r="G86">
        <v>1407963</v>
      </c>
      <c r="H86">
        <v>4415</v>
      </c>
      <c r="I86">
        <v>1373</v>
      </c>
      <c r="J86">
        <v>58891</v>
      </c>
      <c r="K86">
        <v>781</v>
      </c>
      <c r="M86">
        <f t="shared" si="4"/>
        <v>32418</v>
      </c>
      <c r="O86">
        <f t="shared" si="2"/>
        <v>14.212491779464129</v>
      </c>
      <c r="P86">
        <f t="shared" si="3"/>
        <v>14.157654536945751</v>
      </c>
      <c r="Q86">
        <f t="shared" si="5"/>
        <v>3.7711854338736295</v>
      </c>
      <c r="R86">
        <f t="shared" si="6"/>
        <v>3.8260226763920073</v>
      </c>
    </row>
    <row r="87" spans="1:19" x14ac:dyDescent="0.25">
      <c r="A87">
        <v>10</v>
      </c>
      <c r="B87" t="s">
        <v>66</v>
      </c>
      <c r="C87" t="s">
        <v>12</v>
      </c>
      <c r="D87">
        <v>1960</v>
      </c>
      <c r="E87">
        <v>2453759</v>
      </c>
      <c r="F87">
        <v>76</v>
      </c>
      <c r="G87">
        <v>2379854</v>
      </c>
      <c r="H87">
        <v>31011</v>
      </c>
      <c r="I87">
        <v>75</v>
      </c>
      <c r="J87">
        <v>40510</v>
      </c>
      <c r="K87">
        <v>2233</v>
      </c>
      <c r="M87">
        <f t="shared" si="4"/>
        <v>13905</v>
      </c>
      <c r="O87">
        <f t="shared" si="2"/>
        <v>14.713131692421404</v>
      </c>
      <c r="P87">
        <f t="shared" si="3"/>
        <v>14.68254969922819</v>
      </c>
      <c r="Q87">
        <f t="shared" si="5"/>
        <v>5.1425459325601244</v>
      </c>
      <c r="R87">
        <f t="shared" si="6"/>
        <v>5.1731279257533398</v>
      </c>
    </row>
    <row r="88" spans="1:19" x14ac:dyDescent="0.25">
      <c r="A88">
        <v>11</v>
      </c>
      <c r="B88" t="s">
        <v>66</v>
      </c>
      <c r="C88" t="s">
        <v>12</v>
      </c>
      <c r="D88">
        <v>1961</v>
      </c>
      <c r="E88">
        <v>163316</v>
      </c>
      <c r="F88">
        <v>4055</v>
      </c>
      <c r="G88">
        <v>117362</v>
      </c>
      <c r="H88">
        <v>16684</v>
      </c>
      <c r="I88">
        <v>63</v>
      </c>
      <c r="J88">
        <v>25152</v>
      </c>
      <c r="K88">
        <v>0</v>
      </c>
      <c r="M88">
        <f t="shared" si="4"/>
        <v>76</v>
      </c>
      <c r="O88">
        <f t="shared" si="2"/>
        <v>12.003442253338335</v>
      </c>
      <c r="P88">
        <f t="shared" si="3"/>
        <v>11.673018454253116</v>
      </c>
      <c r="Q88">
        <f t="shared" si="5"/>
        <v>7.3422851139667848</v>
      </c>
      <c r="R88">
        <f t="shared" si="6"/>
        <v>7.6727089130520039</v>
      </c>
      <c r="S88" t="s">
        <v>67</v>
      </c>
    </row>
    <row r="89" spans="1:19" x14ac:dyDescent="0.25">
      <c r="A89">
        <v>12</v>
      </c>
      <c r="B89" t="s">
        <v>66</v>
      </c>
      <c r="C89" t="s">
        <v>12</v>
      </c>
      <c r="D89">
        <v>1962</v>
      </c>
      <c r="E89">
        <v>324550</v>
      </c>
      <c r="F89">
        <v>23792</v>
      </c>
      <c r="G89">
        <v>278320</v>
      </c>
      <c r="H89">
        <v>3149</v>
      </c>
      <c r="I89">
        <v>1711</v>
      </c>
      <c r="J89">
        <v>17578</v>
      </c>
      <c r="K89">
        <v>0</v>
      </c>
      <c r="M89">
        <f t="shared" si="4"/>
        <v>4055</v>
      </c>
      <c r="O89">
        <f t="shared" si="2"/>
        <v>12.690194886461615</v>
      </c>
      <c r="P89">
        <f t="shared" si="3"/>
        <v>12.536526809825824</v>
      </c>
      <c r="Q89">
        <f t="shared" si="5"/>
        <v>4.2288208432763108</v>
      </c>
      <c r="R89">
        <f t="shared" si="6"/>
        <v>4.3824889199121015</v>
      </c>
    </row>
    <row r="90" spans="1:19" x14ac:dyDescent="0.25">
      <c r="A90">
        <v>13</v>
      </c>
      <c r="B90" t="s">
        <v>66</v>
      </c>
      <c r="C90" t="s">
        <v>12</v>
      </c>
      <c r="D90">
        <v>1963</v>
      </c>
      <c r="E90">
        <v>2231435</v>
      </c>
      <c r="F90">
        <v>5472</v>
      </c>
      <c r="G90">
        <v>2080497</v>
      </c>
      <c r="H90">
        <v>13613</v>
      </c>
      <c r="I90">
        <v>1272</v>
      </c>
      <c r="J90">
        <v>130581</v>
      </c>
      <c r="K90">
        <v>0</v>
      </c>
      <c r="M90">
        <f t="shared" si="4"/>
        <v>23792</v>
      </c>
      <c r="O90">
        <f t="shared" si="2"/>
        <v>14.618155434238245</v>
      </c>
      <c r="P90">
        <f t="shared" si="3"/>
        <v>14.548117365443026</v>
      </c>
      <c r="Q90">
        <f t="shared" si="5"/>
        <v>4.4710126967430899</v>
      </c>
      <c r="R90">
        <f t="shared" si="6"/>
        <v>4.5410507655383094</v>
      </c>
    </row>
    <row r="91" spans="1:19" x14ac:dyDescent="0.25">
      <c r="A91">
        <v>14</v>
      </c>
      <c r="B91" t="s">
        <v>66</v>
      </c>
      <c r="C91" t="s">
        <v>12</v>
      </c>
      <c r="D91">
        <v>1964</v>
      </c>
      <c r="E91">
        <v>1072291</v>
      </c>
      <c r="F91">
        <v>256</v>
      </c>
      <c r="G91">
        <v>958877</v>
      </c>
      <c r="H91">
        <v>18659</v>
      </c>
      <c r="I91">
        <v>1045</v>
      </c>
      <c r="J91">
        <v>88363</v>
      </c>
      <c r="K91">
        <v>5091</v>
      </c>
      <c r="M91">
        <f t="shared" si="4"/>
        <v>5472</v>
      </c>
      <c r="O91">
        <f t="shared" si="2"/>
        <v>13.885308038999462</v>
      </c>
      <c r="P91">
        <f t="shared" si="3"/>
        <v>13.773518087037026</v>
      </c>
      <c r="Q91">
        <f t="shared" si="5"/>
        <v>5.1661186277346394</v>
      </c>
      <c r="R91">
        <f t="shared" si="6"/>
        <v>5.2779085796970753</v>
      </c>
    </row>
    <row r="92" spans="1:19" x14ac:dyDescent="0.25">
      <c r="A92">
        <v>15</v>
      </c>
      <c r="B92" t="s">
        <v>66</v>
      </c>
      <c r="C92" t="s">
        <v>12</v>
      </c>
      <c r="D92">
        <v>1965</v>
      </c>
      <c r="E92">
        <v>151720</v>
      </c>
      <c r="F92">
        <v>10657</v>
      </c>
      <c r="G92">
        <v>52713</v>
      </c>
      <c r="H92">
        <v>5980</v>
      </c>
      <c r="I92">
        <v>409</v>
      </c>
      <c r="J92">
        <v>81961</v>
      </c>
      <c r="K92">
        <v>0</v>
      </c>
      <c r="M92">
        <f t="shared" si="4"/>
        <v>256</v>
      </c>
      <c r="O92">
        <f t="shared" si="2"/>
        <v>11.929791995802836</v>
      </c>
      <c r="P92">
        <f t="shared" si="3"/>
        <v>10.872617383426002</v>
      </c>
      <c r="Q92">
        <f t="shared" si="5"/>
        <v>5.3274399389464389</v>
      </c>
      <c r="R92">
        <f t="shared" si="6"/>
        <v>6.3846145513232724</v>
      </c>
    </row>
    <row r="93" spans="1:19" x14ac:dyDescent="0.25">
      <c r="A93">
        <v>16</v>
      </c>
      <c r="B93" t="s">
        <v>66</v>
      </c>
      <c r="C93" t="s">
        <v>12</v>
      </c>
      <c r="D93">
        <v>1966</v>
      </c>
      <c r="E93">
        <v>1014263</v>
      </c>
      <c r="F93">
        <v>37579</v>
      </c>
      <c r="G93">
        <v>960609</v>
      </c>
      <c r="H93">
        <v>11583</v>
      </c>
      <c r="I93">
        <v>0</v>
      </c>
      <c r="J93">
        <v>4492</v>
      </c>
      <c r="K93">
        <v>0</v>
      </c>
      <c r="M93">
        <f t="shared" si="4"/>
        <v>10657</v>
      </c>
      <c r="O93">
        <f t="shared" si="2"/>
        <v>13.829672798339276</v>
      </c>
      <c r="P93">
        <f t="shared" si="3"/>
        <v>13.775322737313255</v>
      </c>
      <c r="Q93">
        <f t="shared" si="5"/>
        <v>4.5013505050922999</v>
      </c>
      <c r="R93">
        <f t="shared" si="6"/>
        <v>4.5557005661183192</v>
      </c>
    </row>
    <row r="94" spans="1:19" x14ac:dyDescent="0.25">
      <c r="A94">
        <v>17</v>
      </c>
      <c r="B94" t="s">
        <v>66</v>
      </c>
      <c r="C94" t="s">
        <v>12</v>
      </c>
      <c r="D94">
        <v>1967</v>
      </c>
      <c r="E94">
        <v>1138362</v>
      </c>
      <c r="F94">
        <v>7252</v>
      </c>
      <c r="G94">
        <v>1112861</v>
      </c>
      <c r="H94">
        <v>13582</v>
      </c>
      <c r="I94">
        <v>3971</v>
      </c>
      <c r="J94">
        <v>696</v>
      </c>
      <c r="K94">
        <v>0</v>
      </c>
      <c r="M94">
        <f t="shared" si="4"/>
        <v>37579</v>
      </c>
      <c r="O94">
        <f t="shared" si="2"/>
        <v>13.945100945017936</v>
      </c>
      <c r="P94">
        <f t="shared" si="3"/>
        <v>13.922444734767639</v>
      </c>
      <c r="Q94">
        <f t="shared" si="5"/>
        <v>3.3882440720531153</v>
      </c>
      <c r="R94">
        <f t="shared" si="6"/>
        <v>3.410900282303412</v>
      </c>
    </row>
    <row r="95" spans="1:19" x14ac:dyDescent="0.25">
      <c r="A95">
        <v>18</v>
      </c>
      <c r="B95" t="s">
        <v>66</v>
      </c>
      <c r="C95" t="s">
        <v>12</v>
      </c>
      <c r="D95">
        <v>1968</v>
      </c>
      <c r="E95">
        <v>1873120</v>
      </c>
      <c r="F95">
        <v>1787</v>
      </c>
      <c r="G95">
        <v>1818921</v>
      </c>
      <c r="H95">
        <v>4045</v>
      </c>
      <c r="I95">
        <v>1343</v>
      </c>
      <c r="J95">
        <v>47006</v>
      </c>
      <c r="K95">
        <v>18</v>
      </c>
      <c r="M95">
        <f t="shared" si="4"/>
        <v>7252</v>
      </c>
      <c r="O95">
        <f t="shared" si="2"/>
        <v>14.443116047713499</v>
      </c>
      <c r="P95">
        <f t="shared" si="3"/>
        <v>14.413754026100834</v>
      </c>
      <c r="Q95">
        <f t="shared" si="5"/>
        <v>5.5247214542260936</v>
      </c>
      <c r="R95">
        <f t="shared" si="6"/>
        <v>5.5540834758387581</v>
      </c>
    </row>
    <row r="96" spans="1:19" x14ac:dyDescent="0.25">
      <c r="A96">
        <v>19</v>
      </c>
      <c r="B96" t="s">
        <v>66</v>
      </c>
      <c r="C96" t="s">
        <v>12</v>
      </c>
      <c r="D96">
        <v>1969</v>
      </c>
      <c r="E96">
        <v>380200</v>
      </c>
      <c r="F96">
        <v>26456</v>
      </c>
      <c r="G96">
        <v>138555</v>
      </c>
      <c r="H96">
        <v>55810</v>
      </c>
      <c r="I96">
        <v>1782</v>
      </c>
      <c r="J96">
        <v>156756</v>
      </c>
      <c r="K96">
        <v>841</v>
      </c>
      <c r="M96">
        <f t="shared" si="4"/>
        <v>1787</v>
      </c>
      <c r="O96">
        <f t="shared" si="2"/>
        <v>12.848452709036465</v>
      </c>
      <c r="P96">
        <f t="shared" si="3"/>
        <v>11.83902263769482</v>
      </c>
      <c r="Q96">
        <f t="shared" si="5"/>
        <v>4.3507291225353919</v>
      </c>
      <c r="R96">
        <f t="shared" si="6"/>
        <v>5.3601591938770374</v>
      </c>
    </row>
    <row r="97" spans="1:27" x14ac:dyDescent="0.25">
      <c r="A97">
        <v>20</v>
      </c>
      <c r="B97" t="s">
        <v>66</v>
      </c>
      <c r="C97" t="s">
        <v>12</v>
      </c>
      <c r="D97">
        <v>1970</v>
      </c>
      <c r="E97">
        <v>791502</v>
      </c>
      <c r="F97">
        <v>28734</v>
      </c>
      <c r="G97">
        <v>744469</v>
      </c>
      <c r="H97">
        <v>2360</v>
      </c>
      <c r="I97">
        <v>1479</v>
      </c>
      <c r="J97">
        <v>14460</v>
      </c>
      <c r="K97">
        <v>0</v>
      </c>
      <c r="M97">
        <f t="shared" si="4"/>
        <v>26456</v>
      </c>
      <c r="O97">
        <f t="shared" si="2"/>
        <v>13.581687685147768</v>
      </c>
      <c r="P97">
        <f t="shared" si="3"/>
        <v>13.520426491555606</v>
      </c>
      <c r="Q97">
        <f t="shared" si="5"/>
        <v>3.3371882368939776</v>
      </c>
      <c r="R97">
        <f t="shared" si="6"/>
        <v>3.3984494304861403</v>
      </c>
    </row>
    <row r="98" spans="1:27" x14ac:dyDescent="0.25">
      <c r="A98">
        <v>21</v>
      </c>
      <c r="B98" t="s">
        <v>66</v>
      </c>
      <c r="C98" t="s">
        <v>12</v>
      </c>
      <c r="D98">
        <v>1971</v>
      </c>
      <c r="E98">
        <v>2102377</v>
      </c>
      <c r="F98">
        <v>46952</v>
      </c>
      <c r="G98">
        <v>1933329</v>
      </c>
      <c r="H98">
        <v>27636</v>
      </c>
      <c r="I98">
        <v>5300</v>
      </c>
      <c r="J98">
        <v>89160</v>
      </c>
      <c r="K98">
        <v>0</v>
      </c>
      <c r="M98">
        <f t="shared" si="4"/>
        <v>28734</v>
      </c>
      <c r="O98">
        <f t="shared" si="2"/>
        <v>14.558579167334353</v>
      </c>
      <c r="P98">
        <f t="shared" si="3"/>
        <v>14.474753945466716</v>
      </c>
      <c r="Q98">
        <f t="shared" si="5"/>
        <v>4.2089175758960513</v>
      </c>
      <c r="R98">
        <f t="shared" si="6"/>
        <v>4.2927427977636885</v>
      </c>
    </row>
    <row r="99" spans="1:27" x14ac:dyDescent="0.25">
      <c r="A99">
        <v>22</v>
      </c>
      <c r="B99" t="s">
        <v>66</v>
      </c>
      <c r="C99" t="s">
        <v>12</v>
      </c>
      <c r="D99">
        <v>1972</v>
      </c>
      <c r="E99">
        <v>2391956</v>
      </c>
      <c r="F99">
        <v>4126</v>
      </c>
      <c r="G99">
        <v>2349375</v>
      </c>
      <c r="H99">
        <v>23351</v>
      </c>
      <c r="I99">
        <v>1108</v>
      </c>
      <c r="J99">
        <v>13996</v>
      </c>
      <c r="K99">
        <v>0</v>
      </c>
      <c r="M99">
        <f t="shared" si="4"/>
        <v>46952</v>
      </c>
      <c r="O99">
        <f t="shared" si="2"/>
        <v>14.687621999234647</v>
      </c>
      <c r="P99">
        <f t="shared" si="3"/>
        <v>14.66965989330058</v>
      </c>
      <c r="Q99">
        <f t="shared" si="5"/>
        <v>3.9127788110624091</v>
      </c>
      <c r="R99">
        <f t="shared" si="6"/>
        <v>3.9307409169964758</v>
      </c>
    </row>
    <row r="100" spans="1:27" x14ac:dyDescent="0.25">
      <c r="A100">
        <v>23</v>
      </c>
      <c r="B100" t="s">
        <v>66</v>
      </c>
      <c r="C100" t="s">
        <v>12</v>
      </c>
      <c r="D100">
        <v>1973</v>
      </c>
      <c r="E100">
        <v>464529</v>
      </c>
      <c r="F100">
        <v>16775</v>
      </c>
      <c r="G100">
        <v>369954</v>
      </c>
      <c r="H100">
        <v>21925</v>
      </c>
      <c r="I100">
        <v>294</v>
      </c>
      <c r="J100">
        <v>55581</v>
      </c>
      <c r="K100">
        <v>0</v>
      </c>
      <c r="M100">
        <f t="shared" si="4"/>
        <v>4126</v>
      </c>
      <c r="O100">
        <f t="shared" si="2"/>
        <v>13.048779268010547</v>
      </c>
      <c r="P100">
        <f t="shared" si="3"/>
        <v>12.821133952567173</v>
      </c>
      <c r="Q100">
        <f t="shared" si="5"/>
        <v>4.4960702589359762</v>
      </c>
      <c r="R100">
        <f t="shared" si="6"/>
        <v>4.7237155743793506</v>
      </c>
    </row>
    <row r="101" spans="1:27" x14ac:dyDescent="0.25">
      <c r="A101">
        <v>24</v>
      </c>
      <c r="B101" t="s">
        <v>66</v>
      </c>
      <c r="C101" t="s">
        <v>12</v>
      </c>
      <c r="D101">
        <v>1974</v>
      </c>
      <c r="E101">
        <v>723368</v>
      </c>
      <c r="F101">
        <v>58786</v>
      </c>
      <c r="G101">
        <v>630046</v>
      </c>
      <c r="H101">
        <v>15839</v>
      </c>
      <c r="I101">
        <v>5423</v>
      </c>
      <c r="J101">
        <v>12146</v>
      </c>
      <c r="K101">
        <v>1128</v>
      </c>
      <c r="M101">
        <f t="shared" si="4"/>
        <v>16775</v>
      </c>
      <c r="O101">
        <f t="shared" si="2"/>
        <v>13.491673361967386</v>
      </c>
      <c r="P101">
        <f t="shared" si="3"/>
        <v>13.353548111575202</v>
      </c>
      <c r="Q101">
        <f t="shared" si="5"/>
        <v>3.6259031497353198</v>
      </c>
      <c r="R101">
        <f t="shared" si="6"/>
        <v>3.7640284001275042</v>
      </c>
    </row>
    <row r="102" spans="1:27" x14ac:dyDescent="0.25">
      <c r="A102">
        <v>25</v>
      </c>
      <c r="B102" t="s">
        <v>66</v>
      </c>
      <c r="C102" t="s">
        <v>12</v>
      </c>
      <c r="D102">
        <v>1975</v>
      </c>
      <c r="E102">
        <v>838396</v>
      </c>
      <c r="F102">
        <v>42709</v>
      </c>
      <c r="G102">
        <v>740253</v>
      </c>
      <c r="H102">
        <v>1084</v>
      </c>
      <c r="I102">
        <v>13222</v>
      </c>
      <c r="J102">
        <v>41128</v>
      </c>
      <c r="K102">
        <v>0</v>
      </c>
      <c r="M102">
        <f t="shared" si="4"/>
        <v>58786</v>
      </c>
      <c r="O102">
        <f t="shared" si="2"/>
        <v>13.639245821545167</v>
      </c>
      <c r="P102">
        <f t="shared" si="3"/>
        <v>13.514747298640529</v>
      </c>
      <c r="Q102">
        <f t="shared" si="5"/>
        <v>2.5330882883410775</v>
      </c>
      <c r="R102">
        <f t="shared" si="6"/>
        <v>2.6575868112457153</v>
      </c>
    </row>
    <row r="103" spans="1:27" x14ac:dyDescent="0.25">
      <c r="A103">
        <v>26</v>
      </c>
      <c r="B103" t="s">
        <v>66</v>
      </c>
      <c r="C103" t="s">
        <v>12</v>
      </c>
      <c r="D103">
        <v>1976</v>
      </c>
      <c r="E103">
        <v>1998190</v>
      </c>
      <c r="F103">
        <v>8835</v>
      </c>
      <c r="G103">
        <v>1947465</v>
      </c>
      <c r="H103">
        <v>0</v>
      </c>
      <c r="I103">
        <v>1309</v>
      </c>
      <c r="J103">
        <v>40581</v>
      </c>
      <c r="K103">
        <v>0</v>
      </c>
      <c r="M103">
        <f t="shared" si="4"/>
        <v>42709</v>
      </c>
      <c r="O103">
        <f t="shared" si="2"/>
        <v>14.507752328764479</v>
      </c>
      <c r="P103">
        <f t="shared" si="3"/>
        <v>14.482039084806882</v>
      </c>
      <c r="Q103">
        <f t="shared" si="5"/>
        <v>3.8198741349659149</v>
      </c>
      <c r="R103">
        <f t="shared" si="6"/>
        <v>3.8455873789235127</v>
      </c>
    </row>
    <row r="104" spans="1:27" x14ac:dyDescent="0.25">
      <c r="A104">
        <v>27</v>
      </c>
      <c r="B104" t="s">
        <v>66</v>
      </c>
      <c r="C104" t="s">
        <v>12</v>
      </c>
      <c r="D104">
        <v>1977</v>
      </c>
      <c r="E104">
        <v>348080</v>
      </c>
      <c r="F104">
        <v>26487</v>
      </c>
      <c r="G104">
        <v>200775</v>
      </c>
      <c r="H104">
        <v>34424</v>
      </c>
      <c r="I104">
        <v>2893</v>
      </c>
      <c r="J104">
        <v>83501</v>
      </c>
      <c r="K104">
        <v>0</v>
      </c>
      <c r="M104">
        <f t="shared" si="4"/>
        <v>8835</v>
      </c>
      <c r="O104">
        <f t="shared" si="2"/>
        <v>12.760187617394562</v>
      </c>
      <c r="P104">
        <f t="shared" si="3"/>
        <v>12.209940157056662</v>
      </c>
      <c r="Q104">
        <f t="shared" si="5"/>
        <v>3.1234637723028662</v>
      </c>
      <c r="R104">
        <f t="shared" si="6"/>
        <v>3.6737112326407648</v>
      </c>
    </row>
    <row r="105" spans="1:27" x14ac:dyDescent="0.25">
      <c r="A105">
        <v>28</v>
      </c>
      <c r="B105" t="s">
        <v>66</v>
      </c>
      <c r="C105" t="s">
        <v>12</v>
      </c>
      <c r="D105">
        <v>1978</v>
      </c>
      <c r="E105">
        <v>702349</v>
      </c>
      <c r="F105">
        <v>22821</v>
      </c>
      <c r="G105">
        <v>641497</v>
      </c>
      <c r="H105">
        <v>6807</v>
      </c>
      <c r="I105">
        <v>3815</v>
      </c>
      <c r="J105">
        <v>27243</v>
      </c>
      <c r="K105">
        <v>166</v>
      </c>
      <c r="M105">
        <f t="shared" si="4"/>
        <v>26487</v>
      </c>
      <c r="O105">
        <f t="shared" si="2"/>
        <v>13.462185710466485</v>
      </c>
      <c r="P105">
        <f t="shared" si="3"/>
        <v>13.371559786487532</v>
      </c>
      <c r="Q105">
        <f t="shared" si="5"/>
        <v>3.1871504609178403</v>
      </c>
      <c r="R105">
        <f t="shared" si="6"/>
        <v>3.2777763848967933</v>
      </c>
      <c r="S105" t="s">
        <v>68</v>
      </c>
    </row>
    <row r="106" spans="1:27" x14ac:dyDescent="0.25">
      <c r="A106">
        <v>29</v>
      </c>
      <c r="B106" t="s">
        <v>66</v>
      </c>
      <c r="C106" t="s">
        <v>12</v>
      </c>
      <c r="D106">
        <v>1979</v>
      </c>
      <c r="E106">
        <v>1460107</v>
      </c>
      <c r="F106">
        <v>8457</v>
      </c>
      <c r="G106">
        <v>1389008</v>
      </c>
      <c r="H106">
        <v>4312</v>
      </c>
      <c r="I106">
        <v>20230</v>
      </c>
      <c r="J106">
        <v>36356</v>
      </c>
      <c r="K106">
        <v>1744</v>
      </c>
      <c r="M106">
        <f t="shared" si="4"/>
        <v>22821</v>
      </c>
      <c r="O106">
        <f t="shared" si="2"/>
        <v>14.194020278670342</v>
      </c>
      <c r="P106">
        <f t="shared" si="3"/>
        <v>14.144100381259131</v>
      </c>
      <c r="Q106">
        <f t="shared" si="5"/>
        <v>4.1086639375937208</v>
      </c>
      <c r="R106">
        <f t="shared" si="6"/>
        <v>4.1585838350049311</v>
      </c>
      <c r="S106" t="s">
        <v>69</v>
      </c>
    </row>
    <row r="107" spans="1:27" x14ac:dyDescent="0.25">
      <c r="A107">
        <v>30</v>
      </c>
      <c r="B107" t="s">
        <v>66</v>
      </c>
      <c r="C107" t="s">
        <v>12</v>
      </c>
      <c r="D107">
        <v>1980</v>
      </c>
      <c r="E107">
        <v>1735811</v>
      </c>
      <c r="F107">
        <v>3346</v>
      </c>
      <c r="G107">
        <v>1650944</v>
      </c>
      <c r="H107">
        <v>7375</v>
      </c>
      <c r="I107">
        <v>334</v>
      </c>
      <c r="J107">
        <v>73812</v>
      </c>
      <c r="K107">
        <v>0</v>
      </c>
      <c r="M107">
        <f t="shared" si="4"/>
        <v>8457</v>
      </c>
      <c r="O107">
        <f t="shared" si="2"/>
        <v>14.366985297307817</v>
      </c>
      <c r="P107">
        <f t="shared" si="3"/>
        <v>14.31685780348994</v>
      </c>
      <c r="Q107">
        <f t="shared" si="5"/>
        <v>5.2741080237077176</v>
      </c>
      <c r="R107">
        <f t="shared" si="6"/>
        <v>5.3242355175255947</v>
      </c>
      <c r="S107">
        <v>5953</v>
      </c>
      <c r="T107">
        <v>60631</v>
      </c>
      <c r="U107">
        <v>0.35210000000000002</v>
      </c>
      <c r="V107" t="s">
        <v>70</v>
      </c>
      <c r="W107" s="8">
        <f>T107*S107^U107</f>
        <v>1293538.1311491318</v>
      </c>
    </row>
    <row r="108" spans="1:27" x14ac:dyDescent="0.25">
      <c r="A108">
        <v>31</v>
      </c>
      <c r="B108" t="s">
        <v>66</v>
      </c>
      <c r="C108" t="s">
        <v>12</v>
      </c>
      <c r="D108">
        <v>1981</v>
      </c>
      <c r="E108">
        <v>238911</v>
      </c>
      <c r="F108">
        <v>8616</v>
      </c>
      <c r="G108">
        <v>190527</v>
      </c>
      <c r="H108">
        <v>25168</v>
      </c>
      <c r="I108">
        <v>0</v>
      </c>
      <c r="J108">
        <v>14210</v>
      </c>
      <c r="K108">
        <v>390</v>
      </c>
      <c r="M108">
        <f t="shared" si="4"/>
        <v>3346</v>
      </c>
      <c r="O108">
        <f t="shared" si="2"/>
        <v>12.383846376623922</v>
      </c>
      <c r="P108">
        <f t="shared" si="3"/>
        <v>12.157549195789287</v>
      </c>
      <c r="Q108">
        <f t="shared" si="5"/>
        <v>4.0420283142425166</v>
      </c>
      <c r="R108">
        <f t="shared" si="6"/>
        <v>4.2683254950771516</v>
      </c>
      <c r="S108" t="s">
        <v>71</v>
      </c>
    </row>
    <row r="109" spans="1:27" ht="15.75" thickBot="1" x14ac:dyDescent="0.3">
      <c r="A109">
        <v>32</v>
      </c>
      <c r="B109" t="s">
        <v>66</v>
      </c>
      <c r="C109" t="s">
        <v>12</v>
      </c>
      <c r="D109">
        <v>1982</v>
      </c>
      <c r="E109">
        <v>1184116</v>
      </c>
      <c r="F109">
        <v>9358</v>
      </c>
      <c r="G109">
        <v>1169034</v>
      </c>
      <c r="H109">
        <v>2743</v>
      </c>
      <c r="I109">
        <v>397</v>
      </c>
      <c r="J109">
        <v>2584</v>
      </c>
      <c r="K109">
        <v>0</v>
      </c>
      <c r="M109">
        <f t="shared" si="4"/>
        <v>8616</v>
      </c>
      <c r="O109">
        <f t="shared" si="2"/>
        <v>13.984507062600024</v>
      </c>
      <c r="P109">
        <f t="shared" si="3"/>
        <v>13.971688324719022</v>
      </c>
      <c r="Q109">
        <f t="shared" si="5"/>
        <v>4.910312105882797</v>
      </c>
      <c r="R109">
        <f t="shared" si="6"/>
        <v>4.9231308437637979</v>
      </c>
      <c r="W109" s="9"/>
    </row>
    <row r="110" spans="1:27" x14ac:dyDescent="0.25">
      <c r="A110">
        <v>33</v>
      </c>
      <c r="B110" t="s">
        <v>66</v>
      </c>
      <c r="C110" t="s">
        <v>12</v>
      </c>
      <c r="D110">
        <v>1983</v>
      </c>
      <c r="E110">
        <v>1716873</v>
      </c>
      <c r="F110">
        <v>12504</v>
      </c>
      <c r="G110">
        <v>1615466</v>
      </c>
      <c r="H110">
        <v>77743</v>
      </c>
      <c r="I110">
        <v>1371</v>
      </c>
      <c r="J110">
        <v>9789</v>
      </c>
      <c r="K110">
        <v>0</v>
      </c>
      <c r="M110">
        <f t="shared" si="4"/>
        <v>9358</v>
      </c>
      <c r="O110">
        <f t="shared" si="2"/>
        <v>14.356015170923826</v>
      </c>
      <c r="P110">
        <f t="shared" si="3"/>
        <v>14.295134017909463</v>
      </c>
      <c r="Q110">
        <f t="shared" si="5"/>
        <v>5.1511471464833019</v>
      </c>
      <c r="R110">
        <f t="shared" si="6"/>
        <v>5.2120282994976641</v>
      </c>
      <c r="S110" s="10" t="s">
        <v>72</v>
      </c>
      <c r="T110" s="11"/>
      <c r="U110" s="11"/>
      <c r="V110" s="11"/>
      <c r="W110" s="12"/>
      <c r="Z110" t="s">
        <v>73</v>
      </c>
    </row>
    <row r="111" spans="1:27" ht="15.75" thickBot="1" x14ac:dyDescent="0.3">
      <c r="A111">
        <v>34</v>
      </c>
      <c r="B111" t="s">
        <v>66</v>
      </c>
      <c r="C111" t="s">
        <v>12</v>
      </c>
      <c r="D111">
        <v>1984</v>
      </c>
      <c r="E111">
        <v>4010144</v>
      </c>
      <c r="F111">
        <v>1722</v>
      </c>
      <c r="G111">
        <v>3920494</v>
      </c>
      <c r="H111">
        <v>72206</v>
      </c>
      <c r="I111">
        <v>414</v>
      </c>
      <c r="J111">
        <v>15308</v>
      </c>
      <c r="K111">
        <v>0</v>
      </c>
      <c r="M111">
        <f t="shared" si="4"/>
        <v>12504</v>
      </c>
      <c r="O111">
        <f t="shared" si="2"/>
        <v>15.204337708862434</v>
      </c>
      <c r="P111">
        <f t="shared" si="3"/>
        <v>15.181728224234904</v>
      </c>
      <c r="Q111">
        <f t="shared" si="5"/>
        <v>5.747924352133591</v>
      </c>
      <c r="R111">
        <f t="shared" si="6"/>
        <v>5.7705338367611212</v>
      </c>
      <c r="S111" s="13" t="s">
        <v>74</v>
      </c>
      <c r="T111" s="4"/>
      <c r="U111" s="4"/>
      <c r="V111" s="4"/>
      <c r="W111" s="14">
        <f>AVERAGE(W107,W47,X47)</f>
        <v>940244.97215851455</v>
      </c>
      <c r="X111">
        <f>LN(W111)</f>
        <v>13.753895728972914</v>
      </c>
      <c r="AA111" t="s">
        <v>75</v>
      </c>
    </row>
    <row r="112" spans="1:27" x14ac:dyDescent="0.25">
      <c r="A112">
        <v>35</v>
      </c>
      <c r="B112" t="s">
        <v>66</v>
      </c>
      <c r="C112" t="s">
        <v>12</v>
      </c>
      <c r="D112">
        <v>1985</v>
      </c>
      <c r="E112">
        <v>749943</v>
      </c>
      <c r="F112">
        <v>52424</v>
      </c>
      <c r="G112">
        <v>180656</v>
      </c>
      <c r="H112">
        <v>473961</v>
      </c>
      <c r="I112">
        <v>2919</v>
      </c>
      <c r="J112">
        <v>32179</v>
      </c>
      <c r="K112">
        <v>7804</v>
      </c>
      <c r="M112">
        <f t="shared" si="4"/>
        <v>1722</v>
      </c>
      <c r="O112">
        <f t="shared" si="2"/>
        <v>13.527752482624347</v>
      </c>
      <c r="P112">
        <f t="shared" si="3"/>
        <v>12.104349949420303</v>
      </c>
      <c r="Q112">
        <f t="shared" si="5"/>
        <v>4.6531082644326274</v>
      </c>
      <c r="R112">
        <f t="shared" si="6"/>
        <v>6.0765107976366712</v>
      </c>
      <c r="S112" t="s">
        <v>76</v>
      </c>
    </row>
    <row r="113" spans="1:18" x14ac:dyDescent="0.25">
      <c r="A113">
        <v>36</v>
      </c>
      <c r="B113" t="s">
        <v>66</v>
      </c>
      <c r="C113" t="s">
        <v>12</v>
      </c>
      <c r="D113">
        <v>1986</v>
      </c>
      <c r="E113">
        <v>1427395</v>
      </c>
      <c r="F113">
        <v>45476</v>
      </c>
      <c r="G113">
        <v>1355953</v>
      </c>
      <c r="H113">
        <v>4547</v>
      </c>
      <c r="I113">
        <v>182</v>
      </c>
      <c r="J113">
        <v>18862</v>
      </c>
      <c r="K113">
        <v>2375</v>
      </c>
      <c r="M113">
        <f t="shared" si="4"/>
        <v>52424</v>
      </c>
      <c r="O113">
        <f t="shared" si="2"/>
        <v>14.171361662640614</v>
      </c>
      <c r="P113">
        <f t="shared" si="3"/>
        <v>14.120015086114819</v>
      </c>
      <c r="Q113">
        <f t="shared" si="5"/>
        <v>3.2528953053954854</v>
      </c>
      <c r="R113">
        <f t="shared" si="6"/>
        <v>3.3042418819212807</v>
      </c>
    </row>
    <row r="114" spans="1:18" x14ac:dyDescent="0.25">
      <c r="A114">
        <v>37</v>
      </c>
      <c r="B114" t="s">
        <v>66</v>
      </c>
      <c r="C114" t="s">
        <v>12</v>
      </c>
      <c r="D114">
        <v>1987</v>
      </c>
      <c r="E114">
        <v>1922927</v>
      </c>
      <c r="F114">
        <v>11108</v>
      </c>
      <c r="G114">
        <v>1717330</v>
      </c>
      <c r="H114">
        <v>131741</v>
      </c>
      <c r="I114">
        <v>5243</v>
      </c>
      <c r="J114">
        <v>57505</v>
      </c>
      <c r="K114">
        <v>0</v>
      </c>
      <c r="M114">
        <f t="shared" si="4"/>
        <v>45476</v>
      </c>
      <c r="O114">
        <f t="shared" si="2"/>
        <v>14.469359062331899</v>
      </c>
      <c r="P114">
        <f t="shared" si="3"/>
        <v>14.356281317102544</v>
      </c>
      <c r="Q114">
        <f t="shared" si="5"/>
        <v>3.631341323853547</v>
      </c>
      <c r="R114">
        <f t="shared" si="6"/>
        <v>3.7444190690829022</v>
      </c>
    </row>
    <row r="115" spans="1:18" x14ac:dyDescent="0.25">
      <c r="A115">
        <v>38</v>
      </c>
      <c r="B115" t="s">
        <v>66</v>
      </c>
      <c r="C115" t="s">
        <v>12</v>
      </c>
      <c r="D115">
        <v>1988</v>
      </c>
      <c r="E115">
        <v>852340</v>
      </c>
      <c r="F115">
        <v>970</v>
      </c>
      <c r="G115">
        <v>500714</v>
      </c>
      <c r="H115">
        <v>36418</v>
      </c>
      <c r="I115">
        <v>1951</v>
      </c>
      <c r="J115">
        <v>310875</v>
      </c>
      <c r="K115">
        <v>1412</v>
      </c>
      <c r="M115">
        <f t="shared" si="4"/>
        <v>11108</v>
      </c>
      <c r="O115">
        <f t="shared" si="2"/>
        <v>13.65574078724064</v>
      </c>
      <c r="P115">
        <f t="shared" si="3"/>
        <v>13.123790358781942</v>
      </c>
      <c r="Q115">
        <f t="shared" si="5"/>
        <v>3.8083695103552517</v>
      </c>
      <c r="R115">
        <f t="shared" si="6"/>
        <v>4.3403199388139493</v>
      </c>
    </row>
    <row r="116" spans="1:18" x14ac:dyDescent="0.25">
      <c r="A116">
        <v>39</v>
      </c>
      <c r="B116" t="s">
        <v>66</v>
      </c>
      <c r="C116" t="s">
        <v>12</v>
      </c>
      <c r="D116">
        <v>1989</v>
      </c>
      <c r="E116">
        <v>576617</v>
      </c>
      <c r="F116">
        <v>47835</v>
      </c>
      <c r="G116">
        <v>366037</v>
      </c>
      <c r="H116">
        <v>2890</v>
      </c>
      <c r="I116">
        <v>1563</v>
      </c>
      <c r="J116">
        <v>153893</v>
      </c>
      <c r="K116">
        <v>4399</v>
      </c>
      <c r="M116">
        <f t="shared" si="4"/>
        <v>970</v>
      </c>
      <c r="O116">
        <f t="shared" si="2"/>
        <v>13.264933546929065</v>
      </c>
      <c r="P116">
        <f t="shared" si="3"/>
        <v>12.810489700170136</v>
      </c>
      <c r="Q116">
        <f t="shared" si="5"/>
        <v>5.9331936286727069</v>
      </c>
      <c r="R116">
        <f t="shared" si="6"/>
        <v>6.3876374754316361</v>
      </c>
    </row>
    <row r="117" spans="1:18" x14ac:dyDescent="0.25">
      <c r="A117">
        <v>40</v>
      </c>
      <c r="B117" t="s">
        <v>66</v>
      </c>
      <c r="C117" t="s">
        <v>12</v>
      </c>
      <c r="D117">
        <v>1990</v>
      </c>
      <c r="E117">
        <v>4634167</v>
      </c>
      <c r="F117">
        <v>11552</v>
      </c>
      <c r="G117">
        <v>4413216</v>
      </c>
      <c r="H117">
        <v>184400</v>
      </c>
      <c r="I117">
        <v>335</v>
      </c>
      <c r="J117">
        <v>18862</v>
      </c>
      <c r="K117">
        <v>5802</v>
      </c>
      <c r="M117">
        <f t="shared" si="4"/>
        <v>47835</v>
      </c>
      <c r="O117">
        <f t="shared" si="2"/>
        <v>15.348967021305253</v>
      </c>
      <c r="P117">
        <f t="shared" si="3"/>
        <v>15.300114233348891</v>
      </c>
      <c r="Q117">
        <f t="shared" si="5"/>
        <v>4.5246013652366228</v>
      </c>
      <c r="R117">
        <f t="shared" si="6"/>
        <v>4.5734541531929853</v>
      </c>
    </row>
    <row r="118" spans="1:18" x14ac:dyDescent="0.25">
      <c r="A118">
        <v>41</v>
      </c>
      <c r="B118" t="s">
        <v>66</v>
      </c>
      <c r="C118" t="s">
        <v>12</v>
      </c>
      <c r="D118">
        <v>1991</v>
      </c>
      <c r="E118">
        <v>4371072</v>
      </c>
      <c r="F118">
        <v>2697</v>
      </c>
      <c r="G118">
        <v>4032356</v>
      </c>
      <c r="H118">
        <v>279555</v>
      </c>
      <c r="I118">
        <v>863</v>
      </c>
      <c r="J118">
        <v>54465</v>
      </c>
      <c r="K118">
        <v>1136</v>
      </c>
      <c r="M118">
        <f t="shared" si="4"/>
        <v>11552</v>
      </c>
      <c r="O118">
        <f t="shared" si="2"/>
        <v>15.290518845912944</v>
      </c>
      <c r="P118">
        <f t="shared" si="3"/>
        <v>15.20986137848648</v>
      </c>
      <c r="Q118">
        <f t="shared" si="5"/>
        <v>5.8552475173538729</v>
      </c>
      <c r="R118">
        <f t="shared" si="6"/>
        <v>5.9359049847803362</v>
      </c>
    </row>
    <row r="119" spans="1:18" x14ac:dyDescent="0.25">
      <c r="A119">
        <v>42</v>
      </c>
      <c r="B119" t="s">
        <v>66</v>
      </c>
      <c r="C119" t="s">
        <v>12</v>
      </c>
      <c r="D119">
        <v>1992</v>
      </c>
      <c r="E119">
        <v>3370308</v>
      </c>
      <c r="F119">
        <v>11841</v>
      </c>
      <c r="G119">
        <v>2979547</v>
      </c>
      <c r="H119">
        <v>316979</v>
      </c>
      <c r="I119">
        <v>797</v>
      </c>
      <c r="J119">
        <v>56111</v>
      </c>
      <c r="K119">
        <v>5033</v>
      </c>
      <c r="M119">
        <f t="shared" si="4"/>
        <v>2697</v>
      </c>
      <c r="O119">
        <f t="shared" si="2"/>
        <v>15.03051469281106</v>
      </c>
      <c r="P119">
        <f t="shared" si="3"/>
        <v>14.907281833503557</v>
      </c>
      <c r="Q119">
        <f t="shared" si="5"/>
        <v>7.0073865103638271</v>
      </c>
      <c r="R119">
        <f t="shared" si="6"/>
        <v>7.1306193696713311</v>
      </c>
    </row>
    <row r="120" spans="1:18" x14ac:dyDescent="0.25">
      <c r="A120">
        <v>43</v>
      </c>
      <c r="B120" t="s">
        <v>66</v>
      </c>
      <c r="C120" t="s">
        <v>12</v>
      </c>
      <c r="D120">
        <v>1993</v>
      </c>
      <c r="E120">
        <v>3344580</v>
      </c>
      <c r="F120">
        <v>13262</v>
      </c>
      <c r="G120">
        <v>3015024</v>
      </c>
      <c r="H120">
        <v>157913</v>
      </c>
      <c r="I120">
        <v>0</v>
      </c>
      <c r="J120">
        <v>155406</v>
      </c>
      <c r="K120">
        <v>2975</v>
      </c>
      <c r="M120">
        <f t="shared" si="4"/>
        <v>11841</v>
      </c>
      <c r="O120">
        <f t="shared" si="2"/>
        <v>15.022851683122965</v>
      </c>
      <c r="P120">
        <f t="shared" si="3"/>
        <v>14.919118348310745</v>
      </c>
      <c r="Q120">
        <f t="shared" si="5"/>
        <v>5.5397949839797889</v>
      </c>
      <c r="R120">
        <f t="shared" si="6"/>
        <v>5.6435283187920078</v>
      </c>
    </row>
    <row r="121" spans="1:18" x14ac:dyDescent="0.25">
      <c r="A121">
        <v>44</v>
      </c>
      <c r="B121" t="s">
        <v>66</v>
      </c>
      <c r="C121" t="s">
        <v>12</v>
      </c>
      <c r="D121">
        <v>1994</v>
      </c>
      <c r="E121">
        <v>2512232</v>
      </c>
      <c r="F121">
        <v>4495</v>
      </c>
      <c r="G121">
        <v>2412516</v>
      </c>
      <c r="H121">
        <v>86942</v>
      </c>
      <c r="I121">
        <v>4715</v>
      </c>
      <c r="J121">
        <v>3564</v>
      </c>
      <c r="K121">
        <v>0</v>
      </c>
      <c r="M121">
        <f t="shared" si="4"/>
        <v>13262</v>
      </c>
      <c r="O121">
        <f t="shared" si="2"/>
        <v>14.736682158993508</v>
      </c>
      <c r="P121">
        <f t="shared" si="3"/>
        <v>14.696180744297639</v>
      </c>
      <c r="Q121">
        <f t="shared" si="5"/>
        <v>5.2035226623688251</v>
      </c>
      <c r="R121">
        <f t="shared" si="6"/>
        <v>5.2440240770646955</v>
      </c>
    </row>
    <row r="122" spans="1:18" x14ac:dyDescent="0.25">
      <c r="A122">
        <v>45</v>
      </c>
      <c r="B122" t="s">
        <v>66</v>
      </c>
      <c r="C122" t="s">
        <v>12</v>
      </c>
      <c r="D122">
        <v>1995</v>
      </c>
      <c r="E122">
        <v>1329086</v>
      </c>
      <c r="F122">
        <v>3754</v>
      </c>
      <c r="G122">
        <v>1126703</v>
      </c>
      <c r="H122">
        <v>178745</v>
      </c>
      <c r="I122">
        <v>537</v>
      </c>
      <c r="J122">
        <v>19347</v>
      </c>
      <c r="K122">
        <v>0</v>
      </c>
      <c r="M122">
        <f t="shared" si="4"/>
        <v>4495</v>
      </c>
      <c r="O122">
        <f t="shared" si="2"/>
        <v>14.100002045910264</v>
      </c>
      <c r="P122">
        <f t="shared" si="3"/>
        <v>13.93480622679183</v>
      </c>
      <c r="Q122">
        <f t="shared" si="5"/>
        <v>5.5240852798861093</v>
      </c>
      <c r="R122">
        <f t="shared" si="6"/>
        <v>5.6892810990045426</v>
      </c>
    </row>
    <row r="123" spans="1:18" x14ac:dyDescent="0.25">
      <c r="A123">
        <v>46</v>
      </c>
      <c r="B123" t="s">
        <v>66</v>
      </c>
      <c r="C123" t="s">
        <v>12</v>
      </c>
      <c r="D123">
        <v>1996</v>
      </c>
      <c r="E123">
        <v>2043114</v>
      </c>
      <c r="F123">
        <v>18173</v>
      </c>
      <c r="G123">
        <v>1773513</v>
      </c>
      <c r="H123">
        <v>128342</v>
      </c>
      <c r="I123">
        <v>614</v>
      </c>
      <c r="J123">
        <v>122472</v>
      </c>
      <c r="K123">
        <v>0</v>
      </c>
      <c r="M123">
        <f t="shared" si="4"/>
        <v>3754</v>
      </c>
      <c r="O123">
        <f t="shared" si="2"/>
        <v>14.529985672536666</v>
      </c>
      <c r="P123">
        <f t="shared" si="3"/>
        <v>14.388472883307093</v>
      </c>
      <c r="Q123">
        <f t="shared" si="5"/>
        <v>6.1578956661606394</v>
      </c>
      <c r="R123">
        <f t="shared" si="6"/>
        <v>6.2994084553902123</v>
      </c>
    </row>
    <row r="124" spans="1:18" x14ac:dyDescent="0.25">
      <c r="A124">
        <v>47</v>
      </c>
      <c r="B124" t="s">
        <v>66</v>
      </c>
      <c r="C124" t="s">
        <v>12</v>
      </c>
      <c r="D124">
        <v>1997</v>
      </c>
      <c r="E124">
        <v>3480174</v>
      </c>
      <c r="F124">
        <v>10606</v>
      </c>
      <c r="G124">
        <v>3380892</v>
      </c>
      <c r="H124">
        <v>78754</v>
      </c>
      <c r="I124">
        <v>208</v>
      </c>
      <c r="J124">
        <v>9714</v>
      </c>
      <c r="K124">
        <v>0</v>
      </c>
      <c r="M124">
        <f t="shared" si="4"/>
        <v>18173</v>
      </c>
      <c r="O124">
        <f t="shared" si="2"/>
        <v>15.0625928505007</v>
      </c>
      <c r="P124">
        <f t="shared" si="3"/>
        <v>15.03365013796776</v>
      </c>
      <c r="Q124">
        <f t="shared" si="5"/>
        <v>5.2259578828864992</v>
      </c>
      <c r="R124">
        <f t="shared" si="6"/>
        <v>5.2549005954194374</v>
      </c>
    </row>
    <row r="125" spans="1:18" x14ac:dyDescent="0.25">
      <c r="A125">
        <v>48</v>
      </c>
      <c r="B125" t="s">
        <v>66</v>
      </c>
      <c r="C125" t="s">
        <v>12</v>
      </c>
      <c r="D125">
        <v>1998</v>
      </c>
      <c r="E125">
        <v>1899495</v>
      </c>
      <c r="F125">
        <v>2778</v>
      </c>
      <c r="G125">
        <v>1331935</v>
      </c>
      <c r="H125">
        <v>548667</v>
      </c>
      <c r="I125">
        <v>184</v>
      </c>
      <c r="J125">
        <v>15931</v>
      </c>
      <c r="K125">
        <v>0</v>
      </c>
      <c r="M125">
        <f t="shared" si="4"/>
        <v>10606</v>
      </c>
      <c r="O125">
        <f t="shared" si="2"/>
        <v>14.457098619334703</v>
      </c>
      <c r="P125">
        <f t="shared" si="3"/>
        <v>14.102143330092973</v>
      </c>
      <c r="Q125">
        <f t="shared" si="5"/>
        <v>4.8329681723958977</v>
      </c>
      <c r="R125">
        <f t="shared" si="6"/>
        <v>5.1879234616376273</v>
      </c>
    </row>
    <row r="126" spans="1:18" x14ac:dyDescent="0.25">
      <c r="A126">
        <v>49</v>
      </c>
      <c r="B126" t="s">
        <v>66</v>
      </c>
      <c r="C126" t="s">
        <v>12</v>
      </c>
      <c r="D126">
        <v>1999</v>
      </c>
      <c r="E126">
        <v>1122964</v>
      </c>
      <c r="F126">
        <v>359</v>
      </c>
      <c r="G126">
        <v>1045307</v>
      </c>
      <c r="H126">
        <v>72717</v>
      </c>
      <c r="I126">
        <v>36</v>
      </c>
      <c r="J126">
        <v>4545</v>
      </c>
      <c r="K126">
        <v>0</v>
      </c>
      <c r="M126">
        <f t="shared" si="4"/>
        <v>2778</v>
      </c>
      <c r="O126">
        <f t="shared" si="2"/>
        <v>13.931482176216539</v>
      </c>
      <c r="P126">
        <f t="shared" si="3"/>
        <v>13.859821180140488</v>
      </c>
      <c r="Q126">
        <f t="shared" si="5"/>
        <v>5.930334656826199</v>
      </c>
      <c r="R126">
        <f t="shared" si="6"/>
        <v>6.0019956529022505</v>
      </c>
    </row>
    <row r="127" spans="1:18" x14ac:dyDescent="0.25">
      <c r="A127">
        <v>50</v>
      </c>
      <c r="B127" t="s">
        <v>66</v>
      </c>
      <c r="C127" t="s">
        <v>12</v>
      </c>
      <c r="D127">
        <v>2000</v>
      </c>
      <c r="E127">
        <v>1399857</v>
      </c>
      <c r="F127">
        <v>222</v>
      </c>
      <c r="G127">
        <v>1175834</v>
      </c>
      <c r="H127">
        <v>179013</v>
      </c>
      <c r="I127">
        <v>0</v>
      </c>
      <c r="J127">
        <v>44788</v>
      </c>
      <c r="K127">
        <v>0</v>
      </c>
      <c r="M127">
        <f t="shared" si="4"/>
        <v>359</v>
      </c>
      <c r="O127">
        <f t="shared" si="2"/>
        <v>14.151880646511406</v>
      </c>
      <c r="P127">
        <f t="shared" si="3"/>
        <v>13.977488241014614</v>
      </c>
      <c r="Q127">
        <f t="shared" si="5"/>
        <v>8.0941658525263342</v>
      </c>
      <c r="R127">
        <f t="shared" si="6"/>
        <v>8.2685582580231287</v>
      </c>
    </row>
    <row r="128" spans="1:18" x14ac:dyDescent="0.25">
      <c r="A128">
        <v>51</v>
      </c>
      <c r="B128" t="s">
        <v>66</v>
      </c>
      <c r="C128" t="s">
        <v>12</v>
      </c>
      <c r="D128">
        <v>2001</v>
      </c>
      <c r="E128">
        <v>853263</v>
      </c>
      <c r="F128">
        <v>1084</v>
      </c>
      <c r="G128">
        <v>663879</v>
      </c>
      <c r="H128">
        <v>159331</v>
      </c>
      <c r="I128">
        <v>0</v>
      </c>
      <c r="J128">
        <v>26555</v>
      </c>
      <c r="K128">
        <v>2414</v>
      </c>
      <c r="M128">
        <f t="shared" si="4"/>
        <v>222</v>
      </c>
      <c r="O128">
        <f t="shared" si="2"/>
        <v>13.656823102515766</v>
      </c>
      <c r="P128">
        <f t="shared" si="3"/>
        <v>13.405855182937202</v>
      </c>
      <c r="Q128">
        <f t="shared" si="5"/>
        <v>8.0031778010649219</v>
      </c>
      <c r="R128">
        <f t="shared" si="6"/>
        <v>8.2541457206434874</v>
      </c>
    </row>
    <row r="129" spans="1:18" x14ac:dyDescent="0.25">
      <c r="A129">
        <v>52</v>
      </c>
      <c r="B129" t="s">
        <v>66</v>
      </c>
      <c r="C129" t="s">
        <v>12</v>
      </c>
      <c r="D129">
        <v>2002</v>
      </c>
      <c r="E129">
        <v>648667</v>
      </c>
      <c r="F129">
        <v>2228</v>
      </c>
      <c r="G129">
        <v>423716</v>
      </c>
      <c r="H129">
        <v>204615</v>
      </c>
      <c r="I129">
        <v>0</v>
      </c>
      <c r="J129">
        <v>16297</v>
      </c>
      <c r="K129">
        <v>1811</v>
      </c>
      <c r="M129">
        <f t="shared" si="4"/>
        <v>1084</v>
      </c>
      <c r="O129">
        <f t="shared" si="2"/>
        <v>13.382674766934461</v>
      </c>
      <c r="P129">
        <f t="shared" si="3"/>
        <v>12.956818698469517</v>
      </c>
      <c r="Q129">
        <f t="shared" si="5"/>
        <v>5.9684055164699261</v>
      </c>
      <c r="R129">
        <f t="shared" si="6"/>
        <v>6.3942615849348687</v>
      </c>
    </row>
    <row r="130" spans="1:18" x14ac:dyDescent="0.25">
      <c r="A130">
        <v>53</v>
      </c>
      <c r="B130" t="s">
        <v>66</v>
      </c>
      <c r="C130" t="s">
        <v>12</v>
      </c>
      <c r="D130">
        <v>2003</v>
      </c>
      <c r="E130">
        <v>1562429</v>
      </c>
      <c r="F130">
        <v>3918</v>
      </c>
      <c r="G130">
        <v>1449980</v>
      </c>
      <c r="H130">
        <v>73801</v>
      </c>
      <c r="I130">
        <v>0</v>
      </c>
      <c r="J130">
        <v>34730</v>
      </c>
      <c r="K130">
        <v>0</v>
      </c>
      <c r="M130">
        <f t="shared" si="4"/>
        <v>2228</v>
      </c>
      <c r="O130">
        <f t="shared" si="2"/>
        <v>14.261752219560266</v>
      </c>
      <c r="P130">
        <f t="shared" si="3"/>
        <v>14.187060321198183</v>
      </c>
      <c r="Q130">
        <f t="shared" si="5"/>
        <v>6.4782007201510083</v>
      </c>
      <c r="R130">
        <f t="shared" si="6"/>
        <v>6.5528926185130905</v>
      </c>
    </row>
    <row r="131" spans="1:18" x14ac:dyDescent="0.25">
      <c r="A131">
        <v>54</v>
      </c>
      <c r="B131" t="s">
        <v>66</v>
      </c>
      <c r="C131" t="s">
        <v>12</v>
      </c>
      <c r="D131">
        <v>2004</v>
      </c>
      <c r="E131">
        <v>546611</v>
      </c>
      <c r="F131">
        <v>176</v>
      </c>
      <c r="G131">
        <v>424960</v>
      </c>
      <c r="H131">
        <v>109275</v>
      </c>
      <c r="I131">
        <v>59</v>
      </c>
      <c r="J131">
        <v>9106</v>
      </c>
      <c r="K131">
        <v>3035</v>
      </c>
      <c r="M131">
        <f t="shared" si="4"/>
        <v>3918</v>
      </c>
      <c r="O131">
        <f t="shared" si="2"/>
        <v>13.211492676679027</v>
      </c>
      <c r="P131">
        <f t="shared" si="3"/>
        <v>12.959750325830152</v>
      </c>
      <c r="Q131">
        <f t="shared" si="5"/>
        <v>4.6864137273256654</v>
      </c>
      <c r="R131">
        <f t="shared" si="6"/>
        <v>4.9381560781745408</v>
      </c>
    </row>
    <row r="132" spans="1:18" x14ac:dyDescent="0.25">
      <c r="A132">
        <v>55</v>
      </c>
      <c r="B132" t="s">
        <v>66</v>
      </c>
      <c r="C132" t="s">
        <v>12</v>
      </c>
      <c r="D132">
        <v>2005</v>
      </c>
      <c r="E132">
        <v>1075508</v>
      </c>
      <c r="F132">
        <v>4514</v>
      </c>
      <c r="G132">
        <v>1001606</v>
      </c>
      <c r="H132">
        <v>27152</v>
      </c>
      <c r="I132">
        <v>0</v>
      </c>
      <c r="J132">
        <v>42236</v>
      </c>
      <c r="K132">
        <v>0</v>
      </c>
      <c r="M132">
        <f t="shared" si="4"/>
        <v>176</v>
      </c>
      <c r="O132">
        <f t="shared" si="2"/>
        <v>13.888303666063001</v>
      </c>
      <c r="P132">
        <f t="shared" si="3"/>
        <v>13.817115269725365</v>
      </c>
      <c r="Q132">
        <f t="shared" si="5"/>
        <v>8.6466312746872127</v>
      </c>
      <c r="R132">
        <f t="shared" si="6"/>
        <v>8.7178196710248486</v>
      </c>
    </row>
    <row r="133" spans="1:18" x14ac:dyDescent="0.25">
      <c r="A133">
        <v>56</v>
      </c>
      <c r="B133" t="s">
        <v>66</v>
      </c>
      <c r="C133" t="s">
        <v>12</v>
      </c>
      <c r="D133">
        <v>2006</v>
      </c>
      <c r="E133">
        <v>1280343</v>
      </c>
      <c r="F133">
        <v>557</v>
      </c>
      <c r="G133">
        <v>1119367</v>
      </c>
      <c r="H133">
        <v>89122</v>
      </c>
      <c r="I133">
        <v>0</v>
      </c>
      <c r="J133">
        <v>67732</v>
      </c>
      <c r="K133">
        <v>3565</v>
      </c>
      <c r="M133">
        <f t="shared" si="4"/>
        <v>4514</v>
      </c>
      <c r="O133">
        <f t="shared" si="2"/>
        <v>14.062638568748588</v>
      </c>
      <c r="P133">
        <f t="shared" si="3"/>
        <v>13.928273904926236</v>
      </c>
      <c r="Q133">
        <f t="shared" si="5"/>
        <v>5.5133349475487554</v>
      </c>
      <c r="R133">
        <f t="shared" si="6"/>
        <v>5.647699611371106</v>
      </c>
    </row>
    <row r="134" spans="1:18" x14ac:dyDescent="0.25">
      <c r="A134">
        <v>57</v>
      </c>
      <c r="B134" t="s">
        <v>66</v>
      </c>
      <c r="C134" t="s">
        <v>12</v>
      </c>
      <c r="D134">
        <v>2007</v>
      </c>
      <c r="E134">
        <v>437555</v>
      </c>
      <c r="F134">
        <v>854</v>
      </c>
      <c r="G134">
        <v>321849</v>
      </c>
      <c r="H134">
        <v>106118</v>
      </c>
      <c r="I134">
        <v>0</v>
      </c>
      <c r="J134">
        <v>8734</v>
      </c>
      <c r="K134">
        <v>0</v>
      </c>
      <c r="M134">
        <f t="shared" si="4"/>
        <v>557</v>
      </c>
      <c r="O134">
        <f t="shared" si="2"/>
        <v>12.988957691164142</v>
      </c>
      <c r="P134">
        <f t="shared" si="3"/>
        <v>12.681837770438495</v>
      </c>
      <c r="Q134">
        <f t="shared" si="5"/>
        <v>6.3592725305112117</v>
      </c>
      <c r="R134">
        <f t="shared" si="6"/>
        <v>6.6663924512368578</v>
      </c>
    </row>
    <row r="135" spans="1:18" x14ac:dyDescent="0.25">
      <c r="A135">
        <v>58</v>
      </c>
      <c r="B135" t="s">
        <v>66</v>
      </c>
      <c r="C135" t="s">
        <v>12</v>
      </c>
      <c r="D135">
        <v>2008</v>
      </c>
      <c r="E135">
        <v>449941</v>
      </c>
      <c r="F135">
        <v>720</v>
      </c>
      <c r="G135">
        <v>388845</v>
      </c>
      <c r="H135">
        <v>29357</v>
      </c>
      <c r="I135">
        <v>0</v>
      </c>
      <c r="J135">
        <v>30465</v>
      </c>
      <c r="K135">
        <v>554</v>
      </c>
      <c r="M135">
        <f t="shared" si="4"/>
        <v>854</v>
      </c>
      <c r="O135">
        <f t="shared" si="2"/>
        <v>13.016871742039578</v>
      </c>
      <c r="P135">
        <f t="shared" si="3"/>
        <v>12.870936085611719</v>
      </c>
      <c r="Q135">
        <f t="shared" si="5"/>
        <v>6.1210048918231497</v>
      </c>
      <c r="R135">
        <f t="shared" si="6"/>
        <v>6.2669405482510081</v>
      </c>
    </row>
    <row r="136" spans="1:18" x14ac:dyDescent="0.25">
      <c r="A136">
        <v>59</v>
      </c>
      <c r="B136" t="s">
        <v>66</v>
      </c>
      <c r="C136" t="s">
        <v>12</v>
      </c>
      <c r="D136">
        <v>2009</v>
      </c>
      <c r="E136">
        <v>308867</v>
      </c>
      <c r="F136">
        <v>5283</v>
      </c>
      <c r="G136">
        <v>262920</v>
      </c>
      <c r="H136">
        <v>35584</v>
      </c>
      <c r="I136">
        <v>216</v>
      </c>
      <c r="J136">
        <v>2432</v>
      </c>
      <c r="K136">
        <v>2432</v>
      </c>
      <c r="M136">
        <f t="shared" si="4"/>
        <v>720</v>
      </c>
      <c r="O136">
        <f t="shared" si="2"/>
        <v>12.640666042510325</v>
      </c>
      <c r="P136">
        <f t="shared" si="3"/>
        <v>12.479605082377512</v>
      </c>
      <c r="Q136">
        <f t="shared" si="5"/>
        <v>5.9003538703674119</v>
      </c>
      <c r="R136">
        <f t="shared" si="6"/>
        <v>6.0614148305002242</v>
      </c>
    </row>
    <row r="137" spans="1:18" x14ac:dyDescent="0.25">
      <c r="A137">
        <v>60</v>
      </c>
      <c r="B137" t="s">
        <v>66</v>
      </c>
      <c r="C137" t="s">
        <v>12</v>
      </c>
      <c r="D137">
        <v>2010</v>
      </c>
      <c r="E137">
        <v>4540036</v>
      </c>
      <c r="F137">
        <v>2996</v>
      </c>
      <c r="G137">
        <v>4462878</v>
      </c>
      <c r="H137">
        <v>27406</v>
      </c>
      <c r="I137">
        <v>369</v>
      </c>
      <c r="J137">
        <v>46387</v>
      </c>
      <c r="K137">
        <v>0</v>
      </c>
      <c r="M137">
        <f t="shared" si="4"/>
        <v>5283</v>
      </c>
      <c r="O137">
        <f t="shared" si="2"/>
        <v>15.328445499501511</v>
      </c>
      <c r="P137">
        <f t="shared" si="3"/>
        <v>15.311304407365045</v>
      </c>
      <c r="Q137">
        <f t="shared" si="5"/>
        <v>6.7390550102007278</v>
      </c>
      <c r="R137">
        <f t="shared" si="6"/>
        <v>6.7561961023371948</v>
      </c>
    </row>
    <row r="138" spans="1:18" x14ac:dyDescent="0.25">
      <c r="A138">
        <v>61</v>
      </c>
      <c r="B138" t="s">
        <v>66</v>
      </c>
      <c r="C138" t="s">
        <v>12</v>
      </c>
      <c r="D138">
        <v>2011</v>
      </c>
      <c r="E138">
        <v>1692466</v>
      </c>
      <c r="F138">
        <v>2364</v>
      </c>
      <c r="G138">
        <v>1164212</v>
      </c>
      <c r="H138">
        <v>405912</v>
      </c>
      <c r="I138">
        <v>537</v>
      </c>
      <c r="J138">
        <v>119441</v>
      </c>
      <c r="K138">
        <v>0</v>
      </c>
      <c r="M138">
        <f t="shared" si="4"/>
        <v>2996</v>
      </c>
      <c r="O138">
        <f t="shared" si="2"/>
        <v>14.341697194940496</v>
      </c>
      <c r="P138">
        <f t="shared" si="3"/>
        <v>13.967555021273951</v>
      </c>
      <c r="Q138">
        <f t="shared" si="5"/>
        <v>5.9625216766368414</v>
      </c>
      <c r="R138">
        <f t="shared" si="6"/>
        <v>6.3366638503033856</v>
      </c>
    </row>
    <row r="139" spans="1:18" x14ac:dyDescent="0.25">
      <c r="A139">
        <v>62</v>
      </c>
      <c r="B139" t="s">
        <v>66</v>
      </c>
      <c r="C139" t="s">
        <v>12</v>
      </c>
      <c r="D139">
        <v>2012</v>
      </c>
      <c r="E139">
        <v>551255</v>
      </c>
      <c r="F139">
        <v>1271</v>
      </c>
      <c r="G139">
        <v>496271</v>
      </c>
      <c r="H139">
        <v>20850</v>
      </c>
      <c r="I139">
        <v>0</v>
      </c>
      <c r="J139">
        <v>32863</v>
      </c>
      <c r="K139">
        <v>0</v>
      </c>
      <c r="M139">
        <f t="shared" si="4"/>
        <v>2364</v>
      </c>
      <c r="O139">
        <f t="shared" si="2"/>
        <v>13.219952775996843</v>
      </c>
      <c r="P139">
        <f t="shared" si="3"/>
        <v>13.114877427468535</v>
      </c>
      <c r="Q139">
        <f t="shared" si="5"/>
        <v>5.3467670489425458</v>
      </c>
      <c r="R139">
        <f t="shared" si="6"/>
        <v>5.4518423974708536</v>
      </c>
    </row>
    <row r="140" spans="1:18" x14ac:dyDescent="0.25">
      <c r="A140">
        <v>63</v>
      </c>
      <c r="B140" t="s">
        <v>66</v>
      </c>
      <c r="C140" t="s">
        <v>12</v>
      </c>
      <c r="D140">
        <v>2013</v>
      </c>
      <c r="E140">
        <v>1747708</v>
      </c>
      <c r="F140">
        <v>44119</v>
      </c>
      <c r="G140">
        <v>1628663</v>
      </c>
      <c r="H140">
        <v>59565</v>
      </c>
      <c r="I140">
        <v>0</v>
      </c>
      <c r="J140">
        <v>15361</v>
      </c>
      <c r="K140">
        <v>0</v>
      </c>
      <c r="M140">
        <f t="shared" si="4"/>
        <v>1271</v>
      </c>
      <c r="O140">
        <f t="shared" si="2"/>
        <v>14.373815773188618</v>
      </c>
      <c r="P140">
        <f t="shared" si="3"/>
        <v>14.303269990798848</v>
      </c>
      <c r="Q140">
        <f t="shared" si="5"/>
        <v>7.1557107196093934</v>
      </c>
      <c r="R140">
        <f t="shared" si="6"/>
        <v>7.2262565019991634</v>
      </c>
    </row>
    <row r="141" spans="1:18" x14ac:dyDescent="0.25">
      <c r="A141">
        <v>64</v>
      </c>
      <c r="B141" t="s">
        <v>66</v>
      </c>
      <c r="C141" t="s">
        <v>12</v>
      </c>
      <c r="D141">
        <v>2014</v>
      </c>
      <c r="E141">
        <v>2863174</v>
      </c>
      <c r="F141">
        <v>3493</v>
      </c>
      <c r="G141">
        <v>2637175</v>
      </c>
      <c r="H141">
        <v>221342</v>
      </c>
      <c r="I141">
        <v>1164</v>
      </c>
      <c r="J141">
        <v>0</v>
      </c>
      <c r="K141">
        <v>0</v>
      </c>
      <c r="M141">
        <f t="shared" si="4"/>
        <v>44119</v>
      </c>
      <c r="O141">
        <f t="shared" si="2"/>
        <v>14.86744135764391</v>
      </c>
      <c r="P141">
        <f t="shared" si="3"/>
        <v>14.785218826425098</v>
      </c>
      <c r="Q141">
        <f t="shared" si="5"/>
        <v>4.0905730187723659</v>
      </c>
      <c r="R141">
        <f t="shared" si="6"/>
        <v>4.1727955499911795</v>
      </c>
    </row>
    <row r="142" spans="1:18" x14ac:dyDescent="0.25">
      <c r="A142">
        <v>65</v>
      </c>
      <c r="B142" t="s">
        <v>66</v>
      </c>
      <c r="C142" t="s">
        <v>12</v>
      </c>
      <c r="D142">
        <v>2015</v>
      </c>
      <c r="E142">
        <v>1001669</v>
      </c>
      <c r="F142">
        <v>2479</v>
      </c>
      <c r="G142">
        <v>878488</v>
      </c>
      <c r="H142">
        <v>111174</v>
      </c>
      <c r="I142">
        <v>0</v>
      </c>
      <c r="J142">
        <v>6829</v>
      </c>
      <c r="K142">
        <v>2699</v>
      </c>
      <c r="M142">
        <f t="shared" si="4"/>
        <v>3493</v>
      </c>
      <c r="O142">
        <f t="shared" si="2"/>
        <v>13.817178166731537</v>
      </c>
      <c r="P142">
        <f t="shared" si="3"/>
        <v>13.685957526868869</v>
      </c>
      <c r="Q142">
        <f t="shared" si="5"/>
        <v>5.5274412820620373</v>
      </c>
      <c r="R142">
        <f t="shared" si="6"/>
        <v>5.6586619219247059</v>
      </c>
    </row>
    <row r="143" spans="1:18" x14ac:dyDescent="0.25">
      <c r="A143">
        <v>66</v>
      </c>
      <c r="B143" t="s">
        <v>66</v>
      </c>
      <c r="C143" t="s">
        <v>12</v>
      </c>
      <c r="D143">
        <v>2016</v>
      </c>
      <c r="E143">
        <v>287625</v>
      </c>
      <c r="F143">
        <v>905</v>
      </c>
      <c r="G143">
        <v>195956</v>
      </c>
      <c r="H143">
        <v>87631</v>
      </c>
      <c r="I143">
        <v>0</v>
      </c>
      <c r="J143">
        <v>2504</v>
      </c>
      <c r="K143">
        <v>0</v>
      </c>
      <c r="M143">
        <f t="shared" si="4"/>
        <v>2479</v>
      </c>
      <c r="O143">
        <f t="shared" ref="O143:O151" si="7">LN(E143)</f>
        <v>12.569412827337667</v>
      </c>
      <c r="P143">
        <f t="shared" ref="P143:P151" si="8">LN(G143)</f>
        <v>12.18564542321513</v>
      </c>
      <c r="Q143">
        <f t="shared" si="5"/>
        <v>4.3700348911799392</v>
      </c>
      <c r="R143">
        <f t="shared" si="6"/>
        <v>4.7538022953024761</v>
      </c>
    </row>
    <row r="144" spans="1:18" x14ac:dyDescent="0.25">
      <c r="A144">
        <v>67</v>
      </c>
      <c r="B144" t="s">
        <v>66</v>
      </c>
      <c r="C144" t="s">
        <v>12</v>
      </c>
      <c r="D144">
        <v>2017</v>
      </c>
      <c r="E144">
        <v>463257</v>
      </c>
      <c r="F144">
        <v>2932</v>
      </c>
      <c r="G144">
        <v>426237</v>
      </c>
      <c r="H144">
        <v>34088</v>
      </c>
      <c r="I144">
        <v>0</v>
      </c>
      <c r="J144">
        <v>0</v>
      </c>
      <c r="K144">
        <v>0</v>
      </c>
      <c r="M144">
        <f t="shared" ref="M144:M152" si="9">F143</f>
        <v>905</v>
      </c>
      <c r="O144">
        <f t="shared" si="7"/>
        <v>13.046037254664851</v>
      </c>
      <c r="P144">
        <f t="shared" si="8"/>
        <v>12.962750808581049</v>
      </c>
      <c r="Q144">
        <f t="shared" ref="Q144:Q150" si="10">LN(G144/F143)</f>
        <v>6.1548158648811233</v>
      </c>
      <c r="R144">
        <f t="shared" ref="R144:R151" si="11">LN(E144/F143)</f>
        <v>6.2381023109649245</v>
      </c>
    </row>
    <row r="145" spans="1:18" x14ac:dyDescent="0.25">
      <c r="A145">
        <v>68</v>
      </c>
      <c r="B145" t="s">
        <v>66</v>
      </c>
      <c r="C145" t="s">
        <v>12</v>
      </c>
      <c r="D145">
        <v>2018</v>
      </c>
      <c r="E145">
        <v>1608774</v>
      </c>
      <c r="F145">
        <v>1480</v>
      </c>
      <c r="G145">
        <v>1555820</v>
      </c>
      <c r="H145">
        <v>51474</v>
      </c>
      <c r="I145">
        <v>0</v>
      </c>
      <c r="J145">
        <v>0</v>
      </c>
      <c r="K145">
        <v>0</v>
      </c>
      <c r="M145">
        <f t="shared" si="9"/>
        <v>2932</v>
      </c>
      <c r="O145">
        <f t="shared" si="7"/>
        <v>14.290982956196114</v>
      </c>
      <c r="P145">
        <f t="shared" si="8"/>
        <v>14.257513295794951</v>
      </c>
      <c r="Q145">
        <f t="shared" si="10"/>
        <v>6.2740732327884086</v>
      </c>
      <c r="R145">
        <f t="shared" si="11"/>
        <v>6.307542893189571</v>
      </c>
    </row>
    <row r="146" spans="1:18" x14ac:dyDescent="0.25">
      <c r="A146">
        <v>69</v>
      </c>
      <c r="B146" t="s">
        <v>66</v>
      </c>
      <c r="C146" t="s">
        <v>12</v>
      </c>
      <c r="D146">
        <v>2019</v>
      </c>
      <c r="E146">
        <v>251448</v>
      </c>
      <c r="F146">
        <v>157</v>
      </c>
      <c r="G146">
        <v>164957</v>
      </c>
      <c r="H146">
        <v>84808</v>
      </c>
      <c r="I146">
        <v>104</v>
      </c>
      <c r="J146">
        <v>1422</v>
      </c>
      <c r="K146">
        <v>0</v>
      </c>
      <c r="M146">
        <f t="shared" si="9"/>
        <v>1480</v>
      </c>
      <c r="O146">
        <f t="shared" si="7"/>
        <v>12.434991487700911</v>
      </c>
      <c r="P146">
        <f t="shared" si="8"/>
        <v>12.013440112858451</v>
      </c>
      <c r="Q146">
        <f t="shared" si="10"/>
        <v>4.7136427461002901</v>
      </c>
      <c r="R146">
        <f t="shared" si="11"/>
        <v>5.1351941209427494</v>
      </c>
    </row>
    <row r="147" spans="1:18" x14ac:dyDescent="0.25">
      <c r="A147">
        <v>70</v>
      </c>
      <c r="B147" t="s">
        <v>66</v>
      </c>
      <c r="C147" t="s">
        <v>12</v>
      </c>
      <c r="D147">
        <v>2020</v>
      </c>
      <c r="E147">
        <v>77511</v>
      </c>
      <c r="F147">
        <v>1149</v>
      </c>
      <c r="G147">
        <v>26869</v>
      </c>
      <c r="H147">
        <v>48227</v>
      </c>
      <c r="I147">
        <v>0</v>
      </c>
      <c r="J147">
        <v>1112</v>
      </c>
      <c r="K147">
        <v>154</v>
      </c>
      <c r="M147">
        <f t="shared" si="9"/>
        <v>157</v>
      </c>
      <c r="O147">
        <f t="shared" si="7"/>
        <v>11.258175140753421</v>
      </c>
      <c r="P147">
        <f t="shared" si="8"/>
        <v>10.19872848469072</v>
      </c>
      <c r="Q147">
        <f t="shared" si="10"/>
        <v>5.1424826793424137</v>
      </c>
      <c r="R147">
        <f t="shared" si="11"/>
        <v>6.2019293354051133</v>
      </c>
    </row>
    <row r="148" spans="1:18" x14ac:dyDescent="0.25">
      <c r="A148">
        <v>71</v>
      </c>
      <c r="B148" t="s">
        <v>66</v>
      </c>
      <c r="C148" t="s">
        <v>12</v>
      </c>
      <c r="D148">
        <v>2021</v>
      </c>
      <c r="E148">
        <v>1139557</v>
      </c>
      <c r="F148">
        <v>19531</v>
      </c>
      <c r="G148">
        <v>1106873</v>
      </c>
      <c r="H148">
        <v>8291</v>
      </c>
      <c r="I148">
        <v>254</v>
      </c>
      <c r="J148">
        <v>4608</v>
      </c>
      <c r="K148">
        <v>0</v>
      </c>
      <c r="M148">
        <f t="shared" si="9"/>
        <v>1149</v>
      </c>
      <c r="O148">
        <f t="shared" si="7"/>
        <v>13.946150148356267</v>
      </c>
      <c r="P148">
        <f t="shared" si="8"/>
        <v>13.917049480628839</v>
      </c>
      <c r="Q148">
        <f t="shared" si="10"/>
        <v>6.8704022027800837</v>
      </c>
      <c r="R148">
        <f t="shared" si="11"/>
        <v>6.8995028705075123</v>
      </c>
    </row>
    <row r="149" spans="1:18" x14ac:dyDescent="0.25">
      <c r="A149">
        <v>72</v>
      </c>
      <c r="B149" t="s">
        <v>66</v>
      </c>
      <c r="C149" t="s">
        <v>12</v>
      </c>
      <c r="D149">
        <v>2022</v>
      </c>
      <c r="E149">
        <v>1607251</v>
      </c>
      <c r="F149">
        <v>83</v>
      </c>
      <c r="G149">
        <v>1567086</v>
      </c>
      <c r="H149">
        <v>40082</v>
      </c>
      <c r="I149">
        <v>0</v>
      </c>
      <c r="J149">
        <v>0</v>
      </c>
      <c r="K149">
        <v>0</v>
      </c>
      <c r="M149">
        <f t="shared" si="9"/>
        <v>19531</v>
      </c>
      <c r="O149">
        <f t="shared" si="7"/>
        <v>14.290035824184484</v>
      </c>
      <c r="P149">
        <f t="shared" si="8"/>
        <v>14.264728401772212</v>
      </c>
      <c r="Q149">
        <f t="shared" si="10"/>
        <v>4.3849701759353206</v>
      </c>
      <c r="R149">
        <f t="shared" si="11"/>
        <v>4.4102775983475917</v>
      </c>
    </row>
    <row r="150" spans="1:18" x14ac:dyDescent="0.25">
      <c r="A150">
        <v>73</v>
      </c>
      <c r="B150" t="s">
        <v>66</v>
      </c>
      <c r="C150" t="s">
        <v>12</v>
      </c>
      <c r="D150">
        <v>2023</v>
      </c>
      <c r="E150">
        <v>576000</v>
      </c>
      <c r="F150">
        <v>1</v>
      </c>
      <c r="G150">
        <v>447000</v>
      </c>
      <c r="H150">
        <v>96320</v>
      </c>
      <c r="I150">
        <v>0</v>
      </c>
      <c r="J150">
        <v>32680</v>
      </c>
      <c r="K150">
        <v>0</v>
      </c>
      <c r="M150">
        <f t="shared" si="9"/>
        <v>83</v>
      </c>
      <c r="O150">
        <f t="shared" si="7"/>
        <v>13.263862939678027</v>
      </c>
      <c r="P150">
        <f t="shared" si="8"/>
        <v>13.010313873595706</v>
      </c>
      <c r="Q150">
        <f t="shared" si="10"/>
        <v>8.5914732657991078</v>
      </c>
      <c r="R150">
        <f t="shared" si="11"/>
        <v>8.8450223318814309</v>
      </c>
    </row>
    <row r="151" spans="1:18" x14ac:dyDescent="0.25">
      <c r="A151">
        <v>74</v>
      </c>
      <c r="B151" t="s">
        <v>66</v>
      </c>
      <c r="C151" t="s">
        <v>12</v>
      </c>
      <c r="D151">
        <v>2024</v>
      </c>
      <c r="E151">
        <v>115197</v>
      </c>
      <c r="F151">
        <v>5953</v>
      </c>
      <c r="G151">
        <v>87217</v>
      </c>
      <c r="H151">
        <v>10567</v>
      </c>
      <c r="I151">
        <v>0</v>
      </c>
      <c r="J151">
        <v>11460</v>
      </c>
      <c r="K151">
        <v>0</v>
      </c>
      <c r="M151">
        <f t="shared" si="9"/>
        <v>1</v>
      </c>
      <c r="O151">
        <f t="shared" si="7"/>
        <v>11.654398985238171</v>
      </c>
      <c r="P151">
        <f t="shared" si="8"/>
        <v>11.376154545024425</v>
      </c>
      <c r="R151">
        <f t="shared" si="11"/>
        <v>11.654398985238171</v>
      </c>
    </row>
    <row r="152" spans="1:18" x14ac:dyDescent="0.25">
      <c r="M152">
        <f t="shared" si="9"/>
        <v>5953</v>
      </c>
    </row>
    <row r="153" spans="1:18" x14ac:dyDescent="0.25">
      <c r="D153" t="s">
        <v>77</v>
      </c>
      <c r="E153">
        <f>SUM(E78:E151)</f>
        <v>100405528</v>
      </c>
      <c r="F153" s="15">
        <f>SUM(F78:F151)/$E$153</f>
        <v>8.7944958568416665E-3</v>
      </c>
      <c r="G153" s="15">
        <f t="shared" ref="G153:K153" si="12">SUM(G78:G151)/$E$153</f>
        <v>0.90086699210425947</v>
      </c>
      <c r="H153" s="15">
        <f t="shared" si="12"/>
        <v>5.5795503610119951E-2</v>
      </c>
      <c r="I153" s="15">
        <f t="shared" si="12"/>
        <v>1.1128271742169415E-3</v>
      </c>
      <c r="J153" s="15">
        <f t="shared" si="12"/>
        <v>3.2754640760417099E-2</v>
      </c>
      <c r="K153" s="15">
        <f t="shared" si="12"/>
        <v>6.6928585844396938E-4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Cors</vt:lpstr>
      <vt:lpstr>ENVIRO</vt:lpstr>
      <vt:lpstr>MAINPRED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2025-04-29T14:45:27Z</dcterms:created>
  <dcterms:modified xsi:type="dcterms:W3CDTF">2025-05-21T15:42:23Z</dcterms:modified>
</cp:coreProperties>
</file>