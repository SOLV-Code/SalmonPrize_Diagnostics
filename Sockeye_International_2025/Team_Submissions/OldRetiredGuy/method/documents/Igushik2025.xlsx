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lec&amp;BarbsFiles\Alec\AlecScience\SalmonPrize\2025Prize\ORG2025spreadsheets\"/>
    </mc:Choice>
  </mc:AlternateContent>
  <xr:revisionPtr revIDLastSave="0" documentId="8_{93E00E80-794B-49B8-AC9E-97CC2533F324}" xr6:coauthVersionLast="47" xr6:coauthVersionMax="47" xr10:uidLastSave="{00000000-0000-0000-0000-000000000000}"/>
  <bookViews>
    <workbookView xWindow="-120" yWindow="-120" windowWidth="29040" windowHeight="15720" activeTab="2" xr2:uid="{F2506C93-5B32-4D82-B9C1-43481305A108}"/>
  </bookViews>
  <sheets>
    <sheet name="Cors" sheetId="5" r:id="rId1"/>
    <sheet name="ENV" sheetId="6" r:id="rId2"/>
    <sheet name="MAINPRED" sheetId="7" r:id="rId3"/>
  </sheets>
  <externalReferences>
    <externalReference r:id="rId4"/>
    <externalReference r:id="rId5"/>
    <externalReference r:id="rId6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79" i="7" l="1"/>
  <c r="Q178" i="7"/>
  <c r="Q177" i="7"/>
  <c r="Q176" i="7"/>
  <c r="Q175" i="7"/>
  <c r="Q179" i="7" s="1"/>
  <c r="S171" i="7"/>
  <c r="T171" i="7" s="1"/>
  <c r="Y175" i="7" s="1"/>
  <c r="G171" i="7"/>
  <c r="O149" i="7"/>
  <c r="O148" i="7"/>
  <c r="O147" i="7"/>
  <c r="O146" i="7"/>
  <c r="O145" i="7"/>
  <c r="O144" i="7"/>
  <c r="O143" i="7"/>
  <c r="O142" i="7"/>
  <c r="O141" i="7"/>
  <c r="O140" i="7"/>
  <c r="O139" i="7"/>
  <c r="O138" i="7"/>
  <c r="O137" i="7"/>
  <c r="O136" i="7"/>
  <c r="O135" i="7"/>
  <c r="O134" i="7"/>
  <c r="O133" i="7"/>
  <c r="O132" i="7"/>
  <c r="O131" i="7"/>
  <c r="O130" i="7"/>
  <c r="O129" i="7"/>
  <c r="O128" i="7"/>
  <c r="O127" i="7"/>
  <c r="O126" i="7"/>
  <c r="O125" i="7"/>
  <c r="O124" i="7"/>
  <c r="O123" i="7"/>
  <c r="O122" i="7"/>
  <c r="O121" i="7"/>
  <c r="O120" i="7"/>
  <c r="O119" i="7"/>
  <c r="O118" i="7"/>
  <c r="O117" i="7"/>
  <c r="O116" i="7"/>
  <c r="O115" i="7"/>
  <c r="O114" i="7"/>
  <c r="O113" i="7"/>
  <c r="O112" i="7"/>
  <c r="O111" i="7"/>
  <c r="O110" i="7"/>
  <c r="O109" i="7"/>
  <c r="O108" i="7"/>
  <c r="O107" i="7"/>
  <c r="O106" i="7"/>
  <c r="O105" i="7"/>
  <c r="O104" i="7"/>
  <c r="O103" i="7"/>
  <c r="O102" i="7"/>
  <c r="O101" i="7"/>
  <c r="O100" i="7"/>
  <c r="O99" i="7"/>
  <c r="O98" i="7"/>
  <c r="O97" i="7"/>
  <c r="O96" i="7"/>
  <c r="O95" i="7"/>
  <c r="O94" i="7"/>
  <c r="O93" i="7"/>
  <c r="O92" i="7"/>
  <c r="O91" i="7"/>
  <c r="O90" i="7"/>
  <c r="O89" i="7"/>
  <c r="P84" i="7"/>
  <c r="S84" i="7" s="1"/>
  <c r="D65" i="7"/>
  <c r="D64" i="7"/>
  <c r="D63" i="7"/>
  <c r="D62" i="7"/>
  <c r="D61" i="7"/>
  <c r="E61" i="7" s="1"/>
  <c r="D60" i="7"/>
  <c r="D59" i="7"/>
  <c r="D58" i="7"/>
  <c r="D57" i="7"/>
  <c r="E57" i="7" s="1"/>
  <c r="D56" i="7"/>
  <c r="D55" i="7"/>
  <c r="D54" i="7"/>
  <c r="D53" i="7"/>
  <c r="D52" i="7"/>
  <c r="D51" i="7"/>
  <c r="D50" i="7"/>
  <c r="D49" i="7"/>
  <c r="D48" i="7"/>
  <c r="E47" i="7"/>
  <c r="D47" i="7"/>
  <c r="D46" i="7"/>
  <c r="D45" i="7"/>
  <c r="E44" i="7"/>
  <c r="D44" i="7"/>
  <c r="D43" i="7"/>
  <c r="D42" i="7"/>
  <c r="D41" i="7"/>
  <c r="D40" i="7"/>
  <c r="D39" i="7"/>
  <c r="D38" i="7"/>
  <c r="D37" i="7"/>
  <c r="D36" i="7"/>
  <c r="D35" i="7"/>
  <c r="D34" i="7"/>
  <c r="D33" i="7"/>
  <c r="D32" i="7"/>
  <c r="E32" i="7" s="1"/>
  <c r="D31" i="7"/>
  <c r="D30" i="7"/>
  <c r="D29" i="7"/>
  <c r="D28" i="7"/>
  <c r="D27" i="7"/>
  <c r="D26" i="7"/>
  <c r="D25" i="7"/>
  <c r="D24" i="7"/>
  <c r="D23" i="7"/>
  <c r="D22" i="7"/>
  <c r="D21" i="7"/>
  <c r="D20" i="7"/>
  <c r="D19" i="7"/>
  <c r="D18" i="7"/>
  <c r="E18" i="7" s="1"/>
  <c r="D17" i="7"/>
  <c r="D16" i="7"/>
  <c r="E16" i="7" s="1"/>
  <c r="D15" i="7"/>
  <c r="E15" i="7" s="1"/>
  <c r="D14" i="7"/>
  <c r="D13" i="7"/>
  <c r="D12" i="7"/>
  <c r="D11" i="7"/>
  <c r="E11" i="7" s="1"/>
  <c r="D10" i="7"/>
  <c r="E9" i="7"/>
  <c r="D9" i="7"/>
  <c r="D8" i="7"/>
  <c r="E8" i="7" s="1"/>
  <c r="D7" i="7"/>
  <c r="D6" i="7"/>
  <c r="D5" i="7"/>
  <c r="D4" i="7"/>
  <c r="R38" i="6"/>
  <c r="AU6" i="5"/>
  <c r="AT6" i="5"/>
  <c r="AS6" i="5"/>
  <c r="AR6" i="5"/>
  <c r="AQ6" i="5"/>
  <c r="AP6" i="5"/>
  <c r="AO6" i="5"/>
  <c r="AN6" i="5"/>
  <c r="AM6" i="5"/>
  <c r="AL6" i="5"/>
  <c r="AK6" i="5"/>
  <c r="AJ6" i="5"/>
  <c r="AI6" i="5"/>
  <c r="AH6" i="5"/>
  <c r="AG6" i="5"/>
  <c r="AF6" i="5"/>
  <c r="AE6" i="5"/>
  <c r="AD6" i="5"/>
  <c r="AC6" i="5"/>
  <c r="AB6" i="5"/>
  <c r="AA6" i="5"/>
  <c r="Z6" i="5"/>
  <c r="Y6" i="5"/>
  <c r="X6" i="5"/>
  <c r="W6" i="5"/>
  <c r="V6" i="5"/>
  <c r="U6" i="5"/>
  <c r="T6" i="5"/>
  <c r="S6" i="5"/>
  <c r="R6" i="5"/>
  <c r="Q6" i="5"/>
  <c r="P6" i="5"/>
  <c r="O6" i="5"/>
  <c r="N6" i="5"/>
  <c r="M6" i="5"/>
  <c r="L6" i="5"/>
  <c r="K6" i="5"/>
  <c r="J6" i="5"/>
  <c r="I6" i="5"/>
  <c r="H6" i="5"/>
  <c r="G6" i="5"/>
  <c r="AU5" i="5"/>
  <c r="AT5" i="5"/>
  <c r="AS5" i="5"/>
  <c r="AR5" i="5"/>
  <c r="AQ5" i="5"/>
  <c r="AP5" i="5"/>
  <c r="AO5" i="5"/>
  <c r="AN5" i="5"/>
  <c r="AM5" i="5"/>
  <c r="AL5" i="5"/>
  <c r="AK5" i="5"/>
  <c r="AJ5" i="5"/>
  <c r="AI5" i="5"/>
  <c r="AH5" i="5"/>
  <c r="AG5" i="5"/>
  <c r="AF5" i="5"/>
  <c r="AE5" i="5"/>
  <c r="AD5" i="5"/>
  <c r="AC5" i="5"/>
  <c r="AB5" i="5"/>
  <c r="AA5" i="5"/>
  <c r="Z5" i="5"/>
  <c r="Y5" i="5"/>
  <c r="X5" i="5"/>
  <c r="W5" i="5"/>
  <c r="V5" i="5"/>
  <c r="U5" i="5"/>
  <c r="T5" i="5"/>
  <c r="S5" i="5"/>
  <c r="R5" i="5"/>
  <c r="Q5" i="5"/>
  <c r="P5" i="5"/>
  <c r="O5" i="5"/>
  <c r="N5" i="5"/>
  <c r="M5" i="5"/>
  <c r="L5" i="5"/>
  <c r="K5" i="5"/>
  <c r="J5" i="5"/>
  <c r="I5" i="5"/>
  <c r="H5" i="5"/>
  <c r="G5" i="5"/>
  <c r="E63" i="7" l="1"/>
  <c r="E51" i="7"/>
  <c r="E64" i="7"/>
  <c r="E21" i="7"/>
  <c r="E27" i="7"/>
  <c r="E40" i="7"/>
  <c r="E22" i="7"/>
  <c r="E20" i="7"/>
  <c r="E58" i="7"/>
  <c r="E34" i="7"/>
  <c r="E12" i="7"/>
  <c r="E26" i="7"/>
  <c r="E33" i="7"/>
  <c r="E28" i="7"/>
  <c r="E54" i="7"/>
  <c r="E5" i="7"/>
  <c r="E23" i="7"/>
  <c r="E29" i="7"/>
  <c r="E41" i="7"/>
  <c r="E35" i="7"/>
  <c r="E6" i="7"/>
  <c r="E48" i="7"/>
  <c r="E42" i="7"/>
  <c r="E30" i="7"/>
  <c r="E55" i="7"/>
  <c r="E13" i="7"/>
  <c r="E19" i="7"/>
  <c r="E49" i="7"/>
  <c r="E37" i="7"/>
  <c r="E50" i="7"/>
  <c r="E62" i="7"/>
  <c r="E56" i="7"/>
  <c r="E14" i="7"/>
  <c r="E10" i="7"/>
  <c r="E17" i="7"/>
  <c r="E24" i="7"/>
  <c r="E31" i="7"/>
  <c r="E38" i="7"/>
  <c r="E45" i="7"/>
  <c r="E52" i="7"/>
  <c r="E59" i="7"/>
  <c r="E25" i="7"/>
  <c r="E39" i="7"/>
  <c r="E46" i="7"/>
  <c r="E53" i="7"/>
  <c r="E60" i="7"/>
  <c r="E7" i="7"/>
  <c r="E36" i="7"/>
  <c r="E43" i="7"/>
</calcChain>
</file>

<file path=xl/sharedStrings.xml><?xml version="1.0" encoding="utf-8"?>
<sst xmlns="http://schemas.openxmlformats.org/spreadsheetml/2006/main" count="204" uniqueCount="76">
  <si>
    <t>INSERT</t>
  </si>
  <si>
    <t>TIME SERIES</t>
  </si>
  <si>
    <t>DATE</t>
  </si>
  <si>
    <t>MONTH</t>
  </si>
  <si>
    <t>PRCOMP1</t>
  </si>
  <si>
    <t>DATA</t>
  </si>
  <si>
    <t>CORR-&gt;</t>
  </si>
  <si>
    <t>TIME</t>
  </si>
  <si>
    <t>PRC1 for MONTHS PREVIOUS</t>
  </si>
  <si>
    <t>Igushik</t>
  </si>
  <si>
    <t>Igushik log run has no large correlations with PC1 lags</t>
  </si>
  <si>
    <t>correl approaching -0.3 at T-36, but PC1 value was mid-range</t>
  </si>
  <si>
    <t>0.25 for July a year earlier, but value for 2025 is not known</t>
  </si>
  <si>
    <t>ln(1.3/1.2)  has the highest correlation with PC1 at T-34 (March)</t>
  </si>
  <si>
    <t>correl of 0.3 isn't high enoun=gh to give sstrong prediction</t>
  </si>
  <si>
    <t>PC1 was 4.7 for the 2025 prediction--near the right hand endgiving conversion of 1.5</t>
  </si>
  <si>
    <t>My enviro effects give much larger 1.3s than ever seen historically, so it was toned down to equal largest ever in my forecast.</t>
  </si>
  <si>
    <t>Case:</t>
  </si>
  <si>
    <t>observations</t>
  </si>
  <si>
    <t>Year</t>
  </si>
  <si>
    <t>Xt</t>
  </si>
  <si>
    <t>ln Rects</t>
  </si>
  <si>
    <t>deltaLnR</t>
  </si>
  <si>
    <t>Comments</t>
  </si>
  <si>
    <t>2015 and 2016 seems to show no special relationship, suggesting no substantial El Nino effect.</t>
  </si>
  <si>
    <t>Trend since 2000 (linearized logs) gives 2024 value of</t>
  </si>
  <si>
    <t>which antilogs to</t>
  </si>
  <si>
    <t xml:space="preserve">run came in lower, at </t>
  </si>
  <si>
    <t>System</t>
  </si>
  <si>
    <t>River</t>
  </si>
  <si>
    <t>ReturnYear</t>
  </si>
  <si>
    <t>Total_Returns</t>
  </si>
  <si>
    <t>AC_1.1</t>
  </si>
  <si>
    <t>AC_1.2</t>
  </si>
  <si>
    <t>AC_1.3</t>
  </si>
  <si>
    <t>AC_1.4</t>
  </si>
  <si>
    <t>AC_1.5</t>
  </si>
  <si>
    <t>AC_2.1</t>
  </si>
  <si>
    <t>AC_2.2</t>
  </si>
  <si>
    <t>AC_2.3</t>
  </si>
  <si>
    <t>ln1.3 per 1.2</t>
  </si>
  <si>
    <t>Bristol Bay</t>
  </si>
  <si>
    <t>Use returns since 2014 as looking approximately stationary</t>
  </si>
  <si>
    <t>predict 1.3 from 1.2 in prev year</t>
  </si>
  <si>
    <t>useful relationship</t>
  </si>
  <si>
    <t>conversion</t>
  </si>
  <si>
    <t>pred</t>
  </si>
  <si>
    <t>2024 had</t>
  </si>
  <si>
    <t>slope is</t>
  </si>
  <si>
    <t>prediction</t>
  </si>
  <si>
    <t>1.3s</t>
  </si>
  <si>
    <t>compares with official forecast of 2.02m</t>
  </si>
  <si>
    <t>environmental-based conversion gives</t>
  </si>
  <si>
    <t>have we seen other years with similar PC1(T-34) of  4.7?</t>
  </si>
  <si>
    <t>The rest of the regressions look useless</t>
  </si>
  <si>
    <t>official (m)</t>
  </si>
  <si>
    <t>2013 higher, 2014-16 a little lower</t>
  </si>
  <si>
    <t>Use average values from 2014 to 2014</t>
  </si>
  <si>
    <t>avg</t>
  </si>
  <si>
    <t>lnratio</t>
  </si>
  <si>
    <t>ratio</t>
  </si>
  <si>
    <t>To be conservative (which is still a lot higher than the official forecast</t>
  </si>
  <si>
    <t>largest possible</t>
  </si>
  <si>
    <t>from regression(w/o enviro)</t>
  </si>
  <si>
    <t>average with and without enviro effect, giving</t>
  </si>
  <si>
    <t>This is still larger than any previous value.</t>
  </si>
  <si>
    <t>Substitute the largest previous value</t>
  </si>
  <si>
    <t>equal to 2022 run of 1.3s</t>
  </si>
  <si>
    <t>total</t>
  </si>
  <si>
    <t>my results are a little above</t>
  </si>
  <si>
    <t>average</t>
  </si>
  <si>
    <t>WINSORIZING!</t>
  </si>
  <si>
    <t>the official pred</t>
  </si>
  <si>
    <t>this makes a conversion of 4.5 look reasonable</t>
  </si>
  <si>
    <t>and my own pred without enviro effect</t>
  </si>
  <si>
    <t>BRING IN BROOD TABLE INFO FOR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</si>
</sst>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00B050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164" fontId="0" fillId="0" borderId="0" xfId="0" applyNumberFormat="1"/>
    <xf numFmtId="164" fontId="1" fillId="0" borderId="0" xfId="0" applyNumberFormat="1" applyFont="1"/>
    <xf numFmtId="0" fontId="2" fillId="0" borderId="0" xfId="0" applyFont="1"/>
    <xf numFmtId="0" fontId="0" fillId="0" borderId="1" xfId="0" applyBorder="1"/>
    <xf numFmtId="0" fontId="3" fillId="0" borderId="0" xfId="0" applyFont="1"/>
    <xf numFmtId="1" fontId="0" fillId="0" borderId="0" xfId="0" applyNumberFormat="1"/>
    <xf numFmtId="0" fontId="1" fillId="0" borderId="0" xfId="0" applyFont="1"/>
    <xf numFmtId="165" fontId="0" fillId="0" borderId="0" xfId="0" applyNumberFormat="1"/>
    <xf numFmtId="1" fontId="0" fillId="2" borderId="0" xfId="0" applyNumberFormat="1" applyFill="1"/>
    <xf numFmtId="0" fontId="0" fillId="0" borderId="2" xfId="0" applyBorder="1"/>
    <xf numFmtId="0" fontId="1" fillId="0" borderId="3" xfId="0" applyFont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1" fillId="0" borderId="1" xfId="0" applyFont="1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[1]CorTemplate!$G$7:$AU$7</c:f>
              <c:numCache>
                <c:formatCode>General</c:formatCode>
                <c:ptCount val="41"/>
                <c:pt idx="0">
                  <c:v>0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</c:numCache>
            </c:numRef>
          </c:xVal>
          <c:yVal>
            <c:numRef>
              <c:f>[1]CorTemplate!$G$5:$AU$5</c:f>
              <c:numCache>
                <c:formatCode>General</c:formatCode>
                <c:ptCount val="41"/>
                <c:pt idx="0">
                  <c:v>0.23250220767595539</c:v>
                </c:pt>
                <c:pt idx="1">
                  <c:v>0.19418495737894026</c:v>
                </c:pt>
                <c:pt idx="2">
                  <c:v>0.24480962492282948</c:v>
                </c:pt>
                <c:pt idx="3">
                  <c:v>0.17223421523244936</c:v>
                </c:pt>
                <c:pt idx="4">
                  <c:v>0.11419906818918081</c:v>
                </c:pt>
                <c:pt idx="5">
                  <c:v>0.2579026753096561</c:v>
                </c:pt>
                <c:pt idx="6">
                  <c:v>0.26056933640280466</c:v>
                </c:pt>
                <c:pt idx="7">
                  <c:v>0.24317859814811771</c:v>
                </c:pt>
                <c:pt idx="8">
                  <c:v>0.23271882222679649</c:v>
                </c:pt>
                <c:pt idx="9">
                  <c:v>0.17939586977624172</c:v>
                </c:pt>
                <c:pt idx="10">
                  <c:v>0.27123117035787181</c:v>
                </c:pt>
                <c:pt idx="11">
                  <c:v>0.3469047226065855</c:v>
                </c:pt>
                <c:pt idx="12">
                  <c:v>0.45182068630319128</c:v>
                </c:pt>
                <c:pt idx="13">
                  <c:v>0.3543722913029112</c:v>
                </c:pt>
                <c:pt idx="14">
                  <c:v>0.31166290284756998</c:v>
                </c:pt>
                <c:pt idx="15">
                  <c:v>0.33848075225612756</c:v>
                </c:pt>
                <c:pt idx="16">
                  <c:v>0.24207065961206078</c:v>
                </c:pt>
                <c:pt idx="17">
                  <c:v>0.31421534896795322</c:v>
                </c:pt>
                <c:pt idx="18">
                  <c:v>0.30173361634459944</c:v>
                </c:pt>
                <c:pt idx="19">
                  <c:v>0.34342066892694806</c:v>
                </c:pt>
                <c:pt idx="20">
                  <c:v>0.42605006226399789</c:v>
                </c:pt>
                <c:pt idx="21">
                  <c:v>0.39924915484704404</c:v>
                </c:pt>
                <c:pt idx="22">
                  <c:v>0.43677137512519842</c:v>
                </c:pt>
                <c:pt idx="23">
                  <c:v>0.4903756416006595</c:v>
                </c:pt>
                <c:pt idx="24">
                  <c:v>0.50357718221028069</c:v>
                </c:pt>
                <c:pt idx="25">
                  <c:v>0.43642354299234865</c:v>
                </c:pt>
                <c:pt idx="26">
                  <c:v>0.39491334064319572</c:v>
                </c:pt>
                <c:pt idx="27">
                  <c:v>0.29168503619934993</c:v>
                </c:pt>
                <c:pt idx="28">
                  <c:v>0.18503545015297554</c:v>
                </c:pt>
                <c:pt idx="29">
                  <c:v>0.18322866013093492</c:v>
                </c:pt>
                <c:pt idx="30">
                  <c:v>0.25986778197339788</c:v>
                </c:pt>
                <c:pt idx="31">
                  <c:v>0.25351675175491994</c:v>
                </c:pt>
                <c:pt idx="32">
                  <c:v>0.26279699201785972</c:v>
                </c:pt>
                <c:pt idx="33">
                  <c:v>0.17064659271504912</c:v>
                </c:pt>
                <c:pt idx="34">
                  <c:v>0.20698505503636089</c:v>
                </c:pt>
                <c:pt idx="35">
                  <c:v>0.24515131019009903</c:v>
                </c:pt>
                <c:pt idx="36">
                  <c:v>0.29944273231912383</c:v>
                </c:pt>
                <c:pt idx="37">
                  <c:v>0.33275297769843593</c:v>
                </c:pt>
                <c:pt idx="38">
                  <c:v>0.34778786657765137</c:v>
                </c:pt>
                <c:pt idx="39">
                  <c:v>0.40682254126251965</c:v>
                </c:pt>
                <c:pt idx="40">
                  <c:v>0.27106768349346116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85A-4058-8E06-DC110C6426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7592303"/>
        <c:axId val="427594223"/>
      </c:scatterChart>
      <c:valAx>
        <c:axId val="4275923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7594223"/>
        <c:crosses val="autoZero"/>
        <c:crossBetween val="midCat"/>
      </c:valAx>
      <c:valAx>
        <c:axId val="427594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75923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Cors!$G$7:$AU$7</c:f>
              <c:numCache>
                <c:formatCode>General</c:formatCode>
                <c:ptCount val="41"/>
                <c:pt idx="0">
                  <c:v>0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</c:numCache>
            </c:numRef>
          </c:xVal>
          <c:yVal>
            <c:numRef>
              <c:f>Cors!$G$5:$AU$5</c:f>
              <c:numCache>
                <c:formatCode>General</c:formatCode>
                <c:ptCount val="41"/>
                <c:pt idx="0">
                  <c:v>-5.246943645575217E-3</c:v>
                </c:pt>
                <c:pt idx="1">
                  <c:v>9.4301777868287889E-2</c:v>
                </c:pt>
                <c:pt idx="2">
                  <c:v>-1.7249306335970323E-2</c:v>
                </c:pt>
                <c:pt idx="3">
                  <c:v>8.9167139147384306E-2</c:v>
                </c:pt>
                <c:pt idx="4">
                  <c:v>-3.1204379182381451E-2</c:v>
                </c:pt>
                <c:pt idx="5">
                  <c:v>1.0869293631292869E-2</c:v>
                </c:pt>
                <c:pt idx="6">
                  <c:v>4.1494042212219376E-2</c:v>
                </c:pt>
                <c:pt idx="7">
                  <c:v>4.0937340627078739E-2</c:v>
                </c:pt>
                <c:pt idx="8">
                  <c:v>2.1421143314022003E-2</c:v>
                </c:pt>
                <c:pt idx="9">
                  <c:v>1.6384588742860164E-2</c:v>
                </c:pt>
                <c:pt idx="10">
                  <c:v>5.2855789784844863E-2</c:v>
                </c:pt>
                <c:pt idx="11">
                  <c:v>0.10159522286075509</c:v>
                </c:pt>
                <c:pt idx="12">
                  <c:v>4.5475399844481937E-3</c:v>
                </c:pt>
                <c:pt idx="13">
                  <c:v>5.743368290693527E-2</c:v>
                </c:pt>
                <c:pt idx="14">
                  <c:v>-0.16884144050383582</c:v>
                </c:pt>
                <c:pt idx="15">
                  <c:v>-9.3763208389994107E-2</c:v>
                </c:pt>
                <c:pt idx="16">
                  <c:v>3.3223580811076209E-2</c:v>
                </c:pt>
                <c:pt idx="17">
                  <c:v>8.0909199273209911E-3</c:v>
                </c:pt>
                <c:pt idx="18">
                  <c:v>2.7623846759550531E-2</c:v>
                </c:pt>
                <c:pt idx="19">
                  <c:v>6.5787853120808676E-2</c:v>
                </c:pt>
                <c:pt idx="20">
                  <c:v>6.7487901631765906E-2</c:v>
                </c:pt>
                <c:pt idx="21">
                  <c:v>1.7183601538312922E-2</c:v>
                </c:pt>
                <c:pt idx="22">
                  <c:v>-5.6879324035006987E-3</c:v>
                </c:pt>
                <c:pt idx="23">
                  <c:v>4.2867306009967458E-2</c:v>
                </c:pt>
                <c:pt idx="24">
                  <c:v>0.17521510049326902</c:v>
                </c:pt>
                <c:pt idx="25">
                  <c:v>0.12606323442645764</c:v>
                </c:pt>
                <c:pt idx="26">
                  <c:v>5.9908164367217381E-3</c:v>
                </c:pt>
                <c:pt idx="27">
                  <c:v>3.0599726089081854E-2</c:v>
                </c:pt>
                <c:pt idx="28">
                  <c:v>0.19810738239608269</c:v>
                </c:pt>
                <c:pt idx="29">
                  <c:v>0.2266566596712126</c:v>
                </c:pt>
                <c:pt idx="30">
                  <c:v>0.16609793126225864</c:v>
                </c:pt>
                <c:pt idx="31">
                  <c:v>0.21064302320081185</c:v>
                </c:pt>
                <c:pt idx="32">
                  <c:v>0.22615853406420169</c:v>
                </c:pt>
                <c:pt idx="33">
                  <c:v>0.26511393939691391</c:v>
                </c:pt>
                <c:pt idx="34">
                  <c:v>0.34443308067679457</c:v>
                </c:pt>
                <c:pt idx="35">
                  <c:v>0.22285186384598946</c:v>
                </c:pt>
                <c:pt idx="36">
                  <c:v>0.27440843546009114</c:v>
                </c:pt>
                <c:pt idx="37">
                  <c:v>0.29670690531771399</c:v>
                </c:pt>
                <c:pt idx="38">
                  <c:v>2.9153476563166268E-2</c:v>
                </c:pt>
                <c:pt idx="39">
                  <c:v>2.1502835571072298E-2</c:v>
                </c:pt>
                <c:pt idx="40">
                  <c:v>3.8799784037738906E-2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EC1-4465-A7EB-A4F49B347F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4392207"/>
        <c:axId val="354392687"/>
      </c:scatterChart>
      <c:valAx>
        <c:axId val="3543922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4392687"/>
        <c:crosses val="autoZero"/>
        <c:crossBetween val="midCat"/>
      </c:valAx>
      <c:valAx>
        <c:axId val="354392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43922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8.6001093613298343E-2"/>
                  <c:y val="0.1221719160104986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Cors!$AO$10:$AO$52</c:f>
              <c:numCache>
                <c:formatCode>0.000</c:formatCode>
                <c:ptCount val="43"/>
                <c:pt idx="0">
                  <c:v>1.4262948740692274</c:v>
                </c:pt>
                <c:pt idx="1">
                  <c:v>1.1845717860692297</c:v>
                </c:pt>
                <c:pt idx="2">
                  <c:v>2.394840518709227</c:v>
                </c:pt>
                <c:pt idx="3">
                  <c:v>9.0747949279244927E-2</c:v>
                </c:pt>
                <c:pt idx="4">
                  <c:v>0.12128620823924474</c:v>
                </c:pt>
                <c:pt idx="5">
                  <c:v>2.7315166602692278</c:v>
                </c:pt>
                <c:pt idx="6">
                  <c:v>1.9535774414092228</c:v>
                </c:pt>
                <c:pt idx="7">
                  <c:v>0.912020787759243</c:v>
                </c:pt>
                <c:pt idx="8">
                  <c:v>-1.0628494561707658</c:v>
                </c:pt>
                <c:pt idx="9">
                  <c:v>4.1239791073692293</c:v>
                </c:pt>
                <c:pt idx="10">
                  <c:v>3.1293092386692387</c:v>
                </c:pt>
                <c:pt idx="11">
                  <c:v>1.5319094081492275</c:v>
                </c:pt>
                <c:pt idx="12">
                  <c:v>1.3196503246692344</c:v>
                </c:pt>
                <c:pt idx="13">
                  <c:v>0.30045070326922318</c:v>
                </c:pt>
                <c:pt idx="14">
                  <c:v>-5.7858695630772616E-2</c:v>
                </c:pt>
                <c:pt idx="15">
                  <c:v>1.3126903932192404</c:v>
                </c:pt>
                <c:pt idx="16">
                  <c:v>1.2489220058692447</c:v>
                </c:pt>
                <c:pt idx="17">
                  <c:v>2.3489521429392384</c:v>
                </c:pt>
                <c:pt idx="18">
                  <c:v>-1.616506618360757</c:v>
                </c:pt>
                <c:pt idx="19">
                  <c:v>3.8889257109492208</c:v>
                </c:pt>
                <c:pt idx="20">
                  <c:v>4.7052333398692276</c:v>
                </c:pt>
                <c:pt idx="21">
                  <c:v>3.4716817257692343</c:v>
                </c:pt>
                <c:pt idx="22">
                  <c:v>3.197693081169227</c:v>
                </c:pt>
                <c:pt idx="23">
                  <c:v>1.6826666062692384</c:v>
                </c:pt>
                <c:pt idx="24">
                  <c:v>2.0764134763692423</c:v>
                </c:pt>
                <c:pt idx="25">
                  <c:v>0.82747681711923837</c:v>
                </c:pt>
                <c:pt idx="26">
                  <c:v>1.4338550498692317</c:v>
                </c:pt>
                <c:pt idx="27">
                  <c:v>1.2275044462992428</c:v>
                </c:pt>
                <c:pt idx="28">
                  <c:v>2.0566604165692253</c:v>
                </c:pt>
                <c:pt idx="29">
                  <c:v>3.5154691291692206</c:v>
                </c:pt>
                <c:pt idx="30">
                  <c:v>1.1174872949192272</c:v>
                </c:pt>
                <c:pt idx="31">
                  <c:v>5.3632401589792407</c:v>
                </c:pt>
                <c:pt idx="32">
                  <c:v>3.6558712369092294</c:v>
                </c:pt>
                <c:pt idx="33">
                  <c:v>3.1915599164692323</c:v>
                </c:pt>
                <c:pt idx="34">
                  <c:v>3.4288168388092322</c:v>
                </c:pt>
                <c:pt idx="35">
                  <c:v>1.2302889477092382</c:v>
                </c:pt>
                <c:pt idx="36">
                  <c:v>-1.6149105574307594</c:v>
                </c:pt>
                <c:pt idx="37">
                  <c:v>2.6337997278192273</c:v>
                </c:pt>
                <c:pt idx="38">
                  <c:v>2.4774201739092447</c:v>
                </c:pt>
                <c:pt idx="39">
                  <c:v>2.2252832571692274</c:v>
                </c:pt>
                <c:pt idx="40">
                  <c:v>0.41449108666922962</c:v>
                </c:pt>
                <c:pt idx="41">
                  <c:v>2.4569034265692382</c:v>
                </c:pt>
                <c:pt idx="42">
                  <c:v>4.163303717119228</c:v>
                </c:pt>
              </c:numCache>
            </c:numRef>
          </c:xVal>
          <c:yVal>
            <c:numRef>
              <c:f>Cors!$D$10:$D$52</c:f>
              <c:numCache>
                <c:formatCode>General</c:formatCode>
                <c:ptCount val="43"/>
                <c:pt idx="0">
                  <c:v>1.2092596224955026</c:v>
                </c:pt>
                <c:pt idx="1">
                  <c:v>2.3255086591892828</c:v>
                </c:pt>
                <c:pt idx="2">
                  <c:v>-0.84130797683111425</c:v>
                </c:pt>
                <c:pt idx="3">
                  <c:v>3.2109114313562208</c:v>
                </c:pt>
                <c:pt idx="4">
                  <c:v>0.72517661910387243</c:v>
                </c:pt>
                <c:pt idx="5">
                  <c:v>1.6796815625460202</c:v>
                </c:pt>
                <c:pt idx="6">
                  <c:v>0.84640066589600937</c:v>
                </c:pt>
                <c:pt idx="7">
                  <c:v>2.6271592278168732</c:v>
                </c:pt>
                <c:pt idx="8">
                  <c:v>0.48005357474997773</c:v>
                </c:pt>
                <c:pt idx="9">
                  <c:v>2.2529420312356185</c:v>
                </c:pt>
                <c:pt idx="10">
                  <c:v>1.498580431642087</c:v>
                </c:pt>
                <c:pt idx="11">
                  <c:v>1.5096447220767757</c:v>
                </c:pt>
                <c:pt idx="12">
                  <c:v>1.1795233174113133</c:v>
                </c:pt>
                <c:pt idx="13">
                  <c:v>1.8557035722731126</c:v>
                </c:pt>
                <c:pt idx="14">
                  <c:v>1.5416366165734727</c:v>
                </c:pt>
                <c:pt idx="15">
                  <c:v>1.1168676544258518</c:v>
                </c:pt>
                <c:pt idx="16">
                  <c:v>0.86767771744764244</c:v>
                </c:pt>
                <c:pt idx="17">
                  <c:v>0.97865725648244606</c:v>
                </c:pt>
                <c:pt idx="18">
                  <c:v>0.85159448789008296</c:v>
                </c:pt>
                <c:pt idx="19">
                  <c:v>2.3408832674976887</c:v>
                </c:pt>
                <c:pt idx="20">
                  <c:v>3.2891080506056336</c:v>
                </c:pt>
                <c:pt idx="21">
                  <c:v>1.104167833343761</c:v>
                </c:pt>
                <c:pt idx="22">
                  <c:v>0.88089810572076455</c:v>
                </c:pt>
                <c:pt idx="23">
                  <c:v>2.5170744121973372</c:v>
                </c:pt>
                <c:pt idx="24">
                  <c:v>2.6328375558687713</c:v>
                </c:pt>
                <c:pt idx="25">
                  <c:v>-0.15050023513892358</c:v>
                </c:pt>
                <c:pt idx="26">
                  <c:v>0.50012702467295689</c:v>
                </c:pt>
                <c:pt idx="27">
                  <c:v>0.70116202069313127</c:v>
                </c:pt>
                <c:pt idx="28">
                  <c:v>1.2766180248578716</c:v>
                </c:pt>
                <c:pt idx="29">
                  <c:v>1.4259108892422403</c:v>
                </c:pt>
                <c:pt idx="30">
                  <c:v>0.96808204726489866</c:v>
                </c:pt>
                <c:pt idx="31">
                  <c:v>2.2762571117163679</c:v>
                </c:pt>
                <c:pt idx="32">
                  <c:v>1.7390998562317488</c:v>
                </c:pt>
                <c:pt idx="33">
                  <c:v>0.69064604287119979</c:v>
                </c:pt>
                <c:pt idx="34">
                  <c:v>1.0561863515953103</c:v>
                </c:pt>
                <c:pt idx="35">
                  <c:v>-0.15295987356674368</c:v>
                </c:pt>
                <c:pt idx="36">
                  <c:v>0.26396620041559377</c:v>
                </c:pt>
                <c:pt idx="37">
                  <c:v>0.41703770789466055</c:v>
                </c:pt>
                <c:pt idx="38">
                  <c:v>1.0204448726988318</c:v>
                </c:pt>
                <c:pt idx="39">
                  <c:v>0.51803523303640209</c:v>
                </c:pt>
                <c:pt idx="40">
                  <c:v>0.82127031081565138</c:v>
                </c:pt>
                <c:pt idx="41">
                  <c:v>0.43078099770386608</c:v>
                </c:pt>
                <c:pt idx="42">
                  <c:v>0.25828661584026213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32B-4607-855D-CBDA516747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8845327"/>
        <c:axId val="328845807"/>
      </c:scatterChart>
      <c:valAx>
        <c:axId val="3288453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8845807"/>
        <c:crosses val="autoZero"/>
        <c:crossBetween val="midCat"/>
      </c:valAx>
      <c:valAx>
        <c:axId val="328845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88453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Cors!$G$7:$AU$7</c:f>
              <c:numCache>
                <c:formatCode>General</c:formatCode>
                <c:ptCount val="41"/>
                <c:pt idx="0">
                  <c:v>0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</c:numCache>
            </c:numRef>
          </c:xVal>
          <c:yVal>
            <c:numRef>
              <c:f>Cors!$G$5:$AU$5</c:f>
              <c:numCache>
                <c:formatCode>General</c:formatCode>
                <c:ptCount val="41"/>
                <c:pt idx="0">
                  <c:v>-5.246943645575217E-3</c:v>
                </c:pt>
                <c:pt idx="1">
                  <c:v>9.4301777868287889E-2</c:v>
                </c:pt>
                <c:pt idx="2">
                  <c:v>-1.7249306335970323E-2</c:v>
                </c:pt>
                <c:pt idx="3">
                  <c:v>8.9167139147384306E-2</c:v>
                </c:pt>
                <c:pt idx="4">
                  <c:v>-3.1204379182381451E-2</c:v>
                </c:pt>
                <c:pt idx="5">
                  <c:v>1.0869293631292869E-2</c:v>
                </c:pt>
                <c:pt idx="6">
                  <c:v>4.1494042212219376E-2</c:v>
                </c:pt>
                <c:pt idx="7">
                  <c:v>4.0937340627078739E-2</c:v>
                </c:pt>
                <c:pt idx="8">
                  <c:v>2.1421143314022003E-2</c:v>
                </c:pt>
                <c:pt idx="9">
                  <c:v>1.6384588742860164E-2</c:v>
                </c:pt>
                <c:pt idx="10">
                  <c:v>5.2855789784844863E-2</c:v>
                </c:pt>
                <c:pt idx="11">
                  <c:v>0.10159522286075509</c:v>
                </c:pt>
                <c:pt idx="12">
                  <c:v>4.5475399844481937E-3</c:v>
                </c:pt>
                <c:pt idx="13">
                  <c:v>5.743368290693527E-2</c:v>
                </c:pt>
                <c:pt idx="14">
                  <c:v>-0.16884144050383582</c:v>
                </c:pt>
                <c:pt idx="15">
                  <c:v>-9.3763208389994107E-2</c:v>
                </c:pt>
                <c:pt idx="16">
                  <c:v>3.3223580811076209E-2</c:v>
                </c:pt>
                <c:pt idx="17">
                  <c:v>8.0909199273209911E-3</c:v>
                </c:pt>
                <c:pt idx="18">
                  <c:v>2.7623846759550531E-2</c:v>
                </c:pt>
                <c:pt idx="19">
                  <c:v>6.5787853120808676E-2</c:v>
                </c:pt>
                <c:pt idx="20">
                  <c:v>6.7487901631765906E-2</c:v>
                </c:pt>
                <c:pt idx="21">
                  <c:v>1.7183601538312922E-2</c:v>
                </c:pt>
                <c:pt idx="22">
                  <c:v>-5.6879324035006987E-3</c:v>
                </c:pt>
                <c:pt idx="23">
                  <c:v>4.2867306009967458E-2</c:v>
                </c:pt>
                <c:pt idx="24">
                  <c:v>0.17521510049326902</c:v>
                </c:pt>
                <c:pt idx="25">
                  <c:v>0.12606323442645764</c:v>
                </c:pt>
                <c:pt idx="26">
                  <c:v>5.9908164367217381E-3</c:v>
                </c:pt>
                <c:pt idx="27">
                  <c:v>3.0599726089081854E-2</c:v>
                </c:pt>
                <c:pt idx="28">
                  <c:v>0.19810738239608269</c:v>
                </c:pt>
                <c:pt idx="29">
                  <c:v>0.2266566596712126</c:v>
                </c:pt>
                <c:pt idx="30">
                  <c:v>0.16609793126225864</c:v>
                </c:pt>
                <c:pt idx="31">
                  <c:v>0.21064302320081185</c:v>
                </c:pt>
                <c:pt idx="32">
                  <c:v>0.22615853406420169</c:v>
                </c:pt>
                <c:pt idx="33">
                  <c:v>0.26511393939691391</c:v>
                </c:pt>
                <c:pt idx="34">
                  <c:v>0.34443308067679457</c:v>
                </c:pt>
                <c:pt idx="35">
                  <c:v>0.22285186384598946</c:v>
                </c:pt>
                <c:pt idx="36">
                  <c:v>0.27440843546009114</c:v>
                </c:pt>
                <c:pt idx="37">
                  <c:v>0.29670690531771399</c:v>
                </c:pt>
                <c:pt idx="38">
                  <c:v>2.9153476563166268E-2</c:v>
                </c:pt>
                <c:pt idx="39">
                  <c:v>2.1502835571072298E-2</c:v>
                </c:pt>
                <c:pt idx="40">
                  <c:v>3.8799784037738906E-2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8D8-43A3-B4C0-23454B0A65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4392207"/>
        <c:axId val="354392687"/>
      </c:scatterChart>
      <c:valAx>
        <c:axId val="3543922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4392687"/>
        <c:crosses val="autoZero"/>
        <c:crossBetween val="midCat"/>
      </c:valAx>
      <c:valAx>
        <c:axId val="354392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43922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ln(1.3/1.2) vs PV1(T-34)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8.6001093613298343E-2"/>
                  <c:y val="0.1221719160104986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Cors!$AO$10:$AO$52</c:f>
              <c:numCache>
                <c:formatCode>0.000</c:formatCode>
                <c:ptCount val="43"/>
                <c:pt idx="0">
                  <c:v>1.4262948740692274</c:v>
                </c:pt>
                <c:pt idx="1">
                  <c:v>1.1845717860692297</c:v>
                </c:pt>
                <c:pt idx="2">
                  <c:v>2.394840518709227</c:v>
                </c:pt>
                <c:pt idx="3">
                  <c:v>9.0747949279244927E-2</c:v>
                </c:pt>
                <c:pt idx="4">
                  <c:v>0.12128620823924474</c:v>
                </c:pt>
                <c:pt idx="5">
                  <c:v>2.7315166602692278</c:v>
                </c:pt>
                <c:pt idx="6">
                  <c:v>1.9535774414092228</c:v>
                </c:pt>
                <c:pt idx="7">
                  <c:v>0.912020787759243</c:v>
                </c:pt>
                <c:pt idx="8">
                  <c:v>-1.0628494561707658</c:v>
                </c:pt>
                <c:pt idx="9">
                  <c:v>4.1239791073692293</c:v>
                </c:pt>
                <c:pt idx="10">
                  <c:v>3.1293092386692387</c:v>
                </c:pt>
                <c:pt idx="11">
                  <c:v>1.5319094081492275</c:v>
                </c:pt>
                <c:pt idx="12">
                  <c:v>1.3196503246692344</c:v>
                </c:pt>
                <c:pt idx="13">
                  <c:v>0.30045070326922318</c:v>
                </c:pt>
                <c:pt idx="14">
                  <c:v>-5.7858695630772616E-2</c:v>
                </c:pt>
                <c:pt idx="15">
                  <c:v>1.3126903932192404</c:v>
                </c:pt>
                <c:pt idx="16">
                  <c:v>1.2489220058692447</c:v>
                </c:pt>
                <c:pt idx="17">
                  <c:v>2.3489521429392384</c:v>
                </c:pt>
                <c:pt idx="18">
                  <c:v>-1.616506618360757</c:v>
                </c:pt>
                <c:pt idx="19">
                  <c:v>3.8889257109492208</c:v>
                </c:pt>
                <c:pt idx="20">
                  <c:v>4.7052333398692276</c:v>
                </c:pt>
                <c:pt idx="21">
                  <c:v>3.4716817257692343</c:v>
                </c:pt>
                <c:pt idx="22">
                  <c:v>3.197693081169227</c:v>
                </c:pt>
                <c:pt idx="23">
                  <c:v>1.6826666062692384</c:v>
                </c:pt>
                <c:pt idx="24">
                  <c:v>2.0764134763692423</c:v>
                </c:pt>
                <c:pt idx="25">
                  <c:v>0.82747681711923837</c:v>
                </c:pt>
                <c:pt idx="26">
                  <c:v>1.4338550498692317</c:v>
                </c:pt>
                <c:pt idx="27">
                  <c:v>1.2275044462992428</c:v>
                </c:pt>
                <c:pt idx="28">
                  <c:v>2.0566604165692253</c:v>
                </c:pt>
                <c:pt idx="29">
                  <c:v>3.5154691291692206</c:v>
                </c:pt>
                <c:pt idx="30">
                  <c:v>1.1174872949192272</c:v>
                </c:pt>
                <c:pt idx="31">
                  <c:v>5.3632401589792407</c:v>
                </c:pt>
                <c:pt idx="32">
                  <c:v>3.6558712369092294</c:v>
                </c:pt>
                <c:pt idx="33">
                  <c:v>3.1915599164692323</c:v>
                </c:pt>
                <c:pt idx="34">
                  <c:v>3.4288168388092322</c:v>
                </c:pt>
                <c:pt idx="35">
                  <c:v>1.2302889477092382</c:v>
                </c:pt>
                <c:pt idx="36">
                  <c:v>-1.6149105574307594</c:v>
                </c:pt>
                <c:pt idx="37">
                  <c:v>2.6337997278192273</c:v>
                </c:pt>
                <c:pt idx="38">
                  <c:v>2.4774201739092447</c:v>
                </c:pt>
                <c:pt idx="39">
                  <c:v>2.2252832571692274</c:v>
                </c:pt>
                <c:pt idx="40">
                  <c:v>0.41449108666922962</c:v>
                </c:pt>
                <c:pt idx="41">
                  <c:v>2.4569034265692382</c:v>
                </c:pt>
                <c:pt idx="42">
                  <c:v>4.163303717119228</c:v>
                </c:pt>
              </c:numCache>
            </c:numRef>
          </c:xVal>
          <c:yVal>
            <c:numRef>
              <c:f>Cors!$D$10:$D$52</c:f>
              <c:numCache>
                <c:formatCode>General</c:formatCode>
                <c:ptCount val="43"/>
                <c:pt idx="0">
                  <c:v>1.2092596224955026</c:v>
                </c:pt>
                <c:pt idx="1">
                  <c:v>2.3255086591892828</c:v>
                </c:pt>
                <c:pt idx="2">
                  <c:v>-0.84130797683111425</c:v>
                </c:pt>
                <c:pt idx="3">
                  <c:v>3.2109114313562208</c:v>
                </c:pt>
                <c:pt idx="4">
                  <c:v>0.72517661910387243</c:v>
                </c:pt>
                <c:pt idx="5">
                  <c:v>1.6796815625460202</c:v>
                </c:pt>
                <c:pt idx="6">
                  <c:v>0.84640066589600937</c:v>
                </c:pt>
                <c:pt idx="7">
                  <c:v>2.6271592278168732</c:v>
                </c:pt>
                <c:pt idx="8">
                  <c:v>0.48005357474997773</c:v>
                </c:pt>
                <c:pt idx="9">
                  <c:v>2.2529420312356185</c:v>
                </c:pt>
                <c:pt idx="10">
                  <c:v>1.498580431642087</c:v>
                </c:pt>
                <c:pt idx="11">
                  <c:v>1.5096447220767757</c:v>
                </c:pt>
                <c:pt idx="12">
                  <c:v>1.1795233174113133</c:v>
                </c:pt>
                <c:pt idx="13">
                  <c:v>1.8557035722731126</c:v>
                </c:pt>
                <c:pt idx="14">
                  <c:v>1.5416366165734727</c:v>
                </c:pt>
                <c:pt idx="15">
                  <c:v>1.1168676544258518</c:v>
                </c:pt>
                <c:pt idx="16">
                  <c:v>0.86767771744764244</c:v>
                </c:pt>
                <c:pt idx="17">
                  <c:v>0.97865725648244606</c:v>
                </c:pt>
                <c:pt idx="18">
                  <c:v>0.85159448789008296</c:v>
                </c:pt>
                <c:pt idx="19">
                  <c:v>2.3408832674976887</c:v>
                </c:pt>
                <c:pt idx="20">
                  <c:v>3.2891080506056336</c:v>
                </c:pt>
                <c:pt idx="21">
                  <c:v>1.104167833343761</c:v>
                </c:pt>
                <c:pt idx="22">
                  <c:v>0.88089810572076455</c:v>
                </c:pt>
                <c:pt idx="23">
                  <c:v>2.5170744121973372</c:v>
                </c:pt>
                <c:pt idx="24">
                  <c:v>2.6328375558687713</c:v>
                </c:pt>
                <c:pt idx="25">
                  <c:v>-0.15050023513892358</c:v>
                </c:pt>
                <c:pt idx="26">
                  <c:v>0.50012702467295689</c:v>
                </c:pt>
                <c:pt idx="27">
                  <c:v>0.70116202069313127</c:v>
                </c:pt>
                <c:pt idx="28">
                  <c:v>1.2766180248578716</c:v>
                </c:pt>
                <c:pt idx="29">
                  <c:v>1.4259108892422403</c:v>
                </c:pt>
                <c:pt idx="30">
                  <c:v>0.96808204726489866</c:v>
                </c:pt>
                <c:pt idx="31">
                  <c:v>2.2762571117163679</c:v>
                </c:pt>
                <c:pt idx="32">
                  <c:v>1.7390998562317488</c:v>
                </c:pt>
                <c:pt idx="33">
                  <c:v>0.69064604287119979</c:v>
                </c:pt>
                <c:pt idx="34">
                  <c:v>1.0561863515953103</c:v>
                </c:pt>
                <c:pt idx="35">
                  <c:v>-0.15295987356674368</c:v>
                </c:pt>
                <c:pt idx="36">
                  <c:v>0.26396620041559377</c:v>
                </c:pt>
                <c:pt idx="37">
                  <c:v>0.41703770789466055</c:v>
                </c:pt>
                <c:pt idx="38">
                  <c:v>1.0204448726988318</c:v>
                </c:pt>
                <c:pt idx="39">
                  <c:v>0.51803523303640209</c:v>
                </c:pt>
                <c:pt idx="40">
                  <c:v>0.82127031081565138</c:v>
                </c:pt>
                <c:pt idx="41">
                  <c:v>0.43078099770386608</c:v>
                </c:pt>
                <c:pt idx="42">
                  <c:v>0.25828661584026213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D69-4714-849F-570DC13A98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8845327"/>
        <c:axId val="328845807"/>
      </c:scatterChart>
      <c:valAx>
        <c:axId val="3288453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8845807"/>
        <c:crosses val="autoZero"/>
        <c:crossBetween val="midCat"/>
      </c:valAx>
      <c:valAx>
        <c:axId val="328845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88453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xVal>
            <c:numRef>
              <c:f>[2]Igushik!$B$4:$B$65</c:f>
              <c:numCache>
                <c:formatCode>General</c:formatCode>
                <c:ptCount val="62"/>
                <c:pt idx="0">
                  <c:v>1963</c:v>
                </c:pt>
                <c:pt idx="1">
                  <c:v>1964</c:v>
                </c:pt>
                <c:pt idx="2">
                  <c:v>1965</c:v>
                </c:pt>
                <c:pt idx="3">
                  <c:v>1966</c:v>
                </c:pt>
                <c:pt idx="4">
                  <c:v>1967</c:v>
                </c:pt>
                <c:pt idx="5">
                  <c:v>1968</c:v>
                </c:pt>
                <c:pt idx="6">
                  <c:v>1969</c:v>
                </c:pt>
                <c:pt idx="7">
                  <c:v>1970</c:v>
                </c:pt>
                <c:pt idx="8">
                  <c:v>1971</c:v>
                </c:pt>
                <c:pt idx="9">
                  <c:v>1972</c:v>
                </c:pt>
                <c:pt idx="10">
                  <c:v>1973</c:v>
                </c:pt>
                <c:pt idx="11">
                  <c:v>1974</c:v>
                </c:pt>
                <c:pt idx="12">
                  <c:v>1975</c:v>
                </c:pt>
                <c:pt idx="13">
                  <c:v>1976</c:v>
                </c:pt>
                <c:pt idx="14">
                  <c:v>1977</c:v>
                </c:pt>
                <c:pt idx="15">
                  <c:v>1978</c:v>
                </c:pt>
                <c:pt idx="16">
                  <c:v>1979</c:v>
                </c:pt>
                <c:pt idx="17">
                  <c:v>1980</c:v>
                </c:pt>
                <c:pt idx="18">
                  <c:v>1981</c:v>
                </c:pt>
                <c:pt idx="19">
                  <c:v>1982</c:v>
                </c:pt>
                <c:pt idx="20">
                  <c:v>1983</c:v>
                </c:pt>
                <c:pt idx="21">
                  <c:v>1984</c:v>
                </c:pt>
                <c:pt idx="22">
                  <c:v>1985</c:v>
                </c:pt>
                <c:pt idx="23">
                  <c:v>1986</c:v>
                </c:pt>
                <c:pt idx="24">
                  <c:v>1987</c:v>
                </c:pt>
                <c:pt idx="25">
                  <c:v>1988</c:v>
                </c:pt>
                <c:pt idx="26">
                  <c:v>1989</c:v>
                </c:pt>
                <c:pt idx="27">
                  <c:v>1990</c:v>
                </c:pt>
                <c:pt idx="28">
                  <c:v>1991</c:v>
                </c:pt>
                <c:pt idx="29">
                  <c:v>1992</c:v>
                </c:pt>
                <c:pt idx="30">
                  <c:v>1993</c:v>
                </c:pt>
                <c:pt idx="31">
                  <c:v>1994</c:v>
                </c:pt>
                <c:pt idx="32">
                  <c:v>1995</c:v>
                </c:pt>
                <c:pt idx="33">
                  <c:v>1996</c:v>
                </c:pt>
                <c:pt idx="34">
                  <c:v>1997</c:v>
                </c:pt>
                <c:pt idx="35">
                  <c:v>1998</c:v>
                </c:pt>
                <c:pt idx="36">
                  <c:v>1999</c:v>
                </c:pt>
                <c:pt idx="37">
                  <c:v>2000</c:v>
                </c:pt>
                <c:pt idx="38">
                  <c:v>2001</c:v>
                </c:pt>
                <c:pt idx="39">
                  <c:v>2002</c:v>
                </c:pt>
                <c:pt idx="40">
                  <c:v>2003</c:v>
                </c:pt>
                <c:pt idx="41">
                  <c:v>2004</c:v>
                </c:pt>
                <c:pt idx="42">
                  <c:v>2005</c:v>
                </c:pt>
                <c:pt idx="43">
                  <c:v>2006</c:v>
                </c:pt>
                <c:pt idx="44">
                  <c:v>2007</c:v>
                </c:pt>
                <c:pt idx="45">
                  <c:v>2008</c:v>
                </c:pt>
                <c:pt idx="46">
                  <c:v>2009</c:v>
                </c:pt>
                <c:pt idx="47">
                  <c:v>2010</c:v>
                </c:pt>
                <c:pt idx="48">
                  <c:v>2011</c:v>
                </c:pt>
                <c:pt idx="49">
                  <c:v>2012</c:v>
                </c:pt>
                <c:pt idx="50">
                  <c:v>2013</c:v>
                </c:pt>
                <c:pt idx="51">
                  <c:v>2014</c:v>
                </c:pt>
                <c:pt idx="52">
                  <c:v>2015</c:v>
                </c:pt>
                <c:pt idx="53">
                  <c:v>2016</c:v>
                </c:pt>
                <c:pt idx="54">
                  <c:v>2017</c:v>
                </c:pt>
                <c:pt idx="55">
                  <c:v>2018</c:v>
                </c:pt>
                <c:pt idx="56">
                  <c:v>2019</c:v>
                </c:pt>
                <c:pt idx="57">
                  <c:v>2020</c:v>
                </c:pt>
                <c:pt idx="58">
                  <c:v>2021</c:v>
                </c:pt>
                <c:pt idx="59">
                  <c:v>2022</c:v>
                </c:pt>
                <c:pt idx="60">
                  <c:v>2023</c:v>
                </c:pt>
                <c:pt idx="61">
                  <c:v>2024</c:v>
                </c:pt>
              </c:numCache>
            </c:numRef>
          </c:xVal>
          <c:yVal>
            <c:numRef>
              <c:f>[2]Igushik!$C$4:$C$65</c:f>
              <c:numCache>
                <c:formatCode>General</c:formatCode>
                <c:ptCount val="62"/>
                <c:pt idx="0">
                  <c:v>136350.6973</c:v>
                </c:pt>
                <c:pt idx="1">
                  <c:v>191054.08970000001</c:v>
                </c:pt>
                <c:pt idx="2">
                  <c:v>297253.09470000002</c:v>
                </c:pt>
                <c:pt idx="3">
                  <c:v>310078.42210000003</c:v>
                </c:pt>
                <c:pt idx="4">
                  <c:v>412373.60310000001</c:v>
                </c:pt>
                <c:pt idx="5">
                  <c:v>290685.71639999998</c:v>
                </c:pt>
                <c:pt idx="6">
                  <c:v>759994.23049999995</c:v>
                </c:pt>
                <c:pt idx="7">
                  <c:v>522005.61440000002</c:v>
                </c:pt>
                <c:pt idx="8">
                  <c:v>335231.2133</c:v>
                </c:pt>
                <c:pt idx="9">
                  <c:v>127964.89380000001</c:v>
                </c:pt>
                <c:pt idx="10">
                  <c:v>113965.8474</c:v>
                </c:pt>
                <c:pt idx="11">
                  <c:v>430597.39760000003</c:v>
                </c:pt>
                <c:pt idx="12">
                  <c:v>357436.71919999999</c:v>
                </c:pt>
                <c:pt idx="13">
                  <c:v>307997.32380000001</c:v>
                </c:pt>
                <c:pt idx="14">
                  <c:v>170035.14780000001</c:v>
                </c:pt>
                <c:pt idx="15">
                  <c:v>845205.12049999996</c:v>
                </c:pt>
                <c:pt idx="16">
                  <c:v>1392465.72</c:v>
                </c:pt>
                <c:pt idx="17">
                  <c:v>2393480.997</c:v>
                </c:pt>
                <c:pt idx="18">
                  <c:v>1338130.8049999999</c:v>
                </c:pt>
                <c:pt idx="19">
                  <c:v>716737.2794</c:v>
                </c:pt>
                <c:pt idx="20">
                  <c:v>1187356.7879999999</c:v>
                </c:pt>
                <c:pt idx="21">
                  <c:v>299792.02140000003</c:v>
                </c:pt>
                <c:pt idx="22">
                  <c:v>643146.42660000001</c:v>
                </c:pt>
                <c:pt idx="23">
                  <c:v>609140.88769999996</c:v>
                </c:pt>
                <c:pt idx="24">
                  <c:v>471444.66460000002</c:v>
                </c:pt>
                <c:pt idx="25">
                  <c:v>293251.48619999998</c:v>
                </c:pt>
                <c:pt idx="26">
                  <c:v>906594.83330000006</c:v>
                </c:pt>
                <c:pt idx="27">
                  <c:v>876172.31409999996</c:v>
                </c:pt>
                <c:pt idx="28">
                  <c:v>1645838.4680000001</c:v>
                </c:pt>
                <c:pt idx="29">
                  <c:v>470347.57949999999</c:v>
                </c:pt>
                <c:pt idx="30">
                  <c:v>717075.4865</c:v>
                </c:pt>
                <c:pt idx="31">
                  <c:v>906828.2709</c:v>
                </c:pt>
                <c:pt idx="32">
                  <c:v>1184424.804</c:v>
                </c:pt>
                <c:pt idx="33">
                  <c:v>942695.89969999995</c:v>
                </c:pt>
                <c:pt idx="34">
                  <c:v>208758.5453</c:v>
                </c:pt>
                <c:pt idx="35">
                  <c:v>426033.70750000002</c:v>
                </c:pt>
                <c:pt idx="36">
                  <c:v>859317.74529999995</c:v>
                </c:pt>
                <c:pt idx="37">
                  <c:v>982740.228</c:v>
                </c:pt>
                <c:pt idx="38">
                  <c:v>818733.37199999997</c:v>
                </c:pt>
                <c:pt idx="39">
                  <c:v>199683.67910000001</c:v>
                </c:pt>
                <c:pt idx="40">
                  <c:v>492184.32799999998</c:v>
                </c:pt>
                <c:pt idx="41">
                  <c:v>268355.56069999997</c:v>
                </c:pt>
                <c:pt idx="42">
                  <c:v>801087.32920000004</c:v>
                </c:pt>
                <c:pt idx="43">
                  <c:v>727744.17240000004</c:v>
                </c:pt>
                <c:pt idx="44">
                  <c:v>1022674.9620000001</c:v>
                </c:pt>
                <c:pt idx="45">
                  <c:v>1889371.767</c:v>
                </c:pt>
                <c:pt idx="46">
                  <c:v>1585347.9939999999</c:v>
                </c:pt>
                <c:pt idx="47">
                  <c:v>1407871.09</c:v>
                </c:pt>
                <c:pt idx="48">
                  <c:v>1015858.074</c:v>
                </c:pt>
                <c:pt idx="49">
                  <c:v>507189.86820000003</c:v>
                </c:pt>
                <c:pt idx="50">
                  <c:v>692621.21</c:v>
                </c:pt>
                <c:pt idx="51">
                  <c:v>1436716.9180000001</c:v>
                </c:pt>
                <c:pt idx="52">
                  <c:v>1643325.825</c:v>
                </c:pt>
                <c:pt idx="53">
                  <c:v>1850333.703</c:v>
                </c:pt>
                <c:pt idx="54">
                  <c:v>1230311.719</c:v>
                </c:pt>
                <c:pt idx="55">
                  <c:v>1920088.3219999999</c:v>
                </c:pt>
                <c:pt idx="56">
                  <c:v>1358926.9839999999</c:v>
                </c:pt>
                <c:pt idx="57">
                  <c:v>1212549.007</c:v>
                </c:pt>
                <c:pt idx="58">
                  <c:v>2023217.774</c:v>
                </c:pt>
                <c:pt idx="59">
                  <c:v>2986219.25</c:v>
                </c:pt>
                <c:pt idx="60">
                  <c:v>1379859.0970000001</c:v>
                </c:pt>
                <c:pt idx="61">
                  <c:v>1572250.10905134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513-4986-85AC-E58470E15E74}"/>
            </c:ext>
          </c:extLst>
        </c:ser>
        <c:ser>
          <c:idx val="1"/>
          <c:order val="1"/>
          <c:xVal>
            <c:numRef>
              <c:f>[3]Igushik!$B$65</c:f>
              <c:numCache>
                <c:formatCode>General</c:formatCode>
                <c:ptCount val="1"/>
                <c:pt idx="0">
                  <c:v>2024</c:v>
                </c:pt>
              </c:numCache>
            </c:numRef>
          </c:xVal>
          <c:yVal>
            <c:numRef>
              <c:f>[3]Igushik!$C$65</c:f>
              <c:numCache>
                <c:formatCode>0</c:formatCode>
                <c:ptCount val="1"/>
                <c:pt idx="0">
                  <c:v>1572250.10905134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513-4986-85AC-E58470E15E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062464"/>
        <c:axId val="223859072"/>
      </c:scatterChart>
      <c:valAx>
        <c:axId val="202062464"/>
        <c:scaling>
          <c:orientation val="minMax"/>
          <c:min val="1960"/>
        </c:scaling>
        <c:delete val="0"/>
        <c:axPos val="b"/>
        <c:numFmt formatCode="General" sourceLinked="1"/>
        <c:majorTickMark val="out"/>
        <c:minorTickMark val="none"/>
        <c:tickLblPos val="nextTo"/>
        <c:crossAx val="223859072"/>
        <c:crosses val="autoZero"/>
        <c:crossBetween val="midCat"/>
      </c:valAx>
      <c:valAx>
        <c:axId val="22385907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206246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xVal>
            <c:numRef>
              <c:f>[2]Igushik!$B$4:$B$65</c:f>
              <c:numCache>
                <c:formatCode>General</c:formatCode>
                <c:ptCount val="62"/>
                <c:pt idx="0">
                  <c:v>1963</c:v>
                </c:pt>
                <c:pt idx="1">
                  <c:v>1964</c:v>
                </c:pt>
                <c:pt idx="2">
                  <c:v>1965</c:v>
                </c:pt>
                <c:pt idx="3">
                  <c:v>1966</c:v>
                </c:pt>
                <c:pt idx="4">
                  <c:v>1967</c:v>
                </c:pt>
                <c:pt idx="5">
                  <c:v>1968</c:v>
                </c:pt>
                <c:pt idx="6">
                  <c:v>1969</c:v>
                </c:pt>
                <c:pt idx="7">
                  <c:v>1970</c:v>
                </c:pt>
                <c:pt idx="8">
                  <c:v>1971</c:v>
                </c:pt>
                <c:pt idx="9">
                  <c:v>1972</c:v>
                </c:pt>
                <c:pt idx="10">
                  <c:v>1973</c:v>
                </c:pt>
                <c:pt idx="11">
                  <c:v>1974</c:v>
                </c:pt>
                <c:pt idx="12">
                  <c:v>1975</c:v>
                </c:pt>
                <c:pt idx="13">
                  <c:v>1976</c:v>
                </c:pt>
                <c:pt idx="14">
                  <c:v>1977</c:v>
                </c:pt>
                <c:pt idx="15">
                  <c:v>1978</c:v>
                </c:pt>
                <c:pt idx="16">
                  <c:v>1979</c:v>
                </c:pt>
                <c:pt idx="17">
                  <c:v>1980</c:v>
                </c:pt>
                <c:pt idx="18">
                  <c:v>1981</c:v>
                </c:pt>
                <c:pt idx="19">
                  <c:v>1982</c:v>
                </c:pt>
                <c:pt idx="20">
                  <c:v>1983</c:v>
                </c:pt>
                <c:pt idx="21">
                  <c:v>1984</c:v>
                </c:pt>
                <c:pt idx="22">
                  <c:v>1985</c:v>
                </c:pt>
                <c:pt idx="23">
                  <c:v>1986</c:v>
                </c:pt>
                <c:pt idx="24">
                  <c:v>1987</c:v>
                </c:pt>
                <c:pt idx="25">
                  <c:v>1988</c:v>
                </c:pt>
                <c:pt idx="26">
                  <c:v>1989</c:v>
                </c:pt>
                <c:pt idx="27">
                  <c:v>1990</c:v>
                </c:pt>
                <c:pt idx="28">
                  <c:v>1991</c:v>
                </c:pt>
                <c:pt idx="29">
                  <c:v>1992</c:v>
                </c:pt>
                <c:pt idx="30">
                  <c:v>1993</c:v>
                </c:pt>
                <c:pt idx="31">
                  <c:v>1994</c:v>
                </c:pt>
                <c:pt idx="32">
                  <c:v>1995</c:v>
                </c:pt>
                <c:pt idx="33">
                  <c:v>1996</c:v>
                </c:pt>
                <c:pt idx="34">
                  <c:v>1997</c:v>
                </c:pt>
                <c:pt idx="35">
                  <c:v>1998</c:v>
                </c:pt>
                <c:pt idx="36">
                  <c:v>1999</c:v>
                </c:pt>
                <c:pt idx="37">
                  <c:v>2000</c:v>
                </c:pt>
                <c:pt idx="38">
                  <c:v>2001</c:v>
                </c:pt>
                <c:pt idx="39">
                  <c:v>2002</c:v>
                </c:pt>
                <c:pt idx="40">
                  <c:v>2003</c:v>
                </c:pt>
                <c:pt idx="41">
                  <c:v>2004</c:v>
                </c:pt>
                <c:pt idx="42">
                  <c:v>2005</c:v>
                </c:pt>
                <c:pt idx="43">
                  <c:v>2006</c:v>
                </c:pt>
                <c:pt idx="44">
                  <c:v>2007</c:v>
                </c:pt>
                <c:pt idx="45">
                  <c:v>2008</c:v>
                </c:pt>
                <c:pt idx="46">
                  <c:v>2009</c:v>
                </c:pt>
                <c:pt idx="47">
                  <c:v>2010</c:v>
                </c:pt>
                <c:pt idx="48">
                  <c:v>2011</c:v>
                </c:pt>
                <c:pt idx="49">
                  <c:v>2012</c:v>
                </c:pt>
                <c:pt idx="50">
                  <c:v>2013</c:v>
                </c:pt>
                <c:pt idx="51">
                  <c:v>2014</c:v>
                </c:pt>
                <c:pt idx="52">
                  <c:v>2015</c:v>
                </c:pt>
                <c:pt idx="53">
                  <c:v>2016</c:v>
                </c:pt>
                <c:pt idx="54">
                  <c:v>2017</c:v>
                </c:pt>
                <c:pt idx="55">
                  <c:v>2018</c:v>
                </c:pt>
                <c:pt idx="56">
                  <c:v>2019</c:v>
                </c:pt>
                <c:pt idx="57">
                  <c:v>2020</c:v>
                </c:pt>
                <c:pt idx="58">
                  <c:v>2021</c:v>
                </c:pt>
                <c:pt idx="59">
                  <c:v>2022</c:v>
                </c:pt>
                <c:pt idx="60">
                  <c:v>2023</c:v>
                </c:pt>
                <c:pt idx="61">
                  <c:v>2024</c:v>
                </c:pt>
              </c:numCache>
            </c:numRef>
          </c:xVal>
          <c:yVal>
            <c:numRef>
              <c:f>[2]Igushik!$C$4:$C$65</c:f>
              <c:numCache>
                <c:formatCode>General</c:formatCode>
                <c:ptCount val="62"/>
                <c:pt idx="0">
                  <c:v>136350.6973</c:v>
                </c:pt>
                <c:pt idx="1">
                  <c:v>191054.08970000001</c:v>
                </c:pt>
                <c:pt idx="2">
                  <c:v>297253.09470000002</c:v>
                </c:pt>
                <c:pt idx="3">
                  <c:v>310078.42210000003</c:v>
                </c:pt>
                <c:pt idx="4">
                  <c:v>412373.60310000001</c:v>
                </c:pt>
                <c:pt idx="5">
                  <c:v>290685.71639999998</c:v>
                </c:pt>
                <c:pt idx="6">
                  <c:v>759994.23049999995</c:v>
                </c:pt>
                <c:pt idx="7">
                  <c:v>522005.61440000002</c:v>
                </c:pt>
                <c:pt idx="8">
                  <c:v>335231.2133</c:v>
                </c:pt>
                <c:pt idx="9">
                  <c:v>127964.89380000001</c:v>
                </c:pt>
                <c:pt idx="10">
                  <c:v>113965.8474</c:v>
                </c:pt>
                <c:pt idx="11">
                  <c:v>430597.39760000003</c:v>
                </c:pt>
                <c:pt idx="12">
                  <c:v>357436.71919999999</c:v>
                </c:pt>
                <c:pt idx="13">
                  <c:v>307997.32380000001</c:v>
                </c:pt>
                <c:pt idx="14">
                  <c:v>170035.14780000001</c:v>
                </c:pt>
                <c:pt idx="15">
                  <c:v>845205.12049999996</c:v>
                </c:pt>
                <c:pt idx="16">
                  <c:v>1392465.72</c:v>
                </c:pt>
                <c:pt idx="17">
                  <c:v>2393480.997</c:v>
                </c:pt>
                <c:pt idx="18">
                  <c:v>1338130.8049999999</c:v>
                </c:pt>
                <c:pt idx="19">
                  <c:v>716737.2794</c:v>
                </c:pt>
                <c:pt idx="20">
                  <c:v>1187356.7879999999</c:v>
                </c:pt>
                <c:pt idx="21">
                  <c:v>299792.02140000003</c:v>
                </c:pt>
                <c:pt idx="22">
                  <c:v>643146.42660000001</c:v>
                </c:pt>
                <c:pt idx="23">
                  <c:v>609140.88769999996</c:v>
                </c:pt>
                <c:pt idx="24">
                  <c:v>471444.66460000002</c:v>
                </c:pt>
                <c:pt idx="25">
                  <c:v>293251.48619999998</c:v>
                </c:pt>
                <c:pt idx="26">
                  <c:v>906594.83330000006</c:v>
                </c:pt>
                <c:pt idx="27">
                  <c:v>876172.31409999996</c:v>
                </c:pt>
                <c:pt idx="28">
                  <c:v>1645838.4680000001</c:v>
                </c:pt>
                <c:pt idx="29">
                  <c:v>470347.57949999999</c:v>
                </c:pt>
                <c:pt idx="30">
                  <c:v>717075.4865</c:v>
                </c:pt>
                <c:pt idx="31">
                  <c:v>906828.2709</c:v>
                </c:pt>
                <c:pt idx="32">
                  <c:v>1184424.804</c:v>
                </c:pt>
                <c:pt idx="33">
                  <c:v>942695.89969999995</c:v>
                </c:pt>
                <c:pt idx="34">
                  <c:v>208758.5453</c:v>
                </c:pt>
                <c:pt idx="35">
                  <c:v>426033.70750000002</c:v>
                </c:pt>
                <c:pt idx="36">
                  <c:v>859317.74529999995</c:v>
                </c:pt>
                <c:pt idx="37">
                  <c:v>982740.228</c:v>
                </c:pt>
                <c:pt idx="38">
                  <c:v>818733.37199999997</c:v>
                </c:pt>
                <c:pt idx="39">
                  <c:v>199683.67910000001</c:v>
                </c:pt>
                <c:pt idx="40">
                  <c:v>492184.32799999998</c:v>
                </c:pt>
                <c:pt idx="41">
                  <c:v>268355.56069999997</c:v>
                </c:pt>
                <c:pt idx="42">
                  <c:v>801087.32920000004</c:v>
                </c:pt>
                <c:pt idx="43">
                  <c:v>727744.17240000004</c:v>
                </c:pt>
                <c:pt idx="44">
                  <c:v>1022674.9620000001</c:v>
                </c:pt>
                <c:pt idx="45">
                  <c:v>1889371.767</c:v>
                </c:pt>
                <c:pt idx="46">
                  <c:v>1585347.9939999999</c:v>
                </c:pt>
                <c:pt idx="47">
                  <c:v>1407871.09</c:v>
                </c:pt>
                <c:pt idx="48">
                  <c:v>1015858.074</c:v>
                </c:pt>
                <c:pt idx="49">
                  <c:v>507189.86820000003</c:v>
                </c:pt>
                <c:pt idx="50">
                  <c:v>692621.21</c:v>
                </c:pt>
                <c:pt idx="51">
                  <c:v>1436716.9180000001</c:v>
                </c:pt>
                <c:pt idx="52">
                  <c:v>1643325.825</c:v>
                </c:pt>
                <c:pt idx="53">
                  <c:v>1850333.703</c:v>
                </c:pt>
                <c:pt idx="54">
                  <c:v>1230311.719</c:v>
                </c:pt>
                <c:pt idx="55">
                  <c:v>1920088.3219999999</c:v>
                </c:pt>
                <c:pt idx="56">
                  <c:v>1358926.9839999999</c:v>
                </c:pt>
                <c:pt idx="57">
                  <c:v>1212549.007</c:v>
                </c:pt>
                <c:pt idx="58">
                  <c:v>2023217.774</c:v>
                </c:pt>
                <c:pt idx="59">
                  <c:v>2986219.25</c:v>
                </c:pt>
                <c:pt idx="60">
                  <c:v>1379859.0970000001</c:v>
                </c:pt>
                <c:pt idx="61">
                  <c:v>1572250.10905134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393-406F-9DB2-FF06C7DC0675}"/>
            </c:ext>
          </c:extLst>
        </c:ser>
        <c:ser>
          <c:idx val="1"/>
          <c:order val="1"/>
          <c:xVal>
            <c:numRef>
              <c:f>[3]Igushik!$B$65</c:f>
              <c:numCache>
                <c:formatCode>General</c:formatCode>
                <c:ptCount val="1"/>
                <c:pt idx="0">
                  <c:v>2024</c:v>
                </c:pt>
              </c:numCache>
            </c:numRef>
          </c:xVal>
          <c:yVal>
            <c:numRef>
              <c:f>[3]Igushik!$C$65</c:f>
              <c:numCache>
                <c:formatCode>0</c:formatCode>
                <c:ptCount val="1"/>
                <c:pt idx="0">
                  <c:v>1572250.10905134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393-406F-9DB2-FF06C7DC06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3716096"/>
        <c:axId val="223717632"/>
      </c:scatterChart>
      <c:valAx>
        <c:axId val="223716096"/>
        <c:scaling>
          <c:orientation val="minMax"/>
          <c:min val="1960"/>
        </c:scaling>
        <c:delete val="0"/>
        <c:axPos val="b"/>
        <c:numFmt formatCode="General" sourceLinked="1"/>
        <c:majorTickMark val="out"/>
        <c:minorTickMark val="none"/>
        <c:tickLblPos val="nextTo"/>
        <c:crossAx val="223717632"/>
        <c:crosses val="autoZero"/>
        <c:crossBetween val="midCat"/>
      </c:valAx>
      <c:valAx>
        <c:axId val="223717632"/>
        <c:scaling>
          <c:logBase val="10"/>
          <c:orientation val="minMax"/>
          <c:min val="10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2371609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Igushik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rendline>
            <c:trendlineType val="linear"/>
            <c:dispRSqr val="0"/>
            <c:dispEq val="1"/>
            <c:trendlineLbl>
              <c:layout>
                <c:manualLayout>
                  <c:x val="5.072115181743761E-2"/>
                  <c:y val="0.46219305920093323"/>
                </c:manualLayout>
              </c:layout>
              <c:numFmt formatCode="General" sourceLinked="0"/>
            </c:trendlineLbl>
          </c:trendline>
          <c:xVal>
            <c:numRef>
              <c:f>[2]Igushik!$B$41:$B$65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xVal>
          <c:yVal>
            <c:numRef>
              <c:f>[2]Igushik!$D$41:$D$65</c:f>
              <c:numCache>
                <c:formatCode>General</c:formatCode>
                <c:ptCount val="25"/>
                <c:pt idx="0">
                  <c:v>13.798100099708849</c:v>
                </c:pt>
                <c:pt idx="1">
                  <c:v>13.615513756717734</c:v>
                </c:pt>
                <c:pt idx="2">
                  <c:v>12.204489788973429</c:v>
                </c:pt>
                <c:pt idx="3">
                  <c:v>13.10660857571701</c:v>
                </c:pt>
                <c:pt idx="4">
                  <c:v>12.500068099208802</c:v>
                </c:pt>
                <c:pt idx="5">
                  <c:v>13.593725245326157</c:v>
                </c:pt>
                <c:pt idx="6">
                  <c:v>13.497704853880858</c:v>
                </c:pt>
                <c:pt idx="7">
                  <c:v>13.837932264241548</c:v>
                </c:pt>
                <c:pt idx="8">
                  <c:v>14.45175493336653</c:v>
                </c:pt>
                <c:pt idx="9">
                  <c:v>14.276314495769073</c:v>
                </c:pt>
                <c:pt idx="10">
                  <c:v>14.157589256110946</c:v>
                </c:pt>
                <c:pt idx="11">
                  <c:v>13.831244206417994</c:v>
                </c:pt>
                <c:pt idx="12">
                  <c:v>13.136640705959259</c:v>
                </c:pt>
                <c:pt idx="13">
                  <c:v>13.448238534218206</c:v>
                </c:pt>
                <c:pt idx="14">
                  <c:v>14.177871150526332</c:v>
                </c:pt>
                <c:pt idx="15">
                  <c:v>14.312232688374808</c:v>
                </c:pt>
                <c:pt idx="16">
                  <c:v>14.430876560787992</c:v>
                </c:pt>
                <c:pt idx="17">
                  <c:v>14.022778125321922</c:v>
                </c:pt>
                <c:pt idx="18">
                  <c:v>14.467881743987615</c:v>
                </c:pt>
                <c:pt idx="19">
                  <c:v>14.122205963948907</c:v>
                </c:pt>
                <c:pt idx="20">
                  <c:v>14.008235319121313</c:v>
                </c:pt>
                <c:pt idx="21">
                  <c:v>14.520199759392225</c:v>
                </c:pt>
                <c:pt idx="22">
                  <c:v>14.90951868037366</c:v>
                </c:pt>
                <c:pt idx="23">
                  <c:v>14.137491948297269</c:v>
                </c:pt>
                <c:pt idx="24">
                  <c:v>14.268018341765798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812-4DCA-8E46-BA675D1319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5665408"/>
        <c:axId val="225666944"/>
      </c:scatterChart>
      <c:valAx>
        <c:axId val="225665408"/>
        <c:scaling>
          <c:orientation val="minMax"/>
          <c:min val="1995"/>
        </c:scaling>
        <c:delete val="0"/>
        <c:axPos val="b"/>
        <c:numFmt formatCode="General" sourceLinked="1"/>
        <c:majorTickMark val="out"/>
        <c:minorTickMark val="none"/>
        <c:tickLblPos val="nextTo"/>
        <c:crossAx val="225666944"/>
        <c:crosses val="autoZero"/>
        <c:crossBetween val="midCat"/>
      </c:valAx>
      <c:valAx>
        <c:axId val="225666944"/>
        <c:scaling>
          <c:orientation val="minMax"/>
          <c:min val="1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ln run size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25665408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pred 1.3 from 1.2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[3]Igushik!$G$138:$G$148</c:f>
              <c:numCache>
                <c:formatCode>0</c:formatCode>
                <c:ptCount val="11"/>
                <c:pt idx="0">
                  <c:v>132117.47571310701</c:v>
                </c:pt>
                <c:pt idx="1">
                  <c:v>567822.62424548005</c:v>
                </c:pt>
                <c:pt idx="2">
                  <c:v>507823.43792208802</c:v>
                </c:pt>
                <c:pt idx="3">
                  <c:v>364111.88217706798</c:v>
                </c:pt>
                <c:pt idx="4">
                  <c:v>906912.97392453603</c:v>
                </c:pt>
                <c:pt idx="5">
                  <c:v>734903.92010756605</c:v>
                </c:pt>
                <c:pt idx="6">
                  <c:v>233249.00495741001</c:v>
                </c:pt>
                <c:pt idx="7">
                  <c:v>555164.64748541499</c:v>
                </c:pt>
                <c:pt idx="8">
                  <c:v>1014243.61805022</c:v>
                </c:pt>
                <c:pt idx="9">
                  <c:v>664431.29480654898</c:v>
                </c:pt>
                <c:pt idx="10">
                  <c:v>303697.42386520701</c:v>
                </c:pt>
              </c:numCache>
            </c:numRef>
          </c:xVal>
          <c:yVal>
            <c:numRef>
              <c:f>[3]Igushik!$H$139:$H$149</c:f>
              <c:numCache>
                <c:formatCode>0</c:formatCode>
                <c:ptCount val="11"/>
                <c:pt idx="0">
                  <c:v>752041.38114587904</c:v>
                </c:pt>
                <c:pt idx="1">
                  <c:v>1132808.3925214801</c:v>
                </c:pt>
                <c:pt idx="2">
                  <c:v>1460187.56497842</c:v>
                </c:pt>
                <c:pt idx="3">
                  <c:v>312467.76612623897</c:v>
                </c:pt>
                <c:pt idx="4">
                  <c:v>1180877.04111048</c:v>
                </c:pt>
                <c:pt idx="5">
                  <c:v>1115187.1057021499</c:v>
                </c:pt>
                <c:pt idx="6">
                  <c:v>647132.74691131106</c:v>
                </c:pt>
                <c:pt idx="7">
                  <c:v>931969.38452431804</c:v>
                </c:pt>
                <c:pt idx="8">
                  <c:v>2305767.1513433401</c:v>
                </c:pt>
                <c:pt idx="9">
                  <c:v>1022200.03103132</c:v>
                </c:pt>
                <c:pt idx="10">
                  <c:v>393200.04603762098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16F-4C84-81C4-62A3D10073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408063"/>
        <c:axId val="91408543"/>
      </c:scatterChart>
      <c:valAx>
        <c:axId val="91408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408543"/>
        <c:crosses val="autoZero"/>
        <c:crossBetween val="midCat"/>
      </c:valAx>
      <c:valAx>
        <c:axId val="91408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4080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19050</xdr:colOff>
      <xdr:row>11</xdr:row>
      <xdr:rowOff>52387</xdr:rowOff>
    </xdr:from>
    <xdr:to>
      <xdr:col>18</xdr:col>
      <xdr:colOff>323850</xdr:colOff>
      <xdr:row>25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84E914-0D0A-422B-81C2-3FDD2ADB1B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19050</xdr:colOff>
      <xdr:row>11</xdr:row>
      <xdr:rowOff>52387</xdr:rowOff>
    </xdr:from>
    <xdr:to>
      <xdr:col>18</xdr:col>
      <xdr:colOff>323850</xdr:colOff>
      <xdr:row>25</xdr:row>
      <xdr:rowOff>128587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BA0422E-72F0-4523-BFE7-A3F5615D1D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276225</xdr:colOff>
      <xdr:row>27</xdr:row>
      <xdr:rowOff>52387</xdr:rowOff>
    </xdr:from>
    <xdr:to>
      <xdr:col>17</xdr:col>
      <xdr:colOff>581025</xdr:colOff>
      <xdr:row>41</xdr:row>
      <xdr:rowOff>128587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8D92059-0168-4E65-1EE3-27D13F94E9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8</xdr:col>
      <xdr:colOff>311293</xdr:colOff>
      <xdr:row>16</xdr:row>
      <xdr:rowOff>88631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0447826-A23A-0A3C-342D-A30F6D06A4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381000"/>
          <a:ext cx="4578493" cy="2755631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22</xdr:row>
      <xdr:rowOff>0</xdr:rowOff>
    </xdr:from>
    <xdr:to>
      <xdr:col>8</xdr:col>
      <xdr:colOff>304800</xdr:colOff>
      <xdr:row>36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88800D3-04BC-4E19-944F-BA84CF3112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22</xdr:row>
      <xdr:rowOff>0</xdr:rowOff>
    </xdr:from>
    <xdr:to>
      <xdr:col>16</xdr:col>
      <xdr:colOff>304800</xdr:colOff>
      <xdr:row>36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CE4A747-426D-4784-8961-A878AF6EE8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22860</xdr:colOff>
      <xdr:row>66</xdr:row>
      <xdr:rowOff>118110</xdr:rowOff>
    </xdr:from>
    <xdr:to>
      <xdr:col>8</xdr:col>
      <xdr:colOff>327660</xdr:colOff>
      <xdr:row>81</xdr:row>
      <xdr:rowOff>118110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5B8B344-ECE8-43A4-B748-0DB5004D04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66</xdr:row>
      <xdr:rowOff>0</xdr:rowOff>
    </xdr:from>
    <xdr:to>
      <xdr:col>16</xdr:col>
      <xdr:colOff>304800</xdr:colOff>
      <xdr:row>81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5BDBB1B-D216-492D-B555-E702DC2E2F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</xdr:col>
      <xdr:colOff>0</xdr:colOff>
      <xdr:row>117</xdr:row>
      <xdr:rowOff>0</xdr:rowOff>
    </xdr:from>
    <xdr:to>
      <xdr:col>2</xdr:col>
      <xdr:colOff>304800</xdr:colOff>
      <xdr:row>118</xdr:row>
      <xdr:rowOff>121920</xdr:rowOff>
    </xdr:to>
    <xdr:sp macro="" textlink="">
      <xdr:nvSpPr>
        <xdr:cNvPr id="4" name="AutoShape 2" descr="researchgate.net">
          <a:extLst>
            <a:ext uri="{FF2B5EF4-FFF2-40B4-BE49-F238E27FC236}">
              <a16:creationId xmlns:a16="http://schemas.microsoft.com/office/drawing/2014/main" id="{2733F519-DAC9-4A1D-94E0-19D08218DA4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2298025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117</xdr:row>
      <xdr:rowOff>0</xdr:rowOff>
    </xdr:from>
    <xdr:to>
      <xdr:col>2</xdr:col>
      <xdr:colOff>304800</xdr:colOff>
      <xdr:row>118</xdr:row>
      <xdr:rowOff>121920</xdr:rowOff>
    </xdr:to>
    <xdr:sp macro="" textlink="">
      <xdr:nvSpPr>
        <xdr:cNvPr id="5" name="AutoShape 3" descr="researchgate.net">
          <a:extLst>
            <a:ext uri="{FF2B5EF4-FFF2-40B4-BE49-F238E27FC236}">
              <a16:creationId xmlns:a16="http://schemas.microsoft.com/office/drawing/2014/main" id="{7D874F56-E5D1-4971-82CB-249654612DAF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2298025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66</xdr:row>
      <xdr:rowOff>0</xdr:rowOff>
    </xdr:from>
    <xdr:to>
      <xdr:col>24</xdr:col>
      <xdr:colOff>472440</xdr:colOff>
      <xdr:row>81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4D7E412-13E9-442F-B9E1-AFC12DB6EA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28575</xdr:colOff>
      <xdr:row>154</xdr:row>
      <xdr:rowOff>4762</xdr:rowOff>
    </xdr:from>
    <xdr:to>
      <xdr:col>8</xdr:col>
      <xdr:colOff>333375</xdr:colOff>
      <xdr:row>168</xdr:row>
      <xdr:rowOff>80962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8C068A1-D38B-4BF9-9BCE-552C517431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bmac\OneDrive\Desktop\pacea.xlsx" TargetMode="External"/><Relationship Id="rId1" Type="http://schemas.openxmlformats.org/officeDocument/2006/relationships/externalLinkPath" Target="file:///C:\Users\abmac\OneDrive\Desktop\pacea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Alec&amp;BarbsFiles\Alec\AlecScience\SalmonPrize\2024RevisedData\ORGFinalSpreadsheets\Igushiik.xlsx" TargetMode="External"/><Relationship Id="rId1" Type="http://schemas.openxmlformats.org/officeDocument/2006/relationships/externalLinkPath" Target="/Alec&amp;BarbsFiles/Alec/AlecScience/SalmonPrize/2024RevisedData/ORGFinalSpreadsheets/Igushiik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Alec&amp;BarbsFiles\Alec\AlecScience\SalmonPrize\2025Prize\bristolbay\BristolBayPreds2025.xlsx" TargetMode="External"/><Relationship Id="rId1" Type="http://schemas.openxmlformats.org/officeDocument/2006/relationships/externalLinkPath" Target="/Alec&amp;BarbsFiles/Alec/AlecScience/SalmonPrize/2025Prize/bristolbay/BristolBayPreds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cea-all"/>
      <sheetName val="shortened"/>
      <sheetName val="envdata"/>
      <sheetName val="CorTemplate"/>
      <sheetName val="results"/>
    </sheetNames>
    <sheetDataSet>
      <sheetData sheetId="0"/>
      <sheetData sheetId="1"/>
      <sheetData sheetId="2"/>
      <sheetData sheetId="3">
        <row r="5">
          <cell r="G5">
            <v>0.23250220767595539</v>
          </cell>
          <cell r="H5">
            <v>0.19418495737894026</v>
          </cell>
          <cell r="I5">
            <v>0.24480962492282948</v>
          </cell>
          <cell r="J5">
            <v>0.17223421523244936</v>
          </cell>
          <cell r="K5">
            <v>0.11419906818918081</v>
          </cell>
          <cell r="L5">
            <v>0.2579026753096561</v>
          </cell>
          <cell r="M5">
            <v>0.26056933640280466</v>
          </cell>
          <cell r="N5">
            <v>0.24317859814811771</v>
          </cell>
          <cell r="O5">
            <v>0.23271882222679649</v>
          </cell>
          <cell r="P5">
            <v>0.17939586977624172</v>
          </cell>
          <cell r="Q5">
            <v>0.27123117035787181</v>
          </cell>
          <cell r="R5">
            <v>0.3469047226065855</v>
          </cell>
          <cell r="S5">
            <v>0.45182068630319128</v>
          </cell>
          <cell r="T5">
            <v>0.3543722913029112</v>
          </cell>
          <cell r="U5">
            <v>0.31166290284756998</v>
          </cell>
          <cell r="V5">
            <v>0.33848075225612756</v>
          </cell>
          <cell r="W5">
            <v>0.24207065961206078</v>
          </cell>
          <cell r="X5">
            <v>0.31421534896795322</v>
          </cell>
          <cell r="Y5">
            <v>0.30173361634459944</v>
          </cell>
          <cell r="Z5">
            <v>0.34342066892694806</v>
          </cell>
          <cell r="AA5">
            <v>0.42605006226399789</v>
          </cell>
          <cell r="AB5">
            <v>0.39924915484704404</v>
          </cell>
          <cell r="AC5">
            <v>0.43677137512519842</v>
          </cell>
          <cell r="AD5">
            <v>0.4903756416006595</v>
          </cell>
          <cell r="AE5">
            <v>0.50357718221028069</v>
          </cell>
          <cell r="AF5">
            <v>0.43642354299234865</v>
          </cell>
          <cell r="AG5">
            <v>0.39491334064319572</v>
          </cell>
          <cell r="AH5">
            <v>0.29168503619934993</v>
          </cell>
          <cell r="AI5">
            <v>0.18503545015297554</v>
          </cell>
          <cell r="AJ5">
            <v>0.18322866013093492</v>
          </cell>
          <cell r="AK5">
            <v>0.25986778197339788</v>
          </cell>
          <cell r="AL5">
            <v>0.25351675175491994</v>
          </cell>
          <cell r="AM5">
            <v>0.26279699201785972</v>
          </cell>
          <cell r="AN5">
            <v>0.17064659271504912</v>
          </cell>
          <cell r="AO5">
            <v>0.20698505503636089</v>
          </cell>
          <cell r="AP5">
            <v>0.24515131019009903</v>
          </cell>
          <cell r="AQ5">
            <v>0.29944273231912383</v>
          </cell>
          <cell r="AR5">
            <v>0.33275297769843593</v>
          </cell>
          <cell r="AS5">
            <v>0.34778786657765137</v>
          </cell>
          <cell r="AT5">
            <v>0.40682254126251965</v>
          </cell>
          <cell r="AU5">
            <v>0.27106768349346116</v>
          </cell>
        </row>
        <row r="7">
          <cell r="G7">
            <v>0</v>
          </cell>
          <cell r="H7">
            <v>-1</v>
          </cell>
          <cell r="I7">
            <v>-2</v>
          </cell>
          <cell r="J7">
            <v>-3</v>
          </cell>
          <cell r="K7">
            <v>-4</v>
          </cell>
          <cell r="L7">
            <v>-5</v>
          </cell>
          <cell r="M7">
            <v>-6</v>
          </cell>
          <cell r="N7">
            <v>-7</v>
          </cell>
          <cell r="O7">
            <v>-8</v>
          </cell>
          <cell r="P7">
            <v>-9</v>
          </cell>
          <cell r="Q7">
            <v>-10</v>
          </cell>
          <cell r="R7">
            <v>-11</v>
          </cell>
          <cell r="S7">
            <v>-12</v>
          </cell>
          <cell r="T7">
            <v>-13</v>
          </cell>
          <cell r="U7">
            <v>-14</v>
          </cell>
          <cell r="V7">
            <v>-15</v>
          </cell>
          <cell r="W7">
            <v>-16</v>
          </cell>
          <cell r="X7">
            <v>-17</v>
          </cell>
          <cell r="Y7">
            <v>-18</v>
          </cell>
          <cell r="Z7">
            <v>-19</v>
          </cell>
          <cell r="AA7">
            <v>-20</v>
          </cell>
          <cell r="AB7">
            <v>-21</v>
          </cell>
          <cell r="AC7">
            <v>-22</v>
          </cell>
          <cell r="AD7">
            <v>-23</v>
          </cell>
          <cell r="AE7">
            <v>-24</v>
          </cell>
          <cell r="AF7">
            <v>-25</v>
          </cell>
          <cell r="AG7">
            <v>-26</v>
          </cell>
          <cell r="AH7">
            <v>-27</v>
          </cell>
          <cell r="AI7">
            <v>-28</v>
          </cell>
          <cell r="AJ7">
            <v>-29</v>
          </cell>
          <cell r="AK7">
            <v>-30</v>
          </cell>
          <cell r="AL7">
            <v>-31</v>
          </cell>
          <cell r="AM7">
            <v>-32</v>
          </cell>
          <cell r="AN7">
            <v>-33</v>
          </cell>
          <cell r="AO7">
            <v>-34</v>
          </cell>
          <cell r="AP7">
            <v>-35</v>
          </cell>
          <cell r="AQ7">
            <v>-36</v>
          </cell>
          <cell r="AR7">
            <v>-37</v>
          </cell>
          <cell r="AS7">
            <v>-38</v>
          </cell>
          <cell r="AT7">
            <v>-39</v>
          </cell>
          <cell r="AU7">
            <v>-40</v>
          </cell>
        </row>
      </sheetData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gushik"/>
    </sheetNames>
    <sheetDataSet>
      <sheetData sheetId="0">
        <row r="4">
          <cell r="B4">
            <v>1963</v>
          </cell>
          <cell r="C4">
            <v>136350.6973</v>
          </cell>
        </row>
        <row r="5">
          <cell r="B5">
            <v>1964</v>
          </cell>
          <cell r="C5">
            <v>191054.08970000001</v>
          </cell>
        </row>
        <row r="6">
          <cell r="B6">
            <v>1965</v>
          </cell>
          <cell r="C6">
            <v>297253.09470000002</v>
          </cell>
        </row>
        <row r="7">
          <cell r="B7">
            <v>1966</v>
          </cell>
          <cell r="C7">
            <v>310078.42210000003</v>
          </cell>
        </row>
        <row r="8">
          <cell r="B8">
            <v>1967</v>
          </cell>
          <cell r="C8">
            <v>412373.60310000001</v>
          </cell>
        </row>
        <row r="9">
          <cell r="B9">
            <v>1968</v>
          </cell>
          <cell r="C9">
            <v>290685.71639999998</v>
          </cell>
        </row>
        <row r="10">
          <cell r="B10">
            <v>1969</v>
          </cell>
          <cell r="C10">
            <v>759994.23049999995</v>
          </cell>
        </row>
        <row r="11">
          <cell r="B11">
            <v>1970</v>
          </cell>
          <cell r="C11">
            <v>522005.61440000002</v>
          </cell>
        </row>
        <row r="12">
          <cell r="B12">
            <v>1971</v>
          </cell>
          <cell r="C12">
            <v>335231.2133</v>
          </cell>
        </row>
        <row r="13">
          <cell r="B13">
            <v>1972</v>
          </cell>
          <cell r="C13">
            <v>127964.89380000001</v>
          </cell>
        </row>
        <row r="14">
          <cell r="B14">
            <v>1973</v>
          </cell>
          <cell r="C14">
            <v>113965.8474</v>
          </cell>
        </row>
        <row r="15">
          <cell r="B15">
            <v>1974</v>
          </cell>
          <cell r="C15">
            <v>430597.39760000003</v>
          </cell>
        </row>
        <row r="16">
          <cell r="B16">
            <v>1975</v>
          </cell>
          <cell r="C16">
            <v>357436.71919999999</v>
          </cell>
        </row>
        <row r="17">
          <cell r="B17">
            <v>1976</v>
          </cell>
          <cell r="C17">
            <v>307997.32380000001</v>
          </cell>
        </row>
        <row r="18">
          <cell r="B18">
            <v>1977</v>
          </cell>
          <cell r="C18">
            <v>170035.14780000001</v>
          </cell>
        </row>
        <row r="19">
          <cell r="B19">
            <v>1978</v>
          </cell>
          <cell r="C19">
            <v>845205.12049999996</v>
          </cell>
        </row>
        <row r="20">
          <cell r="B20">
            <v>1979</v>
          </cell>
          <cell r="C20">
            <v>1392465.72</v>
          </cell>
        </row>
        <row r="21">
          <cell r="B21">
            <v>1980</v>
          </cell>
          <cell r="C21">
            <v>2393480.997</v>
          </cell>
        </row>
        <row r="22">
          <cell r="B22">
            <v>1981</v>
          </cell>
          <cell r="C22">
            <v>1338130.8049999999</v>
          </cell>
        </row>
        <row r="23">
          <cell r="B23">
            <v>1982</v>
          </cell>
          <cell r="C23">
            <v>716737.2794</v>
          </cell>
        </row>
        <row r="24">
          <cell r="B24">
            <v>1983</v>
          </cell>
          <cell r="C24">
            <v>1187356.7879999999</v>
          </cell>
        </row>
        <row r="25">
          <cell r="B25">
            <v>1984</v>
          </cell>
          <cell r="C25">
            <v>299792.02140000003</v>
          </cell>
        </row>
        <row r="26">
          <cell r="B26">
            <v>1985</v>
          </cell>
          <cell r="C26">
            <v>643146.42660000001</v>
          </cell>
        </row>
        <row r="27">
          <cell r="B27">
            <v>1986</v>
          </cell>
          <cell r="C27">
            <v>609140.88769999996</v>
          </cell>
        </row>
        <row r="28">
          <cell r="B28">
            <v>1987</v>
          </cell>
          <cell r="C28">
            <v>471444.66460000002</v>
          </cell>
        </row>
        <row r="29">
          <cell r="B29">
            <v>1988</v>
          </cell>
          <cell r="C29">
            <v>293251.48619999998</v>
          </cell>
        </row>
        <row r="30">
          <cell r="B30">
            <v>1989</v>
          </cell>
          <cell r="C30">
            <v>906594.83330000006</v>
          </cell>
        </row>
        <row r="31">
          <cell r="B31">
            <v>1990</v>
          </cell>
          <cell r="C31">
            <v>876172.31409999996</v>
          </cell>
        </row>
        <row r="32">
          <cell r="B32">
            <v>1991</v>
          </cell>
          <cell r="C32">
            <v>1645838.4680000001</v>
          </cell>
        </row>
        <row r="33">
          <cell r="B33">
            <v>1992</v>
          </cell>
          <cell r="C33">
            <v>470347.57949999999</v>
          </cell>
        </row>
        <row r="34">
          <cell r="B34">
            <v>1993</v>
          </cell>
          <cell r="C34">
            <v>717075.4865</v>
          </cell>
        </row>
        <row r="35">
          <cell r="B35">
            <v>1994</v>
          </cell>
          <cell r="C35">
            <v>906828.2709</v>
          </cell>
        </row>
        <row r="36">
          <cell r="B36">
            <v>1995</v>
          </cell>
          <cell r="C36">
            <v>1184424.804</v>
          </cell>
        </row>
        <row r="37">
          <cell r="B37">
            <v>1996</v>
          </cell>
          <cell r="C37">
            <v>942695.89969999995</v>
          </cell>
        </row>
        <row r="38">
          <cell r="B38">
            <v>1997</v>
          </cell>
          <cell r="C38">
            <v>208758.5453</v>
          </cell>
        </row>
        <row r="39">
          <cell r="B39">
            <v>1998</v>
          </cell>
          <cell r="C39">
            <v>426033.70750000002</v>
          </cell>
        </row>
        <row r="40">
          <cell r="B40">
            <v>1999</v>
          </cell>
          <cell r="C40">
            <v>859317.74529999995</v>
          </cell>
        </row>
        <row r="41">
          <cell r="B41">
            <v>2000</v>
          </cell>
          <cell r="C41">
            <v>982740.228</v>
          </cell>
          <cell r="D41">
            <v>13.798100099708849</v>
          </cell>
        </row>
        <row r="42">
          <cell r="B42">
            <v>2001</v>
          </cell>
          <cell r="C42">
            <v>818733.37199999997</v>
          </cell>
          <cell r="D42">
            <v>13.615513756717734</v>
          </cell>
        </row>
        <row r="43">
          <cell r="B43">
            <v>2002</v>
          </cell>
          <cell r="C43">
            <v>199683.67910000001</v>
          </cell>
          <cell r="D43">
            <v>12.204489788973429</v>
          </cell>
        </row>
        <row r="44">
          <cell r="B44">
            <v>2003</v>
          </cell>
          <cell r="C44">
            <v>492184.32799999998</v>
          </cell>
          <cell r="D44">
            <v>13.10660857571701</v>
          </cell>
        </row>
        <row r="45">
          <cell r="B45">
            <v>2004</v>
          </cell>
          <cell r="C45">
            <v>268355.56069999997</v>
          </cell>
          <cell r="D45">
            <v>12.500068099208802</v>
          </cell>
        </row>
        <row r="46">
          <cell r="B46">
            <v>2005</v>
          </cell>
          <cell r="C46">
            <v>801087.32920000004</v>
          </cell>
          <cell r="D46">
            <v>13.593725245326157</v>
          </cell>
        </row>
        <row r="47">
          <cell r="B47">
            <v>2006</v>
          </cell>
          <cell r="C47">
            <v>727744.17240000004</v>
          </cell>
          <cell r="D47">
            <v>13.497704853880858</v>
          </cell>
        </row>
        <row r="48">
          <cell r="B48">
            <v>2007</v>
          </cell>
          <cell r="C48">
            <v>1022674.9620000001</v>
          </cell>
          <cell r="D48">
            <v>13.837932264241548</v>
          </cell>
        </row>
        <row r="49">
          <cell r="B49">
            <v>2008</v>
          </cell>
          <cell r="C49">
            <v>1889371.767</v>
          </cell>
          <cell r="D49">
            <v>14.45175493336653</v>
          </cell>
        </row>
        <row r="50">
          <cell r="B50">
            <v>2009</v>
          </cell>
          <cell r="C50">
            <v>1585347.9939999999</v>
          </cell>
          <cell r="D50">
            <v>14.276314495769073</v>
          </cell>
        </row>
        <row r="51">
          <cell r="B51">
            <v>2010</v>
          </cell>
          <cell r="C51">
            <v>1407871.09</v>
          </cell>
          <cell r="D51">
            <v>14.157589256110946</v>
          </cell>
        </row>
        <row r="52">
          <cell r="B52">
            <v>2011</v>
          </cell>
          <cell r="C52">
            <v>1015858.074</v>
          </cell>
          <cell r="D52">
            <v>13.831244206417994</v>
          </cell>
        </row>
        <row r="53">
          <cell r="B53">
            <v>2012</v>
          </cell>
          <cell r="C53">
            <v>507189.86820000003</v>
          </cell>
          <cell r="D53">
            <v>13.136640705959259</v>
          </cell>
        </row>
        <row r="54">
          <cell r="B54">
            <v>2013</v>
          </cell>
          <cell r="C54">
            <v>692621.21</v>
          </cell>
          <cell r="D54">
            <v>13.448238534218206</v>
          </cell>
        </row>
        <row r="55">
          <cell r="B55">
            <v>2014</v>
          </cell>
          <cell r="C55">
            <v>1436716.9180000001</v>
          </cell>
          <cell r="D55">
            <v>14.177871150526332</v>
          </cell>
        </row>
        <row r="56">
          <cell r="B56">
            <v>2015</v>
          </cell>
          <cell r="C56">
            <v>1643325.825</v>
          </cell>
          <cell r="D56">
            <v>14.312232688374808</v>
          </cell>
        </row>
        <row r="57">
          <cell r="B57">
            <v>2016</v>
          </cell>
          <cell r="C57">
            <v>1850333.703</v>
          </cell>
          <cell r="D57">
            <v>14.430876560787992</v>
          </cell>
        </row>
        <row r="58">
          <cell r="B58">
            <v>2017</v>
          </cell>
          <cell r="C58">
            <v>1230311.719</v>
          </cell>
          <cell r="D58">
            <v>14.022778125321922</v>
          </cell>
        </row>
        <row r="59">
          <cell r="B59">
            <v>2018</v>
          </cell>
          <cell r="C59">
            <v>1920088.3219999999</v>
          </cell>
          <cell r="D59">
            <v>14.467881743987615</v>
          </cell>
        </row>
        <row r="60">
          <cell r="B60">
            <v>2019</v>
          </cell>
          <cell r="C60">
            <v>1358926.9839999999</v>
          </cell>
          <cell r="D60">
            <v>14.122205963948907</v>
          </cell>
        </row>
        <row r="61">
          <cell r="B61">
            <v>2020</v>
          </cell>
          <cell r="C61">
            <v>1212549.007</v>
          </cell>
          <cell r="D61">
            <v>14.008235319121313</v>
          </cell>
        </row>
        <row r="62">
          <cell r="B62">
            <v>2021</v>
          </cell>
          <cell r="C62">
            <v>2023217.774</v>
          </cell>
          <cell r="D62">
            <v>14.520199759392225</v>
          </cell>
        </row>
        <row r="63">
          <cell r="B63">
            <v>2022</v>
          </cell>
          <cell r="C63">
            <v>2986219.25</v>
          </cell>
          <cell r="D63">
            <v>14.90951868037366</v>
          </cell>
        </row>
        <row r="64">
          <cell r="B64">
            <v>2023</v>
          </cell>
          <cell r="C64">
            <v>1379859.0970000001</v>
          </cell>
          <cell r="D64">
            <v>14.137491948297269</v>
          </cell>
        </row>
        <row r="65">
          <cell r="B65">
            <v>2024</v>
          </cell>
          <cell r="C65">
            <v>1572250.10905134</v>
          </cell>
          <cell r="D65">
            <v>14.268018341765798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fficial"/>
      <sheetName val="Alagnak"/>
      <sheetName val="Egegik"/>
      <sheetName val="Igushik"/>
      <sheetName val="Kvichak"/>
      <sheetName val="Naknek"/>
      <sheetName val="Nushagak"/>
      <sheetName val="Ugashik"/>
      <sheetName val="Wood"/>
    </sheetNames>
    <sheetDataSet>
      <sheetData sheetId="0"/>
      <sheetData sheetId="1"/>
      <sheetData sheetId="2"/>
      <sheetData sheetId="3">
        <row r="65">
          <cell r="B65">
            <v>2024</v>
          </cell>
          <cell r="C65">
            <v>1572250.10905134</v>
          </cell>
        </row>
        <row r="138">
          <cell r="G138">
            <v>132117.47571310701</v>
          </cell>
        </row>
        <row r="139">
          <cell r="G139">
            <v>567822.62424548005</v>
          </cell>
          <cell r="H139">
            <v>752041.38114587904</v>
          </cell>
        </row>
        <row r="140">
          <cell r="G140">
            <v>507823.43792208802</v>
          </cell>
          <cell r="H140">
            <v>1132808.3925214801</v>
          </cell>
        </row>
        <row r="141">
          <cell r="G141">
            <v>364111.88217706798</v>
          </cell>
          <cell r="H141">
            <v>1460187.56497842</v>
          </cell>
        </row>
        <row r="142">
          <cell r="G142">
            <v>906912.97392453603</v>
          </cell>
          <cell r="H142">
            <v>312467.76612623897</v>
          </cell>
        </row>
        <row r="143">
          <cell r="G143">
            <v>734903.92010756605</v>
          </cell>
          <cell r="H143">
            <v>1180877.04111048</v>
          </cell>
        </row>
        <row r="144">
          <cell r="G144">
            <v>233249.00495741001</v>
          </cell>
          <cell r="H144">
            <v>1115187.1057021499</v>
          </cell>
        </row>
        <row r="145">
          <cell r="G145">
            <v>555164.64748541499</v>
          </cell>
          <cell r="H145">
            <v>647132.74691131106</v>
          </cell>
        </row>
        <row r="146">
          <cell r="G146">
            <v>1014243.61805022</v>
          </cell>
          <cell r="H146">
            <v>931969.38452431804</v>
          </cell>
        </row>
        <row r="147">
          <cell r="G147">
            <v>664431.29480654898</v>
          </cell>
          <cell r="H147">
            <v>2305767.1513433401</v>
          </cell>
        </row>
        <row r="148">
          <cell r="G148">
            <v>303697.42386520701</v>
          </cell>
          <cell r="H148">
            <v>1022200.03103132</v>
          </cell>
        </row>
        <row r="149">
          <cell r="H149">
            <v>393200.04603762098</v>
          </cell>
        </row>
      </sheetData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799AF-9F88-4A07-B36E-5936E9BAA03D}">
  <dimension ref="A1:AU52"/>
  <sheetViews>
    <sheetView workbookViewId="0">
      <selection activeCell="F37" sqref="F37"/>
    </sheetView>
  </sheetViews>
  <sheetFormatPr defaultRowHeight="15" x14ac:dyDescent="0.25"/>
  <cols>
    <col min="2" max="2" width="7.7109375" customWidth="1"/>
  </cols>
  <sheetData>
    <row r="1" spans="1:47" x14ac:dyDescent="0.25">
      <c r="A1" t="s">
        <v>9</v>
      </c>
    </row>
    <row r="2" spans="1:47" x14ac:dyDescent="0.25">
      <c r="A2" s="1"/>
      <c r="B2" s="1"/>
      <c r="C2" s="1"/>
      <c r="D2" s="1"/>
      <c r="E2" s="1"/>
    </row>
    <row r="3" spans="1:47" x14ac:dyDescent="0.25">
      <c r="A3" s="1"/>
      <c r="B3" s="1"/>
      <c r="C3" s="1"/>
      <c r="D3" s="2"/>
      <c r="E3" s="2"/>
    </row>
    <row r="4" spans="1:47" x14ac:dyDescent="0.25">
      <c r="A4" s="1"/>
      <c r="B4" s="1"/>
      <c r="C4" s="1"/>
      <c r="D4" s="1"/>
      <c r="E4" s="1"/>
    </row>
    <row r="5" spans="1:47" x14ac:dyDescent="0.25">
      <c r="A5" s="1"/>
      <c r="B5" s="1"/>
      <c r="C5" s="1"/>
      <c r="D5" s="1"/>
      <c r="E5" s="1"/>
      <c r="F5" t="s">
        <v>6</v>
      </c>
      <c r="G5">
        <f>CORREL($D$13:$D$51,G13:G51)</f>
        <v>-5.246943645575217E-3</v>
      </c>
      <c r="H5">
        <f t="shared" ref="H5:AU5" si="0">CORREL($D$13:$D$51,H13:H51)</f>
        <v>9.4301777868287889E-2</v>
      </c>
      <c r="I5">
        <f t="shared" si="0"/>
        <v>-1.7249306335970323E-2</v>
      </c>
      <c r="J5">
        <f t="shared" si="0"/>
        <v>8.9167139147384306E-2</v>
      </c>
      <c r="K5">
        <f t="shared" si="0"/>
        <v>-3.1204379182381451E-2</v>
      </c>
      <c r="L5">
        <f t="shared" si="0"/>
        <v>1.0869293631292869E-2</v>
      </c>
      <c r="M5">
        <f t="shared" si="0"/>
        <v>4.1494042212219376E-2</v>
      </c>
      <c r="N5">
        <f t="shared" si="0"/>
        <v>4.0937340627078739E-2</v>
      </c>
      <c r="O5">
        <f t="shared" si="0"/>
        <v>2.1421143314022003E-2</v>
      </c>
      <c r="P5">
        <f t="shared" si="0"/>
        <v>1.6384588742860164E-2</v>
      </c>
      <c r="Q5">
        <f t="shared" si="0"/>
        <v>5.2855789784844863E-2</v>
      </c>
      <c r="R5">
        <f t="shared" si="0"/>
        <v>0.10159522286075509</v>
      </c>
      <c r="S5">
        <f t="shared" si="0"/>
        <v>4.5475399844481937E-3</v>
      </c>
      <c r="T5">
        <f t="shared" si="0"/>
        <v>5.743368290693527E-2</v>
      </c>
      <c r="U5">
        <f t="shared" si="0"/>
        <v>-0.16884144050383582</v>
      </c>
      <c r="V5">
        <f t="shared" si="0"/>
        <v>-9.3763208389994107E-2</v>
      </c>
      <c r="W5">
        <f t="shared" si="0"/>
        <v>3.3223580811076209E-2</v>
      </c>
      <c r="X5">
        <f t="shared" si="0"/>
        <v>8.0909199273209911E-3</v>
      </c>
      <c r="Y5">
        <f t="shared" si="0"/>
        <v>2.7623846759550531E-2</v>
      </c>
      <c r="Z5">
        <f t="shared" si="0"/>
        <v>6.5787853120808676E-2</v>
      </c>
      <c r="AA5">
        <f t="shared" si="0"/>
        <v>6.7487901631765906E-2</v>
      </c>
      <c r="AB5">
        <f t="shared" si="0"/>
        <v>1.7183601538312922E-2</v>
      </c>
      <c r="AC5">
        <f t="shared" si="0"/>
        <v>-5.6879324035006987E-3</v>
      </c>
      <c r="AD5">
        <f t="shared" si="0"/>
        <v>4.2867306009967458E-2</v>
      </c>
      <c r="AE5">
        <f t="shared" si="0"/>
        <v>0.17521510049326902</v>
      </c>
      <c r="AF5">
        <f t="shared" si="0"/>
        <v>0.12606323442645764</v>
      </c>
      <c r="AG5">
        <f t="shared" si="0"/>
        <v>5.9908164367217381E-3</v>
      </c>
      <c r="AH5">
        <f t="shared" si="0"/>
        <v>3.0599726089081854E-2</v>
      </c>
      <c r="AI5">
        <f t="shared" si="0"/>
        <v>0.19810738239608269</v>
      </c>
      <c r="AJ5">
        <f t="shared" si="0"/>
        <v>0.2266566596712126</v>
      </c>
      <c r="AK5">
        <f t="shared" si="0"/>
        <v>0.16609793126225864</v>
      </c>
      <c r="AL5">
        <f t="shared" si="0"/>
        <v>0.21064302320081185</v>
      </c>
      <c r="AM5">
        <f t="shared" si="0"/>
        <v>0.22615853406420169</v>
      </c>
      <c r="AN5">
        <f t="shared" si="0"/>
        <v>0.26511393939691391</v>
      </c>
      <c r="AO5">
        <f t="shared" si="0"/>
        <v>0.34443308067679457</v>
      </c>
      <c r="AP5">
        <f t="shared" si="0"/>
        <v>0.22285186384598946</v>
      </c>
      <c r="AQ5">
        <f t="shared" si="0"/>
        <v>0.27440843546009114</v>
      </c>
      <c r="AR5">
        <f t="shared" si="0"/>
        <v>0.29670690531771399</v>
      </c>
      <c r="AS5">
        <f t="shared" si="0"/>
        <v>2.9153476563166268E-2</v>
      </c>
      <c r="AT5">
        <f t="shared" si="0"/>
        <v>2.1502835571072298E-2</v>
      </c>
      <c r="AU5">
        <f t="shared" si="0"/>
        <v>3.8799784037738906E-2</v>
      </c>
    </row>
    <row r="6" spans="1:47" x14ac:dyDescent="0.25">
      <c r="A6" s="1"/>
      <c r="B6" s="1"/>
      <c r="C6" s="1"/>
      <c r="D6" s="1"/>
      <c r="E6" s="1"/>
      <c r="F6" t="s">
        <v>3</v>
      </c>
      <c r="G6">
        <f>5+G7</f>
        <v>5</v>
      </c>
      <c r="H6">
        <f t="shared" ref="H6:K6" si="1">5+H7</f>
        <v>4</v>
      </c>
      <c r="I6">
        <f t="shared" si="1"/>
        <v>3</v>
      </c>
      <c r="J6">
        <f t="shared" si="1"/>
        <v>2</v>
      </c>
      <c r="K6">
        <f t="shared" si="1"/>
        <v>1</v>
      </c>
      <c r="L6">
        <f>17+L7</f>
        <v>12</v>
      </c>
      <c r="M6">
        <f t="shared" ref="M6:W6" si="2">17+M7</f>
        <v>11</v>
      </c>
      <c r="N6">
        <f t="shared" si="2"/>
        <v>10</v>
      </c>
      <c r="O6">
        <f t="shared" si="2"/>
        <v>9</v>
      </c>
      <c r="P6">
        <f t="shared" si="2"/>
        <v>8</v>
      </c>
      <c r="Q6">
        <f t="shared" si="2"/>
        <v>7</v>
      </c>
      <c r="R6">
        <f t="shared" si="2"/>
        <v>6</v>
      </c>
      <c r="S6">
        <f t="shared" si="2"/>
        <v>5</v>
      </c>
      <c r="T6">
        <f t="shared" si="2"/>
        <v>4</v>
      </c>
      <c r="U6">
        <f t="shared" si="2"/>
        <v>3</v>
      </c>
      <c r="V6">
        <f t="shared" si="2"/>
        <v>2</v>
      </c>
      <c r="W6">
        <f t="shared" si="2"/>
        <v>1</v>
      </c>
      <c r="X6">
        <f>29+X7</f>
        <v>12</v>
      </c>
      <c r="Y6">
        <f t="shared" ref="Y6:AI6" si="3">29+Y7</f>
        <v>11</v>
      </c>
      <c r="Z6">
        <f t="shared" si="3"/>
        <v>10</v>
      </c>
      <c r="AA6">
        <f t="shared" si="3"/>
        <v>9</v>
      </c>
      <c r="AB6">
        <f t="shared" si="3"/>
        <v>8</v>
      </c>
      <c r="AC6">
        <f t="shared" si="3"/>
        <v>7</v>
      </c>
      <c r="AD6">
        <f t="shared" si="3"/>
        <v>6</v>
      </c>
      <c r="AE6">
        <f t="shared" si="3"/>
        <v>5</v>
      </c>
      <c r="AF6">
        <f t="shared" si="3"/>
        <v>4</v>
      </c>
      <c r="AG6">
        <f t="shared" si="3"/>
        <v>3</v>
      </c>
      <c r="AH6">
        <f t="shared" si="3"/>
        <v>2</v>
      </c>
      <c r="AI6">
        <f t="shared" si="3"/>
        <v>1</v>
      </c>
      <c r="AJ6">
        <f>41+AJ7</f>
        <v>12</v>
      </c>
      <c r="AK6">
        <f t="shared" ref="AK6:AU6" si="4">41+AK7</f>
        <v>11</v>
      </c>
      <c r="AL6">
        <f t="shared" si="4"/>
        <v>10</v>
      </c>
      <c r="AM6">
        <f t="shared" si="4"/>
        <v>9</v>
      </c>
      <c r="AN6">
        <f t="shared" si="4"/>
        <v>8</v>
      </c>
      <c r="AO6">
        <f t="shared" si="4"/>
        <v>7</v>
      </c>
      <c r="AP6">
        <f t="shared" si="4"/>
        <v>6</v>
      </c>
      <c r="AQ6">
        <f t="shared" si="4"/>
        <v>5</v>
      </c>
      <c r="AR6">
        <f t="shared" si="4"/>
        <v>4</v>
      </c>
      <c r="AS6">
        <f t="shared" si="4"/>
        <v>3</v>
      </c>
      <c r="AT6">
        <f t="shared" si="4"/>
        <v>2</v>
      </c>
      <c r="AU6">
        <f t="shared" si="4"/>
        <v>1</v>
      </c>
    </row>
    <row r="7" spans="1:47" x14ac:dyDescent="0.25">
      <c r="A7" s="1"/>
      <c r="B7" s="1"/>
      <c r="C7" s="1"/>
      <c r="D7" s="1" t="s">
        <v>0</v>
      </c>
      <c r="E7" s="1"/>
      <c r="F7" t="s">
        <v>7</v>
      </c>
      <c r="G7">
        <v>0</v>
      </c>
      <c r="H7">
        <v>-1</v>
      </c>
      <c r="I7">
        <v>-2</v>
      </c>
      <c r="J7">
        <v>-3</v>
      </c>
      <c r="K7">
        <v>-4</v>
      </c>
      <c r="L7">
        <v>-5</v>
      </c>
      <c r="M7">
        <v>-6</v>
      </c>
      <c r="N7">
        <v>-7</v>
      </c>
      <c r="O7">
        <v>-8</v>
      </c>
      <c r="P7">
        <v>-9</v>
      </c>
      <c r="Q7">
        <v>-10</v>
      </c>
      <c r="R7">
        <v>-11</v>
      </c>
      <c r="S7">
        <v>-12</v>
      </c>
      <c r="T7">
        <v>-13</v>
      </c>
      <c r="U7">
        <v>-14</v>
      </c>
      <c r="V7">
        <v>-15</v>
      </c>
      <c r="W7">
        <v>-16</v>
      </c>
      <c r="X7">
        <v>-17</v>
      </c>
      <c r="Y7">
        <v>-18</v>
      </c>
      <c r="Z7">
        <v>-19</v>
      </c>
      <c r="AA7">
        <v>-20</v>
      </c>
      <c r="AB7">
        <v>-21</v>
      </c>
      <c r="AC7">
        <v>-22</v>
      </c>
      <c r="AD7">
        <v>-23</v>
      </c>
      <c r="AE7">
        <v>-24</v>
      </c>
      <c r="AF7">
        <v>-25</v>
      </c>
      <c r="AG7">
        <v>-26</v>
      </c>
      <c r="AH7">
        <v>-27</v>
      </c>
      <c r="AI7">
        <v>-28</v>
      </c>
      <c r="AJ7">
        <v>-29</v>
      </c>
      <c r="AK7">
        <v>-30</v>
      </c>
      <c r="AL7">
        <v>-31</v>
      </c>
      <c r="AM7">
        <v>-32</v>
      </c>
      <c r="AN7">
        <v>-33</v>
      </c>
      <c r="AO7">
        <v>-34</v>
      </c>
      <c r="AP7">
        <v>-35</v>
      </c>
      <c r="AQ7">
        <v>-36</v>
      </c>
      <c r="AR7">
        <v>-37</v>
      </c>
      <c r="AS7">
        <v>-38</v>
      </c>
      <c r="AT7">
        <v>-39</v>
      </c>
      <c r="AU7">
        <v>-40</v>
      </c>
    </row>
    <row r="8" spans="1:47" x14ac:dyDescent="0.25">
      <c r="D8" t="s">
        <v>1</v>
      </c>
    </row>
    <row r="9" spans="1:47" x14ac:dyDescent="0.25">
      <c r="A9" t="s">
        <v>2</v>
      </c>
      <c r="B9" t="s">
        <v>3</v>
      </c>
      <c r="C9" t="s">
        <v>4</v>
      </c>
      <c r="D9" t="s">
        <v>5</v>
      </c>
      <c r="G9" t="s">
        <v>8</v>
      </c>
    </row>
    <row r="10" spans="1:47" x14ac:dyDescent="0.25">
      <c r="A10">
        <v>1982.375</v>
      </c>
      <c r="B10">
        <v>5</v>
      </c>
      <c r="C10" s="1">
        <v>1.6829712080392252</v>
      </c>
      <c r="D10">
        <v>1.2092596224955026</v>
      </c>
      <c r="G10" s="1">
        <v>1.6829712080392252</v>
      </c>
      <c r="H10" s="1">
        <v>2.2472897998692272</v>
      </c>
      <c r="I10" s="1">
        <v>1.5381377024192207</v>
      </c>
      <c r="J10" s="1">
        <v>0.95009040011922963</v>
      </c>
      <c r="K10" s="1">
        <v>0.16778843210923924</v>
      </c>
      <c r="L10" s="1">
        <v>-0.32820109656075358</v>
      </c>
      <c r="M10" s="1">
        <v>0.10288279560923042</v>
      </c>
      <c r="N10" s="1">
        <v>1.1606928748392318</v>
      </c>
      <c r="O10" s="1">
        <v>1.0248394490071275</v>
      </c>
      <c r="P10" s="1">
        <v>1.606789201499234</v>
      </c>
      <c r="Q10" s="1">
        <v>2.394840518709227</v>
      </c>
      <c r="R10" s="1">
        <v>1.0093508307130274</v>
      </c>
      <c r="S10" s="1">
        <v>0.70257197929922732</v>
      </c>
      <c r="T10" s="1">
        <v>0.71152544480922963</v>
      </c>
      <c r="U10" s="1">
        <v>-1.2758133939807617</v>
      </c>
      <c r="V10" s="1">
        <v>-1.1840317151307596</v>
      </c>
      <c r="W10" s="1">
        <v>-2.9731450761907507</v>
      </c>
      <c r="X10" s="1">
        <v>-0.826312025460755</v>
      </c>
      <c r="Y10" s="1">
        <v>-0.82430027525075733</v>
      </c>
      <c r="Z10" s="1">
        <v>-0.21680460930476167</v>
      </c>
      <c r="AA10" s="1">
        <v>1.2002363824092406</v>
      </c>
      <c r="AB10" s="1">
        <v>1.7415489131692448</v>
      </c>
      <c r="AC10" s="1">
        <v>1.1845717860692297</v>
      </c>
      <c r="AD10" s="1">
        <v>1.8719868955192429</v>
      </c>
      <c r="AE10" s="1">
        <v>0.19282233268922738</v>
      </c>
      <c r="AF10" s="1">
        <v>-0.41644266558675735</v>
      </c>
      <c r="AG10" s="1">
        <v>-0.7920709280307725</v>
      </c>
      <c r="AH10" s="1">
        <v>-3.1117011955307636</v>
      </c>
      <c r="AI10" s="1">
        <v>-1.754437314630755</v>
      </c>
      <c r="AJ10" s="1">
        <v>-0.6783287293607636</v>
      </c>
      <c r="AK10" s="1">
        <v>-0.13216066909075941</v>
      </c>
      <c r="AL10" s="1">
        <v>-1.2187106281307756</v>
      </c>
      <c r="AM10" s="1">
        <v>-0.23967928586077691</v>
      </c>
      <c r="AN10" s="1">
        <v>0.41425456986923609</v>
      </c>
      <c r="AO10" s="1">
        <v>1.4262948740692274</v>
      </c>
      <c r="AP10" s="1">
        <v>2.0884129651392276</v>
      </c>
      <c r="AQ10" s="1">
        <v>0.230319378419234</v>
      </c>
      <c r="AR10" s="1">
        <v>0.87058350376922755</v>
      </c>
      <c r="AS10" s="1">
        <v>-0.18409000339077064</v>
      </c>
      <c r="AT10" s="1">
        <v>1.3994548985492341</v>
      </c>
      <c r="AU10" s="1">
        <v>-1.1214605250507683</v>
      </c>
    </row>
    <row r="11" spans="1:47" x14ac:dyDescent="0.25">
      <c r="A11">
        <v>1983.375</v>
      </c>
      <c r="B11">
        <v>5</v>
      </c>
      <c r="C11" s="1">
        <v>-1.5365287291607705</v>
      </c>
      <c r="D11">
        <v>2.3255086591892828</v>
      </c>
      <c r="G11" s="1">
        <v>-1.5365287291607705</v>
      </c>
      <c r="H11" s="1">
        <v>-1.6037714177007616</v>
      </c>
      <c r="I11" s="1">
        <v>-4.4186573967507705</v>
      </c>
      <c r="J11" s="1">
        <v>-5.7546631341007721</v>
      </c>
      <c r="K11" s="1">
        <v>-4.2828241200607735</v>
      </c>
      <c r="L11" s="1">
        <v>-3.318813113430755</v>
      </c>
      <c r="M11" s="1">
        <v>-2.2869922902807649</v>
      </c>
      <c r="N11" s="1">
        <v>-1.1141125145307573</v>
      </c>
      <c r="O11" s="1">
        <v>-0.85833921068075947</v>
      </c>
      <c r="P11" s="1">
        <v>0.19842168935924309</v>
      </c>
      <c r="Q11" s="1">
        <v>9.0747949279244927E-2</v>
      </c>
      <c r="R11" s="1">
        <v>0.28020932696923401</v>
      </c>
      <c r="S11" s="1">
        <v>1.6829712080392252</v>
      </c>
      <c r="T11" s="1">
        <v>2.2472897998692272</v>
      </c>
      <c r="U11" s="1">
        <v>1.5381377024192207</v>
      </c>
      <c r="V11" s="1">
        <v>0.95009040011922963</v>
      </c>
      <c r="W11" s="1">
        <v>0.16778843210923924</v>
      </c>
      <c r="X11" s="1">
        <v>-0.32820109656075358</v>
      </c>
      <c r="Y11" s="1">
        <v>0.10288279560923042</v>
      </c>
      <c r="Z11" s="1">
        <v>1.1606928748392318</v>
      </c>
      <c r="AA11" s="1">
        <v>1.0248394490071275</v>
      </c>
      <c r="AB11" s="1">
        <v>1.606789201499234</v>
      </c>
      <c r="AC11" s="1">
        <v>2.394840518709227</v>
      </c>
      <c r="AD11" s="1">
        <v>1.0093508307130274</v>
      </c>
      <c r="AE11" s="1">
        <v>0.70257197929922732</v>
      </c>
      <c r="AF11" s="1">
        <v>0.71152544480922963</v>
      </c>
      <c r="AG11" s="1">
        <v>-1.2758133939807617</v>
      </c>
      <c r="AH11" s="1">
        <v>-1.1840317151307596</v>
      </c>
      <c r="AI11" s="1">
        <v>-2.9731450761907507</v>
      </c>
      <c r="AJ11" s="1">
        <v>-0.826312025460755</v>
      </c>
      <c r="AK11" s="1">
        <v>-0.82430027525075733</v>
      </c>
      <c r="AL11" s="1">
        <v>-0.21680460930476167</v>
      </c>
      <c r="AM11" s="1">
        <v>1.2002363824092406</v>
      </c>
      <c r="AN11" s="1">
        <v>1.7415489131692448</v>
      </c>
      <c r="AO11" s="1">
        <v>1.1845717860692297</v>
      </c>
      <c r="AP11" s="1">
        <v>1.8719868955192429</v>
      </c>
      <c r="AQ11" s="1">
        <v>0.19282233268922738</v>
      </c>
      <c r="AR11" s="1">
        <v>-0.41644266558675735</v>
      </c>
      <c r="AS11" s="1">
        <v>-0.7920709280307725</v>
      </c>
      <c r="AT11" s="1">
        <v>-3.1117011955307636</v>
      </c>
      <c r="AU11" s="1">
        <v>-1.754437314630755</v>
      </c>
    </row>
    <row r="12" spans="1:47" x14ac:dyDescent="0.25">
      <c r="A12">
        <v>1984.375</v>
      </c>
      <c r="B12">
        <v>5</v>
      </c>
      <c r="C12" s="1">
        <v>1.880515014489234</v>
      </c>
      <c r="D12">
        <v>-0.84130797683111425</v>
      </c>
      <c r="G12" s="1">
        <v>1.880515014489234</v>
      </c>
      <c r="H12" s="1">
        <v>1.4169093568692384</v>
      </c>
      <c r="I12" s="1">
        <v>-1.459145150890766</v>
      </c>
      <c r="J12" s="1">
        <v>-0.25170846241076383</v>
      </c>
      <c r="K12" s="1">
        <v>-0.36195759964077051</v>
      </c>
      <c r="L12" s="1">
        <v>-0.47425017163075722</v>
      </c>
      <c r="M12" s="1">
        <v>-0.51962604492076825</v>
      </c>
      <c r="N12" s="1">
        <v>1.7054727707192336</v>
      </c>
      <c r="O12" s="1">
        <v>1.999494930519234</v>
      </c>
      <c r="P12" s="1">
        <v>1.7188996157552427</v>
      </c>
      <c r="Q12" s="1">
        <v>0.12128620823924474</v>
      </c>
      <c r="R12" s="1">
        <v>-1.4051694421937548</v>
      </c>
      <c r="S12" s="1">
        <v>-1.5365287291607705</v>
      </c>
      <c r="T12" s="1">
        <v>-1.6037714177007616</v>
      </c>
      <c r="U12" s="1">
        <v>-4.4186573967507705</v>
      </c>
      <c r="V12" s="1">
        <v>-5.7546631341007721</v>
      </c>
      <c r="W12" s="1">
        <v>-4.2828241200607735</v>
      </c>
      <c r="X12" s="1">
        <v>-3.318813113430755</v>
      </c>
      <c r="Y12" s="1">
        <v>-2.2869922902807649</v>
      </c>
      <c r="Z12" s="1">
        <v>-1.1141125145307573</v>
      </c>
      <c r="AA12" s="1">
        <v>-0.85833921068075947</v>
      </c>
      <c r="AB12" s="1">
        <v>0.19842168935924309</v>
      </c>
      <c r="AC12" s="1">
        <v>9.0747949279244927E-2</v>
      </c>
      <c r="AD12" s="1">
        <v>0.28020932696923401</v>
      </c>
      <c r="AE12" s="1">
        <v>1.6829712080392252</v>
      </c>
      <c r="AF12" s="1">
        <v>2.2472897998692272</v>
      </c>
      <c r="AG12" s="1">
        <v>1.5381377024192207</v>
      </c>
      <c r="AH12" s="1">
        <v>0.95009040011922963</v>
      </c>
      <c r="AI12" s="1">
        <v>0.16778843210923924</v>
      </c>
      <c r="AJ12" s="1">
        <v>-0.32820109656075358</v>
      </c>
      <c r="AK12" s="1">
        <v>0.10288279560923042</v>
      </c>
      <c r="AL12" s="1">
        <v>1.1606928748392318</v>
      </c>
      <c r="AM12" s="1">
        <v>1.0248394490071275</v>
      </c>
      <c r="AN12" s="1">
        <v>1.606789201499234</v>
      </c>
      <c r="AO12" s="1">
        <v>2.394840518709227</v>
      </c>
      <c r="AP12" s="1">
        <v>1.0093508307130274</v>
      </c>
      <c r="AQ12" s="1">
        <v>0.70257197929922732</v>
      </c>
      <c r="AR12" s="1">
        <v>0.71152544480922963</v>
      </c>
      <c r="AS12" s="1">
        <v>-1.2758133939807617</v>
      </c>
      <c r="AT12" s="1">
        <v>-1.1840317151307596</v>
      </c>
      <c r="AU12" s="1">
        <v>-2.9731450761907507</v>
      </c>
    </row>
    <row r="13" spans="1:47" x14ac:dyDescent="0.25">
      <c r="A13">
        <v>1985.375</v>
      </c>
      <c r="B13">
        <v>5</v>
      </c>
      <c r="C13" s="1">
        <v>3.018522973209234</v>
      </c>
      <c r="D13">
        <v>3.2109114313562208</v>
      </c>
      <c r="G13" s="1">
        <v>3.018522973209234</v>
      </c>
      <c r="H13" s="1">
        <v>3.2037219389892342</v>
      </c>
      <c r="I13" s="1">
        <v>2.8503516876992365</v>
      </c>
      <c r="J13" s="1">
        <v>1.5492982089822276</v>
      </c>
      <c r="K13" s="1">
        <v>-1.9206002569707727</v>
      </c>
      <c r="L13" s="1">
        <v>1.132073258699223</v>
      </c>
      <c r="M13" s="1">
        <v>0.48051006084922643</v>
      </c>
      <c r="N13" s="1">
        <v>1.0633639918392426</v>
      </c>
      <c r="O13" s="1">
        <v>0.96519801415922746</v>
      </c>
      <c r="P13" s="1">
        <v>1.8375980735592425</v>
      </c>
      <c r="Q13" s="1">
        <v>2.7315166602692278</v>
      </c>
      <c r="R13" s="1">
        <v>2.1734786425192314</v>
      </c>
      <c r="S13" s="1">
        <v>1.880515014489234</v>
      </c>
      <c r="T13" s="1">
        <v>1.4169093568692384</v>
      </c>
      <c r="U13" s="1">
        <v>-1.459145150890766</v>
      </c>
      <c r="V13" s="1">
        <v>-0.25170846241076383</v>
      </c>
      <c r="W13" s="1">
        <v>-0.36195759964077051</v>
      </c>
      <c r="X13" s="1">
        <v>-0.47425017163075722</v>
      </c>
      <c r="Y13" s="1">
        <v>-0.51962604492076825</v>
      </c>
      <c r="Z13" s="1">
        <v>1.7054727707192336</v>
      </c>
      <c r="AA13" s="1">
        <v>1.999494930519234</v>
      </c>
      <c r="AB13" s="1">
        <v>1.7188996157552427</v>
      </c>
      <c r="AC13" s="1">
        <v>0.12128620823924474</v>
      </c>
      <c r="AD13" s="1">
        <v>-1.4051694421937548</v>
      </c>
      <c r="AE13" s="1">
        <v>-1.5365287291607705</v>
      </c>
      <c r="AF13" s="1">
        <v>-1.6037714177007616</v>
      </c>
      <c r="AG13" s="1">
        <v>-4.4186573967507705</v>
      </c>
      <c r="AH13" s="1">
        <v>-5.7546631341007721</v>
      </c>
      <c r="AI13" s="1">
        <v>-4.2828241200607735</v>
      </c>
      <c r="AJ13" s="1">
        <v>-3.318813113430755</v>
      </c>
      <c r="AK13" s="1">
        <v>-2.2869922902807649</v>
      </c>
      <c r="AL13" s="1">
        <v>-1.1141125145307573</v>
      </c>
      <c r="AM13" s="1">
        <v>-0.85833921068075947</v>
      </c>
      <c r="AN13" s="1">
        <v>0.19842168935924309</v>
      </c>
      <c r="AO13" s="1">
        <v>9.0747949279244927E-2</v>
      </c>
      <c r="AP13" s="1">
        <v>0.28020932696923401</v>
      </c>
      <c r="AQ13" s="1">
        <v>1.6829712080392252</v>
      </c>
      <c r="AR13" s="1">
        <v>2.2472897998692272</v>
      </c>
      <c r="AS13" s="1">
        <v>1.5381377024192207</v>
      </c>
      <c r="AT13" s="1">
        <v>0.95009040011922963</v>
      </c>
      <c r="AU13" s="1">
        <v>0.16778843210923924</v>
      </c>
    </row>
    <row r="14" spans="1:47" x14ac:dyDescent="0.25">
      <c r="A14">
        <v>1986.375</v>
      </c>
      <c r="B14">
        <v>5</v>
      </c>
      <c r="C14" s="1">
        <v>1.1785690316392319</v>
      </c>
      <c r="D14">
        <v>0.72517661910387243</v>
      </c>
      <c r="G14" s="1">
        <v>1.1785690316392319</v>
      </c>
      <c r="H14" s="1">
        <v>1.7114235345992364</v>
      </c>
      <c r="I14" s="1">
        <v>-0.43541689654075511</v>
      </c>
      <c r="J14" s="1">
        <v>-2.7417317744307681</v>
      </c>
      <c r="K14" s="1">
        <v>-1.8271438100307529</v>
      </c>
      <c r="L14" s="1">
        <v>-1.8732676199307727</v>
      </c>
      <c r="M14" s="1">
        <v>0.73595420476922957</v>
      </c>
      <c r="N14" s="1">
        <v>1.5659244664692271</v>
      </c>
      <c r="O14" s="1">
        <v>1.8524098023792341</v>
      </c>
      <c r="P14" s="1">
        <v>2.4420961504492311</v>
      </c>
      <c r="Q14" s="1">
        <v>1.9535774414092228</v>
      </c>
      <c r="R14" s="1">
        <v>2.1399495708212228</v>
      </c>
      <c r="S14" s="1">
        <v>3.018522973209234</v>
      </c>
      <c r="T14" s="1">
        <v>3.2037219389892342</v>
      </c>
      <c r="U14" s="1">
        <v>2.8503516876992365</v>
      </c>
      <c r="V14" s="1">
        <v>1.5492982089822276</v>
      </c>
      <c r="W14" s="1">
        <v>-1.9206002569707727</v>
      </c>
      <c r="X14" s="1">
        <v>1.132073258699223</v>
      </c>
      <c r="Y14" s="1">
        <v>0.48051006084922643</v>
      </c>
      <c r="Z14" s="1">
        <v>1.0633639918392426</v>
      </c>
      <c r="AA14" s="1">
        <v>0.96519801415922746</v>
      </c>
      <c r="AB14" s="1">
        <v>1.8375980735592425</v>
      </c>
      <c r="AC14" s="1">
        <v>2.7315166602692278</v>
      </c>
      <c r="AD14" s="1">
        <v>2.1734786425192314</v>
      </c>
      <c r="AE14" s="1">
        <v>1.880515014489234</v>
      </c>
      <c r="AF14" s="1">
        <v>1.4169093568692384</v>
      </c>
      <c r="AG14" s="1">
        <v>-1.459145150890766</v>
      </c>
      <c r="AH14" s="1">
        <v>-0.25170846241076383</v>
      </c>
      <c r="AI14" s="1">
        <v>-0.36195759964077051</v>
      </c>
      <c r="AJ14" s="1">
        <v>-0.47425017163075722</v>
      </c>
      <c r="AK14" s="1">
        <v>-0.51962604492076825</v>
      </c>
      <c r="AL14" s="1">
        <v>1.7054727707192336</v>
      </c>
      <c r="AM14" s="1">
        <v>1.999494930519234</v>
      </c>
      <c r="AN14" s="1">
        <v>1.7188996157552427</v>
      </c>
      <c r="AO14" s="1">
        <v>0.12128620823924474</v>
      </c>
      <c r="AP14" s="1">
        <v>-1.4051694421937548</v>
      </c>
      <c r="AQ14" s="1">
        <v>-1.5365287291607705</v>
      </c>
      <c r="AR14" s="1">
        <v>-1.6037714177007616</v>
      </c>
      <c r="AS14" s="1">
        <v>-4.4186573967507705</v>
      </c>
      <c r="AT14" s="1">
        <v>-5.7546631341007721</v>
      </c>
      <c r="AU14" s="1">
        <v>-4.2828241200607735</v>
      </c>
    </row>
    <row r="15" spans="1:47" x14ac:dyDescent="0.25">
      <c r="A15">
        <v>1987.375</v>
      </c>
      <c r="B15">
        <v>5</v>
      </c>
      <c r="C15" s="1">
        <v>-0.33535354034076137</v>
      </c>
      <c r="D15">
        <v>1.6796815625460202</v>
      </c>
      <c r="G15" s="1">
        <v>-0.33535354034076137</v>
      </c>
      <c r="H15" s="1">
        <v>-1.3114206938707769</v>
      </c>
      <c r="I15" s="1">
        <v>-2.4788721167707712</v>
      </c>
      <c r="J15" s="1">
        <v>-2.8403952011307547</v>
      </c>
      <c r="K15" s="1">
        <v>-3.2496489045707593</v>
      </c>
      <c r="L15" s="1">
        <v>-3.9234169669407635</v>
      </c>
      <c r="M15" s="1">
        <v>-1.1159987036507704</v>
      </c>
      <c r="N15" s="1">
        <v>-0.73488822433075951</v>
      </c>
      <c r="O15" s="1">
        <v>2.1393244769225279E-2</v>
      </c>
      <c r="P15" s="1">
        <v>0.346637390069234</v>
      </c>
      <c r="Q15" s="1">
        <v>0.912020787759243</v>
      </c>
      <c r="R15" s="1">
        <v>0.75677649209923836</v>
      </c>
      <c r="S15" s="1">
        <v>1.1785690316392319</v>
      </c>
      <c r="T15" s="1">
        <v>1.7114235345992364</v>
      </c>
      <c r="U15" s="1">
        <v>-0.43541689654075511</v>
      </c>
      <c r="V15" s="1">
        <v>-2.7417317744307681</v>
      </c>
      <c r="W15" s="1">
        <v>-1.8271438100307529</v>
      </c>
      <c r="X15" s="1">
        <v>-1.8732676199307727</v>
      </c>
      <c r="Y15" s="1">
        <v>0.73595420476922957</v>
      </c>
      <c r="Z15" s="1">
        <v>1.5659244664692271</v>
      </c>
      <c r="AA15" s="1">
        <v>1.8524098023792341</v>
      </c>
      <c r="AB15" s="1">
        <v>2.4420961504492311</v>
      </c>
      <c r="AC15" s="1">
        <v>1.9535774414092228</v>
      </c>
      <c r="AD15" s="1">
        <v>2.1399495708212228</v>
      </c>
      <c r="AE15" s="1">
        <v>3.018522973209234</v>
      </c>
      <c r="AF15" s="1">
        <v>3.2037219389892342</v>
      </c>
      <c r="AG15" s="1">
        <v>2.8503516876992365</v>
      </c>
      <c r="AH15" s="1">
        <v>1.5492982089822276</v>
      </c>
      <c r="AI15" s="1">
        <v>-1.9206002569707727</v>
      </c>
      <c r="AJ15" s="1">
        <v>1.132073258699223</v>
      </c>
      <c r="AK15" s="1">
        <v>0.48051006084922643</v>
      </c>
      <c r="AL15" s="1">
        <v>1.0633639918392426</v>
      </c>
      <c r="AM15" s="1">
        <v>0.96519801415922746</v>
      </c>
      <c r="AN15" s="1">
        <v>1.8375980735592425</v>
      </c>
      <c r="AO15" s="1">
        <v>2.7315166602692278</v>
      </c>
      <c r="AP15" s="1">
        <v>2.1734786425192314</v>
      </c>
      <c r="AQ15" s="1">
        <v>1.880515014489234</v>
      </c>
      <c r="AR15" s="1">
        <v>1.4169093568692384</v>
      </c>
      <c r="AS15" s="1">
        <v>-1.459145150890766</v>
      </c>
      <c r="AT15" s="1">
        <v>-0.25170846241076383</v>
      </c>
      <c r="AU15" s="1">
        <v>-0.36195759964077051</v>
      </c>
    </row>
    <row r="16" spans="1:47" x14ac:dyDescent="0.25">
      <c r="A16">
        <v>1988.375</v>
      </c>
      <c r="B16">
        <v>5</v>
      </c>
      <c r="C16" s="1">
        <v>1.8152388873692404</v>
      </c>
      <c r="D16">
        <v>0.84640066589600937</v>
      </c>
      <c r="G16" s="1">
        <v>1.8152388873692404</v>
      </c>
      <c r="H16" s="1">
        <v>1.3004161718692424</v>
      </c>
      <c r="I16" s="1">
        <v>0.42120302822923172</v>
      </c>
      <c r="J16" s="1">
        <v>-1.738144879260775</v>
      </c>
      <c r="K16" s="1">
        <v>-1.4435084742307702</v>
      </c>
      <c r="L16" s="1">
        <v>-1.3359299806807639</v>
      </c>
      <c r="M16" s="1">
        <v>-1.46228869434076</v>
      </c>
      <c r="N16" s="1">
        <v>-1.0676690314607571</v>
      </c>
      <c r="O16" s="1">
        <v>-0.84388256081077684</v>
      </c>
      <c r="P16" s="1">
        <v>-0.98430620713077255</v>
      </c>
      <c r="Q16" s="1">
        <v>-1.0628494561707658</v>
      </c>
      <c r="R16" s="1">
        <v>-0.85776481624076351</v>
      </c>
      <c r="S16" s="1">
        <v>-0.33535354034076137</v>
      </c>
      <c r="T16" s="1">
        <v>-1.3114206938707769</v>
      </c>
      <c r="U16" s="1">
        <v>-2.4788721167707712</v>
      </c>
      <c r="V16" s="1">
        <v>-2.8403952011307547</v>
      </c>
      <c r="W16" s="1">
        <v>-3.2496489045707593</v>
      </c>
      <c r="X16" s="1">
        <v>-3.9234169669407635</v>
      </c>
      <c r="Y16" s="1">
        <v>-1.1159987036507704</v>
      </c>
      <c r="Z16" s="1">
        <v>-0.73488822433075951</v>
      </c>
      <c r="AA16" s="1">
        <v>2.1393244769225279E-2</v>
      </c>
      <c r="AB16" s="1">
        <v>0.346637390069234</v>
      </c>
      <c r="AC16" s="1">
        <v>0.912020787759243</v>
      </c>
      <c r="AD16" s="1">
        <v>0.75677649209923836</v>
      </c>
      <c r="AE16" s="1">
        <v>1.1785690316392319</v>
      </c>
      <c r="AF16" s="1">
        <v>1.7114235345992364</v>
      </c>
      <c r="AG16" s="1">
        <v>-0.43541689654075511</v>
      </c>
      <c r="AH16" s="1">
        <v>-2.7417317744307681</v>
      </c>
      <c r="AI16" s="1">
        <v>-1.8271438100307529</v>
      </c>
      <c r="AJ16" s="1">
        <v>-1.8732676199307727</v>
      </c>
      <c r="AK16" s="1">
        <v>0.73595420476922957</v>
      </c>
      <c r="AL16" s="1">
        <v>1.5659244664692271</v>
      </c>
      <c r="AM16" s="1">
        <v>1.8524098023792341</v>
      </c>
      <c r="AN16" s="1">
        <v>2.4420961504492311</v>
      </c>
      <c r="AO16" s="1">
        <v>1.9535774414092228</v>
      </c>
      <c r="AP16" s="1">
        <v>2.1399495708212228</v>
      </c>
      <c r="AQ16" s="1">
        <v>3.018522973209234</v>
      </c>
      <c r="AR16" s="1">
        <v>3.2037219389892342</v>
      </c>
      <c r="AS16" s="1">
        <v>2.8503516876992365</v>
      </c>
      <c r="AT16" s="1">
        <v>1.5492982089822276</v>
      </c>
      <c r="AU16" s="1">
        <v>-1.9206002569707727</v>
      </c>
    </row>
    <row r="17" spans="1:47" x14ac:dyDescent="0.25">
      <c r="A17">
        <v>1989.375</v>
      </c>
      <c r="B17">
        <v>5</v>
      </c>
      <c r="C17" s="1">
        <v>3.101098920829223</v>
      </c>
      <c r="D17">
        <v>2.6271592278168732</v>
      </c>
      <c r="G17" s="1">
        <v>3.101098920829223</v>
      </c>
      <c r="H17" s="1">
        <v>2.9412418136592424</v>
      </c>
      <c r="I17" s="1">
        <v>3.3389959835592316</v>
      </c>
      <c r="J17" s="1">
        <v>4.0775932636092254</v>
      </c>
      <c r="K17" s="1">
        <v>3.5894435184692313</v>
      </c>
      <c r="L17" s="1">
        <v>2.3186386828592394</v>
      </c>
      <c r="M17" s="1">
        <v>2.519808289969224</v>
      </c>
      <c r="N17" s="1">
        <v>2.8509511295692231</v>
      </c>
      <c r="O17" s="1">
        <v>4.210773910769225</v>
      </c>
      <c r="P17" s="1">
        <v>3.9125285119692315</v>
      </c>
      <c r="Q17" s="1">
        <v>4.1239791073692293</v>
      </c>
      <c r="R17" s="1">
        <v>2.838481122869227</v>
      </c>
      <c r="S17" s="1">
        <v>1.8152388873692404</v>
      </c>
      <c r="T17" s="1">
        <v>1.3004161718692424</v>
      </c>
      <c r="U17" s="1">
        <v>0.42120302822923172</v>
      </c>
      <c r="V17" s="1">
        <v>-1.738144879260775</v>
      </c>
      <c r="W17" s="1">
        <v>-1.4435084742307702</v>
      </c>
      <c r="X17" s="1">
        <v>-1.3359299806807639</v>
      </c>
      <c r="Y17" s="1">
        <v>-1.46228869434076</v>
      </c>
      <c r="Z17" s="1">
        <v>-1.0676690314607571</v>
      </c>
      <c r="AA17" s="1">
        <v>-0.84388256081077684</v>
      </c>
      <c r="AB17" s="1">
        <v>-0.98430620713077255</v>
      </c>
      <c r="AC17" s="1">
        <v>-1.0628494561707658</v>
      </c>
      <c r="AD17" s="1">
        <v>-0.85776481624076351</v>
      </c>
      <c r="AE17" s="1">
        <v>-0.33535354034076137</v>
      </c>
      <c r="AF17" s="1">
        <v>-1.3114206938707769</v>
      </c>
      <c r="AG17" s="1">
        <v>-2.4788721167707712</v>
      </c>
      <c r="AH17" s="1">
        <v>-2.8403952011307547</v>
      </c>
      <c r="AI17" s="1">
        <v>-3.2496489045707593</v>
      </c>
      <c r="AJ17" s="1">
        <v>-3.9234169669407635</v>
      </c>
      <c r="AK17" s="1">
        <v>-1.1159987036507704</v>
      </c>
      <c r="AL17" s="1">
        <v>-0.73488822433075951</v>
      </c>
      <c r="AM17" s="1">
        <v>2.1393244769225279E-2</v>
      </c>
      <c r="AN17" s="1">
        <v>0.346637390069234</v>
      </c>
      <c r="AO17" s="1">
        <v>0.912020787759243</v>
      </c>
      <c r="AP17" s="1">
        <v>0.75677649209923836</v>
      </c>
      <c r="AQ17" s="1">
        <v>1.1785690316392319</v>
      </c>
      <c r="AR17" s="1">
        <v>1.7114235345992364</v>
      </c>
      <c r="AS17" s="1">
        <v>-0.43541689654075511</v>
      </c>
      <c r="AT17" s="1">
        <v>-2.7417317744307681</v>
      </c>
      <c r="AU17" s="1">
        <v>-1.8271438100307529</v>
      </c>
    </row>
    <row r="18" spans="1:47" x14ac:dyDescent="0.25">
      <c r="A18">
        <v>1990.375</v>
      </c>
      <c r="B18">
        <v>5</v>
      </c>
      <c r="C18" s="1">
        <v>1.2389727557242383</v>
      </c>
      <c r="D18">
        <v>0.48005357474997773</v>
      </c>
      <c r="G18" s="1">
        <v>1.2389727557242383</v>
      </c>
      <c r="H18" s="1">
        <v>1.6186363016892316</v>
      </c>
      <c r="I18" s="1">
        <v>0.87342533512922516</v>
      </c>
      <c r="J18" s="1">
        <v>2.4928988691492382</v>
      </c>
      <c r="K18" s="1">
        <v>-6.0649675430752892E-2</v>
      </c>
      <c r="L18" s="1">
        <v>-0.80318400744077045</v>
      </c>
      <c r="M18" s="1">
        <v>1.7226007102992229</v>
      </c>
      <c r="N18" s="1">
        <v>2.123144150119245</v>
      </c>
      <c r="O18" s="1">
        <v>1.9350583343592276</v>
      </c>
      <c r="P18" s="1">
        <v>2.4970583207292276</v>
      </c>
      <c r="Q18" s="1">
        <v>3.1293092386692387</v>
      </c>
      <c r="R18" s="1">
        <v>2.5792642141692426</v>
      </c>
      <c r="S18" s="1">
        <v>3.101098920829223</v>
      </c>
      <c r="T18" s="1">
        <v>2.9412418136592424</v>
      </c>
      <c r="U18" s="1">
        <v>3.3389959835592316</v>
      </c>
      <c r="V18" s="1">
        <v>4.0775932636092254</v>
      </c>
      <c r="W18" s="1">
        <v>3.5894435184692313</v>
      </c>
      <c r="X18" s="1">
        <v>2.3186386828592394</v>
      </c>
      <c r="Y18" s="1">
        <v>2.519808289969224</v>
      </c>
      <c r="Z18" s="1">
        <v>2.8509511295692231</v>
      </c>
      <c r="AA18" s="1">
        <v>4.210773910769225</v>
      </c>
      <c r="AB18" s="1">
        <v>3.9125285119692315</v>
      </c>
      <c r="AC18" s="1">
        <v>4.1239791073692293</v>
      </c>
      <c r="AD18" s="1">
        <v>2.838481122869227</v>
      </c>
      <c r="AE18" s="1">
        <v>1.8152388873692404</v>
      </c>
      <c r="AF18" s="1">
        <v>1.3004161718692424</v>
      </c>
      <c r="AG18" s="1">
        <v>0.42120302822923172</v>
      </c>
      <c r="AH18" s="1">
        <v>-1.738144879260775</v>
      </c>
      <c r="AI18" s="1">
        <v>-1.4435084742307702</v>
      </c>
      <c r="AJ18" s="1">
        <v>-1.3359299806807639</v>
      </c>
      <c r="AK18" s="1">
        <v>-1.46228869434076</v>
      </c>
      <c r="AL18" s="1">
        <v>-1.0676690314607571</v>
      </c>
      <c r="AM18" s="1">
        <v>-0.84388256081077684</v>
      </c>
      <c r="AN18" s="1">
        <v>-0.98430620713077255</v>
      </c>
      <c r="AO18" s="1">
        <v>-1.0628494561707658</v>
      </c>
      <c r="AP18" s="1">
        <v>-0.85776481624076351</v>
      </c>
      <c r="AQ18" s="1">
        <v>-0.33535354034076137</v>
      </c>
      <c r="AR18" s="1">
        <v>-1.3114206938707769</v>
      </c>
      <c r="AS18" s="1">
        <v>-2.4788721167707712</v>
      </c>
      <c r="AT18" s="1">
        <v>-2.8403952011307547</v>
      </c>
      <c r="AU18" s="1">
        <v>-3.2496489045707593</v>
      </c>
    </row>
    <row r="19" spans="1:47" x14ac:dyDescent="0.25">
      <c r="A19">
        <v>1991.375</v>
      </c>
      <c r="B19">
        <v>5</v>
      </c>
      <c r="C19" s="1">
        <v>1.5588966751912405</v>
      </c>
      <c r="D19">
        <v>2.2529420312356185</v>
      </c>
      <c r="G19" s="1">
        <v>1.5588966751912405</v>
      </c>
      <c r="H19" s="1">
        <v>1.6316906620592251</v>
      </c>
      <c r="I19" s="1">
        <v>1.2957303481892386</v>
      </c>
      <c r="J19" s="1">
        <v>-1.2335507462607638</v>
      </c>
      <c r="K19" s="1">
        <v>0.16320301782923852</v>
      </c>
      <c r="L19" s="1">
        <v>1.1043187677692341</v>
      </c>
      <c r="M19" s="1">
        <v>2.7184411626292273</v>
      </c>
      <c r="N19" s="1">
        <v>1.6554374506492406</v>
      </c>
      <c r="O19" s="1">
        <v>0.73988715803922955</v>
      </c>
      <c r="P19" s="1">
        <v>1.2394592322392297</v>
      </c>
      <c r="Q19" s="1">
        <v>1.5319094081492275</v>
      </c>
      <c r="R19" s="1">
        <v>1.4473524387232231</v>
      </c>
      <c r="S19" s="1">
        <v>1.2389727557242383</v>
      </c>
      <c r="T19" s="1">
        <v>1.6186363016892316</v>
      </c>
      <c r="U19" s="1">
        <v>0.87342533512922516</v>
      </c>
      <c r="V19" s="1">
        <v>2.4928988691492382</v>
      </c>
      <c r="W19" s="1">
        <v>-6.0649675430752892E-2</v>
      </c>
      <c r="X19" s="1">
        <v>-0.80318400744077045</v>
      </c>
      <c r="Y19" s="1">
        <v>1.7226007102992229</v>
      </c>
      <c r="Z19" s="1">
        <v>2.123144150119245</v>
      </c>
      <c r="AA19" s="1">
        <v>1.9350583343592276</v>
      </c>
      <c r="AB19" s="1">
        <v>2.4970583207292276</v>
      </c>
      <c r="AC19" s="1">
        <v>3.1293092386692387</v>
      </c>
      <c r="AD19" s="1">
        <v>2.5792642141692426</v>
      </c>
      <c r="AE19" s="1">
        <v>3.101098920829223</v>
      </c>
      <c r="AF19" s="1">
        <v>2.9412418136592424</v>
      </c>
      <c r="AG19" s="1">
        <v>3.3389959835592316</v>
      </c>
      <c r="AH19" s="1">
        <v>4.0775932636092254</v>
      </c>
      <c r="AI19" s="1">
        <v>3.5894435184692313</v>
      </c>
      <c r="AJ19" s="1">
        <v>2.3186386828592394</v>
      </c>
      <c r="AK19" s="1">
        <v>2.519808289969224</v>
      </c>
      <c r="AL19" s="1">
        <v>2.8509511295692231</v>
      </c>
      <c r="AM19" s="1">
        <v>4.210773910769225</v>
      </c>
      <c r="AN19" s="1">
        <v>3.9125285119692315</v>
      </c>
      <c r="AO19" s="1">
        <v>4.1239791073692293</v>
      </c>
      <c r="AP19" s="1">
        <v>2.838481122869227</v>
      </c>
      <c r="AQ19" s="1">
        <v>1.8152388873692404</v>
      </c>
      <c r="AR19" s="1">
        <v>1.3004161718692424</v>
      </c>
      <c r="AS19" s="1">
        <v>0.42120302822923172</v>
      </c>
      <c r="AT19" s="1">
        <v>-1.738144879260775</v>
      </c>
      <c r="AU19" s="1">
        <v>-1.4435084742307702</v>
      </c>
    </row>
    <row r="20" spans="1:47" x14ac:dyDescent="0.25">
      <c r="A20">
        <v>1992.375</v>
      </c>
      <c r="B20">
        <v>5</v>
      </c>
      <c r="C20" s="1">
        <v>-0.84115852963076165</v>
      </c>
      <c r="D20">
        <v>1.498580431642087</v>
      </c>
      <c r="G20" s="1">
        <v>-0.84115852963076165</v>
      </c>
      <c r="H20" s="1">
        <v>-1.4262157430307572</v>
      </c>
      <c r="I20" s="1">
        <v>-1.6423887356207789</v>
      </c>
      <c r="J20" s="1">
        <v>-2.3034867752407635</v>
      </c>
      <c r="K20" s="1">
        <v>-4.0346397557107512</v>
      </c>
      <c r="L20" s="1">
        <v>-1.5787000165107659</v>
      </c>
      <c r="M20" s="1">
        <v>-1.6823914399807602</v>
      </c>
      <c r="N20" s="1">
        <v>-0.45250741993075744</v>
      </c>
      <c r="O20" s="1">
        <v>-0.43909391222076166</v>
      </c>
      <c r="P20" s="1">
        <v>0.99610122664924261</v>
      </c>
      <c r="Q20" s="1">
        <v>1.3196503246692344</v>
      </c>
      <c r="R20" s="1">
        <v>1.5908299070092362</v>
      </c>
      <c r="S20" s="1">
        <v>1.5588966751912405</v>
      </c>
      <c r="T20" s="1">
        <v>1.6316906620592251</v>
      </c>
      <c r="U20" s="1">
        <v>1.2957303481892386</v>
      </c>
      <c r="V20" s="1">
        <v>-1.2335507462607638</v>
      </c>
      <c r="W20" s="1">
        <v>0.16320301782923852</v>
      </c>
      <c r="X20" s="1">
        <v>1.1043187677692341</v>
      </c>
      <c r="Y20" s="1">
        <v>2.7184411626292273</v>
      </c>
      <c r="Z20" s="1">
        <v>1.6554374506492406</v>
      </c>
      <c r="AA20" s="1">
        <v>0.73988715803922955</v>
      </c>
      <c r="AB20" s="1">
        <v>1.2394592322392297</v>
      </c>
      <c r="AC20" s="1">
        <v>1.5319094081492275</v>
      </c>
      <c r="AD20" s="1">
        <v>1.4473524387232231</v>
      </c>
      <c r="AE20" s="1">
        <v>1.2389727557242383</v>
      </c>
      <c r="AF20" s="1">
        <v>1.6186363016892316</v>
      </c>
      <c r="AG20" s="1">
        <v>0.87342533512922516</v>
      </c>
      <c r="AH20" s="1">
        <v>2.4928988691492382</v>
      </c>
      <c r="AI20" s="1">
        <v>-6.0649675430752892E-2</v>
      </c>
      <c r="AJ20" s="1">
        <v>-0.80318400744077045</v>
      </c>
      <c r="AK20" s="1">
        <v>1.7226007102992229</v>
      </c>
      <c r="AL20" s="1">
        <v>2.123144150119245</v>
      </c>
      <c r="AM20" s="1">
        <v>1.9350583343592276</v>
      </c>
      <c r="AN20" s="1">
        <v>2.4970583207292276</v>
      </c>
      <c r="AO20" s="1">
        <v>3.1293092386692387</v>
      </c>
      <c r="AP20" s="1">
        <v>2.5792642141692426</v>
      </c>
      <c r="AQ20" s="1">
        <v>3.101098920829223</v>
      </c>
      <c r="AR20" s="1">
        <v>2.9412418136592424</v>
      </c>
      <c r="AS20" s="1">
        <v>3.3389959835592316</v>
      </c>
      <c r="AT20" s="1">
        <v>4.0775932636092254</v>
      </c>
      <c r="AU20" s="1">
        <v>3.5894435184692313</v>
      </c>
    </row>
    <row r="21" spans="1:47" x14ac:dyDescent="0.25">
      <c r="A21">
        <v>1993.375</v>
      </c>
      <c r="B21">
        <v>5</v>
      </c>
      <c r="C21" s="1">
        <v>-1.7499852617307701</v>
      </c>
      <c r="D21">
        <v>1.5096447220767757</v>
      </c>
      <c r="G21" s="1">
        <v>-1.7499852617307701</v>
      </c>
      <c r="H21" s="1">
        <v>-1.4652308750507557</v>
      </c>
      <c r="I21" s="1">
        <v>-1.400128325530777</v>
      </c>
      <c r="J21" s="1">
        <v>-2.5427820538307531</v>
      </c>
      <c r="K21" s="1">
        <v>-6.6647353730779207E-2</v>
      </c>
      <c r="L21" s="1">
        <v>0.2562015870692339</v>
      </c>
      <c r="M21" s="1">
        <v>-0.76324945283075885</v>
      </c>
      <c r="N21" s="1">
        <v>-0.47740350051075731</v>
      </c>
      <c r="O21" s="1">
        <v>0.67246091184924062</v>
      </c>
      <c r="P21" s="1">
        <v>0.91106123696924057</v>
      </c>
      <c r="Q21" s="1">
        <v>0.30045070326922318</v>
      </c>
      <c r="R21" s="1">
        <v>-1.121383650430777</v>
      </c>
      <c r="S21" s="1">
        <v>-0.84115852963076165</v>
      </c>
      <c r="T21" s="1">
        <v>-1.4262157430307572</v>
      </c>
      <c r="U21" s="1">
        <v>-1.6423887356207789</v>
      </c>
      <c r="V21" s="1">
        <v>-2.3034867752407635</v>
      </c>
      <c r="W21" s="1">
        <v>-4.0346397557107512</v>
      </c>
      <c r="X21" s="1">
        <v>-1.5787000165107659</v>
      </c>
      <c r="Y21" s="1">
        <v>-1.6823914399807602</v>
      </c>
      <c r="Z21" s="1">
        <v>-0.45250741993075744</v>
      </c>
      <c r="AA21" s="1">
        <v>-0.43909391222076166</v>
      </c>
      <c r="AB21" s="1">
        <v>0.99610122664924261</v>
      </c>
      <c r="AC21" s="1">
        <v>1.3196503246692344</v>
      </c>
      <c r="AD21" s="1">
        <v>1.5908299070092362</v>
      </c>
      <c r="AE21" s="1">
        <v>1.5588966751912405</v>
      </c>
      <c r="AF21" s="1">
        <v>1.6316906620592251</v>
      </c>
      <c r="AG21" s="1">
        <v>1.2957303481892386</v>
      </c>
      <c r="AH21" s="1">
        <v>-1.2335507462607638</v>
      </c>
      <c r="AI21" s="1">
        <v>0.16320301782923852</v>
      </c>
      <c r="AJ21" s="1">
        <v>1.1043187677692341</v>
      </c>
      <c r="AK21" s="1">
        <v>2.7184411626292273</v>
      </c>
      <c r="AL21" s="1">
        <v>1.6554374506492406</v>
      </c>
      <c r="AM21" s="1">
        <v>0.73988715803922955</v>
      </c>
      <c r="AN21" s="1">
        <v>1.2394592322392297</v>
      </c>
      <c r="AO21" s="1">
        <v>1.5319094081492275</v>
      </c>
      <c r="AP21" s="1">
        <v>1.4473524387232231</v>
      </c>
      <c r="AQ21" s="1">
        <v>1.2389727557242383</v>
      </c>
      <c r="AR21" s="1">
        <v>1.6186363016892316</v>
      </c>
      <c r="AS21" s="1">
        <v>0.87342533512922516</v>
      </c>
      <c r="AT21" s="1">
        <v>2.4928988691492382</v>
      </c>
      <c r="AU21" s="1">
        <v>-6.0649675430752892E-2</v>
      </c>
    </row>
    <row r="22" spans="1:47" x14ac:dyDescent="0.25">
      <c r="A22">
        <v>1994.375</v>
      </c>
      <c r="B22">
        <v>5</v>
      </c>
      <c r="C22" s="1">
        <v>0.48058693018923609</v>
      </c>
      <c r="D22">
        <v>1.1795233174113133</v>
      </c>
      <c r="G22" s="1">
        <v>0.48058693018923609</v>
      </c>
      <c r="H22" s="1">
        <v>0.43658393346923852</v>
      </c>
      <c r="I22" s="1">
        <v>0.55829599056923407</v>
      </c>
      <c r="J22" s="1">
        <v>-0.26735246563077253</v>
      </c>
      <c r="K22" s="1">
        <v>-0.96840572933077751</v>
      </c>
      <c r="L22" s="1">
        <v>-1.3840851574307529</v>
      </c>
      <c r="M22" s="1">
        <v>-0.34274929363076823</v>
      </c>
      <c r="N22" s="1">
        <v>-1.003711165430766</v>
      </c>
      <c r="O22" s="1">
        <v>3.3413247869227392E-2</v>
      </c>
      <c r="P22" s="1">
        <v>-0.23892460953076178</v>
      </c>
      <c r="Q22" s="1">
        <v>-5.7858695630772616E-2</v>
      </c>
      <c r="R22" s="1">
        <v>-1.2440622765307658</v>
      </c>
      <c r="S22" s="1">
        <v>-1.7499852617307701</v>
      </c>
      <c r="T22" s="1">
        <v>-1.4652308750507557</v>
      </c>
      <c r="U22" s="1">
        <v>-1.400128325530777</v>
      </c>
      <c r="V22" s="1">
        <v>-2.5427820538307531</v>
      </c>
      <c r="W22" s="1">
        <v>-6.6647353730779207E-2</v>
      </c>
      <c r="X22" s="1">
        <v>0.2562015870692339</v>
      </c>
      <c r="Y22" s="1">
        <v>-0.76324945283075885</v>
      </c>
      <c r="Z22" s="1">
        <v>-0.47740350051075731</v>
      </c>
      <c r="AA22" s="1">
        <v>0.67246091184924062</v>
      </c>
      <c r="AB22" s="1">
        <v>0.91106123696924057</v>
      </c>
      <c r="AC22" s="1">
        <v>0.30045070326922318</v>
      </c>
      <c r="AD22" s="1">
        <v>-1.121383650430777</v>
      </c>
      <c r="AE22" s="1">
        <v>-0.84115852963076165</v>
      </c>
      <c r="AF22" s="1">
        <v>-1.4262157430307572</v>
      </c>
      <c r="AG22" s="1">
        <v>-1.6423887356207789</v>
      </c>
      <c r="AH22" s="1">
        <v>-2.3034867752407635</v>
      </c>
      <c r="AI22" s="1">
        <v>-4.0346397557107512</v>
      </c>
      <c r="AJ22" s="1">
        <v>-1.5787000165107659</v>
      </c>
      <c r="AK22" s="1">
        <v>-1.6823914399807602</v>
      </c>
      <c r="AL22" s="1">
        <v>-0.45250741993075744</v>
      </c>
      <c r="AM22" s="1">
        <v>-0.43909391222076166</v>
      </c>
      <c r="AN22" s="1">
        <v>0.99610122664924261</v>
      </c>
      <c r="AO22" s="1">
        <v>1.3196503246692344</v>
      </c>
      <c r="AP22" s="1">
        <v>1.5908299070092362</v>
      </c>
      <c r="AQ22" s="1">
        <v>1.5588966751912405</v>
      </c>
      <c r="AR22" s="1">
        <v>1.6316906620592251</v>
      </c>
      <c r="AS22" s="1">
        <v>1.2957303481892386</v>
      </c>
      <c r="AT22" s="1">
        <v>-1.2335507462607638</v>
      </c>
      <c r="AU22" s="1">
        <v>0.16320301782923852</v>
      </c>
    </row>
    <row r="23" spans="1:47" x14ac:dyDescent="0.25">
      <c r="A23">
        <v>1995.375</v>
      </c>
      <c r="B23">
        <v>5</v>
      </c>
      <c r="C23" s="1">
        <v>7.6683764169240554E-2</v>
      </c>
      <c r="D23">
        <v>1.8557035722731126</v>
      </c>
      <c r="G23" s="1">
        <v>7.6683764169240554E-2</v>
      </c>
      <c r="H23" s="1">
        <v>0.10972375916922747</v>
      </c>
      <c r="I23" s="1">
        <v>-0.31761633993075511</v>
      </c>
      <c r="J23" s="1">
        <v>-1.3699783146307574</v>
      </c>
      <c r="K23" s="1">
        <v>-2.2407406892407531</v>
      </c>
      <c r="L23" s="1">
        <v>-1.0063510335307699</v>
      </c>
      <c r="M23" s="1">
        <v>1.3061153370692451</v>
      </c>
      <c r="N23" s="1">
        <v>-0.22854296843077238</v>
      </c>
      <c r="O23" s="1">
        <v>0.54970240346922294</v>
      </c>
      <c r="P23" s="1">
        <v>1.4629862816792296</v>
      </c>
      <c r="Q23" s="1">
        <v>1.3126903932192404</v>
      </c>
      <c r="R23" s="1">
        <v>1.4165573207592337</v>
      </c>
      <c r="S23" s="1">
        <v>0.48058693018923609</v>
      </c>
      <c r="T23" s="1">
        <v>0.43658393346923852</v>
      </c>
      <c r="U23" s="1">
        <v>0.55829599056923407</v>
      </c>
      <c r="V23" s="1">
        <v>-0.26735246563077253</v>
      </c>
      <c r="W23" s="1">
        <v>-0.96840572933077751</v>
      </c>
      <c r="X23" s="1">
        <v>-1.3840851574307529</v>
      </c>
      <c r="Y23" s="1">
        <v>-0.34274929363076823</v>
      </c>
      <c r="Z23" s="1">
        <v>-1.003711165430766</v>
      </c>
      <c r="AA23" s="1">
        <v>3.3413247869227392E-2</v>
      </c>
      <c r="AB23" s="1">
        <v>-0.23892460953076178</v>
      </c>
      <c r="AC23" s="1">
        <v>-5.7858695630772616E-2</v>
      </c>
      <c r="AD23" s="1">
        <v>-1.2440622765307658</v>
      </c>
      <c r="AE23" s="1">
        <v>-1.7499852617307701</v>
      </c>
      <c r="AF23" s="1">
        <v>-1.4652308750507557</v>
      </c>
      <c r="AG23" s="1">
        <v>-1.400128325530777</v>
      </c>
      <c r="AH23" s="1">
        <v>-2.5427820538307531</v>
      </c>
      <c r="AI23" s="1">
        <v>-6.6647353730779207E-2</v>
      </c>
      <c r="AJ23" s="1">
        <v>0.2562015870692339</v>
      </c>
      <c r="AK23" s="1">
        <v>-0.76324945283075885</v>
      </c>
      <c r="AL23" s="1">
        <v>-0.47740350051075731</v>
      </c>
      <c r="AM23" s="1">
        <v>0.67246091184924062</v>
      </c>
      <c r="AN23" s="1">
        <v>0.91106123696924057</v>
      </c>
      <c r="AO23" s="1">
        <v>0.30045070326922318</v>
      </c>
      <c r="AP23" s="1">
        <v>-1.121383650430777</v>
      </c>
      <c r="AQ23" s="1">
        <v>-0.84115852963076165</v>
      </c>
      <c r="AR23" s="1">
        <v>-1.4262157430307572</v>
      </c>
      <c r="AS23" s="1">
        <v>-1.6423887356207789</v>
      </c>
      <c r="AT23" s="1">
        <v>-2.3034867752407635</v>
      </c>
      <c r="AU23" s="1">
        <v>-4.0346397557107512</v>
      </c>
    </row>
    <row r="24" spans="1:47" x14ac:dyDescent="0.25">
      <c r="A24">
        <v>1996.375</v>
      </c>
      <c r="B24">
        <v>5</v>
      </c>
      <c r="C24" s="1">
        <v>0.93481068946924495</v>
      </c>
      <c r="D24">
        <v>1.5416366165734727</v>
      </c>
      <c r="G24" s="1">
        <v>0.93481068946924495</v>
      </c>
      <c r="H24" s="1">
        <v>-9.6817897150762722E-2</v>
      </c>
      <c r="I24" s="1">
        <v>0.34425614486924488</v>
      </c>
      <c r="J24" s="1">
        <v>5.2294937169236277E-2</v>
      </c>
      <c r="K24" s="1">
        <v>0.12928496692922442</v>
      </c>
      <c r="L24" s="1">
        <v>-1.3773610517907746</v>
      </c>
      <c r="M24" s="1">
        <v>1.5170529866692426</v>
      </c>
      <c r="N24" s="1">
        <v>1.4887714762392252</v>
      </c>
      <c r="O24" s="1">
        <v>0.48882257341924473</v>
      </c>
      <c r="P24" s="1">
        <v>2.4735421464692338</v>
      </c>
      <c r="Q24" s="1">
        <v>1.2489220058692447</v>
      </c>
      <c r="R24" s="1">
        <v>0.55404742496924286</v>
      </c>
      <c r="S24" s="1">
        <v>7.6683764169240554E-2</v>
      </c>
      <c r="T24" s="1">
        <v>0.10972375916922747</v>
      </c>
      <c r="U24" s="1">
        <v>-0.31761633993075511</v>
      </c>
      <c r="V24" s="1">
        <v>-1.3699783146307574</v>
      </c>
      <c r="W24" s="1">
        <v>-2.2407406892407531</v>
      </c>
      <c r="X24" s="1">
        <v>-1.0063510335307699</v>
      </c>
      <c r="Y24" s="1">
        <v>1.3061153370692451</v>
      </c>
      <c r="Z24" s="1">
        <v>-0.22854296843077238</v>
      </c>
      <c r="AA24" s="1">
        <v>0.54970240346922294</v>
      </c>
      <c r="AB24" s="1">
        <v>1.4629862816792296</v>
      </c>
      <c r="AC24" s="1">
        <v>1.3126903932192404</v>
      </c>
      <c r="AD24" s="1">
        <v>1.4165573207592337</v>
      </c>
      <c r="AE24" s="1">
        <v>0.48058693018923609</v>
      </c>
      <c r="AF24" s="1">
        <v>0.43658393346923852</v>
      </c>
      <c r="AG24" s="1">
        <v>0.55829599056923407</v>
      </c>
      <c r="AH24" s="1">
        <v>-0.26735246563077253</v>
      </c>
      <c r="AI24" s="1">
        <v>-0.96840572933077751</v>
      </c>
      <c r="AJ24" s="1">
        <v>-1.3840851574307529</v>
      </c>
      <c r="AK24" s="1">
        <v>-0.34274929363076823</v>
      </c>
      <c r="AL24" s="1">
        <v>-1.003711165430766</v>
      </c>
      <c r="AM24" s="1">
        <v>3.3413247869227392E-2</v>
      </c>
      <c r="AN24" s="1">
        <v>-0.23892460953076178</v>
      </c>
      <c r="AO24" s="1">
        <v>-5.7858695630772616E-2</v>
      </c>
      <c r="AP24" s="1">
        <v>-1.2440622765307658</v>
      </c>
      <c r="AQ24" s="1">
        <v>-1.7499852617307701</v>
      </c>
      <c r="AR24" s="1">
        <v>-1.4652308750507557</v>
      </c>
      <c r="AS24" s="1">
        <v>-1.400128325530777</v>
      </c>
      <c r="AT24" s="1">
        <v>-2.5427820538307531</v>
      </c>
      <c r="AU24" s="1">
        <v>-6.6647353730779207E-2</v>
      </c>
    </row>
    <row r="25" spans="1:47" x14ac:dyDescent="0.25">
      <c r="A25">
        <v>1997.375</v>
      </c>
      <c r="B25">
        <v>5</v>
      </c>
      <c r="C25" s="1">
        <v>-1.0207669603507683</v>
      </c>
      <c r="D25">
        <v>1.1168676544258518</v>
      </c>
      <c r="G25" s="1">
        <v>-1.0207669603507683</v>
      </c>
      <c r="H25" s="1">
        <v>-9.7373376630768144E-2</v>
      </c>
      <c r="I25" s="1">
        <v>1.4184623768092359</v>
      </c>
      <c r="J25" s="1">
        <v>-0.48558845493075964</v>
      </c>
      <c r="K25" s="1">
        <v>-1.4328003235307725</v>
      </c>
      <c r="L25" s="1">
        <v>0.25270418406924511</v>
      </c>
      <c r="M25" s="1">
        <v>0.81910462036922738</v>
      </c>
      <c r="N25" s="1">
        <v>1.2670931882692424</v>
      </c>
      <c r="O25" s="1">
        <v>1.252030043689234</v>
      </c>
      <c r="P25" s="1">
        <v>2.7404304538592403</v>
      </c>
      <c r="Q25" s="1">
        <v>2.3489521429392384</v>
      </c>
      <c r="R25" s="1">
        <v>1.766043151369225</v>
      </c>
      <c r="S25" s="1">
        <v>0.93481068946924495</v>
      </c>
      <c r="T25" s="1">
        <v>-9.6817897150762722E-2</v>
      </c>
      <c r="U25" s="1">
        <v>0.34425614486924488</v>
      </c>
      <c r="V25" s="1">
        <v>5.2294937169236277E-2</v>
      </c>
      <c r="W25" s="1">
        <v>0.12928496692922442</v>
      </c>
      <c r="X25" s="1">
        <v>-1.3773610517907746</v>
      </c>
      <c r="Y25" s="1">
        <v>1.5170529866692426</v>
      </c>
      <c r="Z25" s="1">
        <v>1.4887714762392252</v>
      </c>
      <c r="AA25" s="1">
        <v>0.48882257341924473</v>
      </c>
      <c r="AB25" s="1">
        <v>2.4735421464692338</v>
      </c>
      <c r="AC25" s="1">
        <v>1.2489220058692447</v>
      </c>
      <c r="AD25" s="1">
        <v>0.55404742496924286</v>
      </c>
      <c r="AE25" s="1">
        <v>7.6683764169240554E-2</v>
      </c>
      <c r="AF25" s="1">
        <v>0.10972375916922747</v>
      </c>
      <c r="AG25" s="1">
        <v>-0.31761633993075511</v>
      </c>
      <c r="AH25" s="1">
        <v>-1.3699783146307574</v>
      </c>
      <c r="AI25" s="1">
        <v>-2.2407406892407531</v>
      </c>
      <c r="AJ25" s="1">
        <v>-1.0063510335307699</v>
      </c>
      <c r="AK25" s="1">
        <v>1.3061153370692451</v>
      </c>
      <c r="AL25" s="1">
        <v>-0.22854296843077238</v>
      </c>
      <c r="AM25" s="1">
        <v>0.54970240346922294</v>
      </c>
      <c r="AN25" s="1">
        <v>1.4629862816792296</v>
      </c>
      <c r="AO25" s="1">
        <v>1.3126903932192404</v>
      </c>
      <c r="AP25" s="1">
        <v>1.4165573207592337</v>
      </c>
      <c r="AQ25" s="1">
        <v>0.48058693018923609</v>
      </c>
      <c r="AR25" s="1">
        <v>0.43658393346923852</v>
      </c>
      <c r="AS25" s="1">
        <v>0.55829599056923407</v>
      </c>
      <c r="AT25" s="1">
        <v>-0.26735246563077253</v>
      </c>
      <c r="AU25" s="1">
        <v>-0.96840572933077751</v>
      </c>
    </row>
    <row r="26" spans="1:47" x14ac:dyDescent="0.25">
      <c r="A26">
        <v>1998.375</v>
      </c>
      <c r="B26">
        <v>5</v>
      </c>
      <c r="C26" s="1">
        <v>0.36530161782924503</v>
      </c>
      <c r="D26">
        <v>0.86767771744764244</v>
      </c>
      <c r="G26" s="1">
        <v>0.36530161782924503</v>
      </c>
      <c r="H26" s="1">
        <v>-0.67479155132076152</v>
      </c>
      <c r="I26" s="1">
        <v>-2.787153976350762</v>
      </c>
      <c r="J26" s="1">
        <v>-4.7932476183307555</v>
      </c>
      <c r="K26" s="1">
        <v>-5.1007095236207638</v>
      </c>
      <c r="L26" s="1">
        <v>-3.1512866676807603</v>
      </c>
      <c r="M26" s="1">
        <v>-3.1398037807207642</v>
      </c>
      <c r="N26" s="1">
        <v>-2.6304183801607746</v>
      </c>
      <c r="O26" s="1">
        <v>-2.6443173447007617</v>
      </c>
      <c r="P26" s="1">
        <v>-2.0635819996307614</v>
      </c>
      <c r="Q26" s="1">
        <v>-1.616506618360757</v>
      </c>
      <c r="R26" s="1">
        <v>-2.2607291906107592</v>
      </c>
      <c r="S26" s="1">
        <v>-1.0207669603507683</v>
      </c>
      <c r="T26" s="1">
        <v>-9.7373376630768144E-2</v>
      </c>
      <c r="U26" s="1">
        <v>1.4184623768092359</v>
      </c>
      <c r="V26" s="1">
        <v>-0.48558845493075964</v>
      </c>
      <c r="W26" s="1">
        <v>-1.4328003235307725</v>
      </c>
      <c r="X26" s="1">
        <v>0.25270418406924511</v>
      </c>
      <c r="Y26" s="1">
        <v>0.81910462036922738</v>
      </c>
      <c r="Z26" s="1">
        <v>1.2670931882692424</v>
      </c>
      <c r="AA26" s="1">
        <v>1.252030043689234</v>
      </c>
      <c r="AB26" s="1">
        <v>2.7404304538592403</v>
      </c>
      <c r="AC26" s="1">
        <v>2.3489521429392384</v>
      </c>
      <c r="AD26" s="1">
        <v>1.766043151369225</v>
      </c>
      <c r="AE26" s="1">
        <v>0.93481068946924495</v>
      </c>
      <c r="AF26" s="1">
        <v>-9.6817897150762722E-2</v>
      </c>
      <c r="AG26" s="1">
        <v>0.34425614486924488</v>
      </c>
      <c r="AH26" s="1">
        <v>5.2294937169236277E-2</v>
      </c>
      <c r="AI26" s="1">
        <v>0.12928496692922442</v>
      </c>
      <c r="AJ26" s="1">
        <v>-1.3773610517907746</v>
      </c>
      <c r="AK26" s="1">
        <v>1.5170529866692426</v>
      </c>
      <c r="AL26" s="1">
        <v>1.4887714762392252</v>
      </c>
      <c r="AM26" s="1">
        <v>0.48882257341924473</v>
      </c>
      <c r="AN26" s="1">
        <v>2.4735421464692338</v>
      </c>
      <c r="AO26" s="1">
        <v>1.2489220058692447</v>
      </c>
      <c r="AP26" s="1">
        <v>0.55404742496924286</v>
      </c>
      <c r="AQ26" s="1">
        <v>7.6683764169240554E-2</v>
      </c>
      <c r="AR26" s="1">
        <v>0.10972375916922747</v>
      </c>
      <c r="AS26" s="1">
        <v>-0.31761633993075511</v>
      </c>
      <c r="AT26" s="1">
        <v>-1.3699783146307574</v>
      </c>
      <c r="AU26" s="1">
        <v>-2.2407406892407531</v>
      </c>
    </row>
    <row r="27" spans="1:47" x14ac:dyDescent="0.25">
      <c r="A27">
        <v>1999.375</v>
      </c>
      <c r="B27">
        <v>5</v>
      </c>
      <c r="C27" s="1">
        <v>4.2896200438692365</v>
      </c>
      <c r="D27">
        <v>0.97865725648244606</v>
      </c>
      <c r="G27" s="1">
        <v>4.2896200438692365</v>
      </c>
      <c r="H27" s="1">
        <v>4.2750099174692346</v>
      </c>
      <c r="I27" s="1">
        <v>2.720610813269225</v>
      </c>
      <c r="J27" s="1">
        <v>2.0505162265692274</v>
      </c>
      <c r="K27" s="1">
        <v>2.0362881506692445</v>
      </c>
      <c r="L27" s="1">
        <v>3.053984121499234</v>
      </c>
      <c r="M27" s="1">
        <v>2.044175869139242</v>
      </c>
      <c r="N27" s="1">
        <v>3.7128887155072277</v>
      </c>
      <c r="O27" s="1">
        <v>3.4363206710852405</v>
      </c>
      <c r="P27" s="1">
        <v>4.4289432049292321</v>
      </c>
      <c r="Q27" s="1">
        <v>3.8889257109492208</v>
      </c>
      <c r="R27" s="1">
        <v>2.0395898820592362</v>
      </c>
      <c r="S27" s="1">
        <v>0.36530161782924503</v>
      </c>
      <c r="T27" s="1">
        <v>-0.67479155132076152</v>
      </c>
      <c r="U27" s="1">
        <v>-2.787153976350762</v>
      </c>
      <c r="V27" s="1">
        <v>-4.7932476183307555</v>
      </c>
      <c r="W27" s="1">
        <v>-5.1007095236207638</v>
      </c>
      <c r="X27" s="1">
        <v>-3.1512866676807603</v>
      </c>
      <c r="Y27" s="1">
        <v>-3.1398037807207642</v>
      </c>
      <c r="Z27" s="1">
        <v>-2.6304183801607746</v>
      </c>
      <c r="AA27" s="1">
        <v>-2.6443173447007617</v>
      </c>
      <c r="AB27" s="1">
        <v>-2.0635819996307614</v>
      </c>
      <c r="AC27" s="1">
        <v>-1.616506618360757</v>
      </c>
      <c r="AD27" s="1">
        <v>-2.2607291906107592</v>
      </c>
      <c r="AE27" s="1">
        <v>-1.0207669603507683</v>
      </c>
      <c r="AF27" s="1">
        <v>-9.7373376630768144E-2</v>
      </c>
      <c r="AG27" s="1">
        <v>1.4184623768092359</v>
      </c>
      <c r="AH27" s="1">
        <v>-0.48558845493075964</v>
      </c>
      <c r="AI27" s="1">
        <v>-1.4328003235307725</v>
      </c>
      <c r="AJ27" s="1">
        <v>0.25270418406924511</v>
      </c>
      <c r="AK27" s="1">
        <v>0.81910462036922738</v>
      </c>
      <c r="AL27" s="1">
        <v>1.2670931882692424</v>
      </c>
      <c r="AM27" s="1">
        <v>1.252030043689234</v>
      </c>
      <c r="AN27" s="1">
        <v>2.7404304538592403</v>
      </c>
      <c r="AO27" s="1">
        <v>2.3489521429392384</v>
      </c>
      <c r="AP27" s="1">
        <v>1.766043151369225</v>
      </c>
      <c r="AQ27" s="1">
        <v>0.93481068946924495</v>
      </c>
      <c r="AR27" s="1">
        <v>-9.6817897150762722E-2</v>
      </c>
      <c r="AS27" s="1">
        <v>0.34425614486924488</v>
      </c>
      <c r="AT27" s="1">
        <v>5.2294937169236277E-2</v>
      </c>
      <c r="AU27" s="1">
        <v>0.12928496692922442</v>
      </c>
    </row>
    <row r="28" spans="1:47" x14ac:dyDescent="0.25">
      <c r="A28">
        <v>2000.375</v>
      </c>
      <c r="B28">
        <v>5</v>
      </c>
      <c r="C28" s="1">
        <v>3.5373226747692317</v>
      </c>
      <c r="D28">
        <v>0.85159448789008296</v>
      </c>
      <c r="G28" s="1">
        <v>3.5373226747692317</v>
      </c>
      <c r="H28" s="1">
        <v>3.0903652242692421</v>
      </c>
      <c r="I28" s="1">
        <v>1.4600406446692253</v>
      </c>
      <c r="J28" s="1">
        <v>0.9794701684692293</v>
      </c>
      <c r="K28" s="1">
        <v>4.1817926795692255</v>
      </c>
      <c r="L28" s="1">
        <v>3.394136948569225</v>
      </c>
      <c r="M28" s="1">
        <v>3.509488163569245</v>
      </c>
      <c r="N28" s="1">
        <v>4.1367831363692362</v>
      </c>
      <c r="O28" s="1">
        <v>3.8332401099692253</v>
      </c>
      <c r="P28" s="1">
        <v>3.4883985685692318</v>
      </c>
      <c r="Q28" s="1">
        <v>4.7052333398692276</v>
      </c>
      <c r="R28" s="1">
        <v>4.0284021538692274</v>
      </c>
      <c r="S28" s="1">
        <v>4.2896200438692365</v>
      </c>
      <c r="T28" s="1">
        <v>4.2750099174692346</v>
      </c>
      <c r="U28" s="1">
        <v>2.720610813269225</v>
      </c>
      <c r="V28" s="1">
        <v>2.0505162265692274</v>
      </c>
      <c r="W28" s="1">
        <v>2.0362881506692445</v>
      </c>
      <c r="X28" s="1">
        <v>3.053984121499234</v>
      </c>
      <c r="Y28" s="1">
        <v>2.044175869139242</v>
      </c>
      <c r="Z28" s="1">
        <v>3.7128887155072277</v>
      </c>
      <c r="AA28" s="1">
        <v>3.4363206710852405</v>
      </c>
      <c r="AB28" s="1">
        <v>4.4289432049292321</v>
      </c>
      <c r="AC28" s="1">
        <v>3.8889257109492208</v>
      </c>
      <c r="AD28" s="1">
        <v>2.0395898820592362</v>
      </c>
      <c r="AE28" s="1">
        <v>0.36530161782924503</v>
      </c>
      <c r="AF28" s="1">
        <v>-0.67479155132076152</v>
      </c>
      <c r="AG28" s="1">
        <v>-2.787153976350762</v>
      </c>
      <c r="AH28" s="1">
        <v>-4.7932476183307555</v>
      </c>
      <c r="AI28" s="1">
        <v>-5.1007095236207638</v>
      </c>
      <c r="AJ28" s="1">
        <v>-3.1512866676807603</v>
      </c>
      <c r="AK28" s="1">
        <v>-3.1398037807207642</v>
      </c>
      <c r="AL28" s="1">
        <v>-2.6304183801607746</v>
      </c>
      <c r="AM28" s="1">
        <v>-2.6443173447007617</v>
      </c>
      <c r="AN28" s="1">
        <v>-2.0635819996307614</v>
      </c>
      <c r="AO28" s="1">
        <v>-1.616506618360757</v>
      </c>
      <c r="AP28" s="1">
        <v>-2.2607291906107592</v>
      </c>
      <c r="AQ28" s="1">
        <v>-1.0207669603507683</v>
      </c>
      <c r="AR28" s="1">
        <v>-9.7373376630768144E-2</v>
      </c>
      <c r="AS28" s="1">
        <v>1.4184623768092359</v>
      </c>
      <c r="AT28" s="1">
        <v>-0.48558845493075964</v>
      </c>
      <c r="AU28" s="1">
        <v>-1.4328003235307725</v>
      </c>
    </row>
    <row r="29" spans="1:47" x14ac:dyDescent="0.25">
      <c r="A29">
        <v>2001.375</v>
      </c>
      <c r="B29">
        <v>5</v>
      </c>
      <c r="C29" s="1">
        <v>2.8748315578692294</v>
      </c>
      <c r="D29">
        <v>2.3408832674976887</v>
      </c>
      <c r="G29" s="1">
        <v>2.8748315578692294</v>
      </c>
      <c r="H29" s="1">
        <v>3.2092950798692228</v>
      </c>
      <c r="I29" s="1">
        <v>1.7469426557692425</v>
      </c>
      <c r="J29" s="1">
        <v>1.4616929183692422</v>
      </c>
      <c r="K29" s="1">
        <v>-0.38835567963076423</v>
      </c>
      <c r="L29" s="1">
        <v>-0.22668680423076398</v>
      </c>
      <c r="M29" s="1">
        <v>1.6595333543692334</v>
      </c>
      <c r="N29" s="1">
        <v>2.6644051674692379</v>
      </c>
      <c r="O29" s="1">
        <v>2.5123353872692271</v>
      </c>
      <c r="P29" s="1">
        <v>3.4102340611692208</v>
      </c>
      <c r="Q29" s="1">
        <v>3.4716817257692343</v>
      </c>
      <c r="R29" s="1">
        <v>3.2955469341692334</v>
      </c>
      <c r="S29" s="1">
        <v>3.5373226747692317</v>
      </c>
      <c r="T29" s="1">
        <v>3.0903652242692421</v>
      </c>
      <c r="U29" s="1">
        <v>1.4600406446692253</v>
      </c>
      <c r="V29" s="1">
        <v>0.9794701684692293</v>
      </c>
      <c r="W29" s="1">
        <v>4.1817926795692255</v>
      </c>
      <c r="X29" s="1">
        <v>3.394136948569225</v>
      </c>
      <c r="Y29" s="1">
        <v>3.509488163569245</v>
      </c>
      <c r="Z29" s="1">
        <v>4.1367831363692362</v>
      </c>
      <c r="AA29" s="1">
        <v>3.8332401099692253</v>
      </c>
      <c r="AB29" s="1">
        <v>3.4883985685692318</v>
      </c>
      <c r="AC29" s="1">
        <v>4.7052333398692276</v>
      </c>
      <c r="AD29" s="1">
        <v>4.0284021538692274</v>
      </c>
      <c r="AE29" s="1">
        <v>4.2896200438692365</v>
      </c>
      <c r="AF29" s="1">
        <v>4.2750099174692346</v>
      </c>
      <c r="AG29" s="1">
        <v>2.720610813269225</v>
      </c>
      <c r="AH29" s="1">
        <v>2.0505162265692274</v>
      </c>
      <c r="AI29" s="1">
        <v>2.0362881506692445</v>
      </c>
      <c r="AJ29" s="1">
        <v>3.053984121499234</v>
      </c>
      <c r="AK29" s="1">
        <v>2.044175869139242</v>
      </c>
      <c r="AL29" s="1">
        <v>3.7128887155072277</v>
      </c>
      <c r="AM29" s="1">
        <v>3.4363206710852405</v>
      </c>
      <c r="AN29" s="1">
        <v>4.4289432049292321</v>
      </c>
      <c r="AO29" s="1">
        <v>3.8889257109492208</v>
      </c>
      <c r="AP29" s="1">
        <v>2.0395898820592362</v>
      </c>
      <c r="AQ29" s="1">
        <v>0.36530161782924503</v>
      </c>
      <c r="AR29" s="1">
        <v>-0.67479155132076152</v>
      </c>
      <c r="AS29" s="1">
        <v>-2.787153976350762</v>
      </c>
      <c r="AT29" s="1">
        <v>-4.7932476183307555</v>
      </c>
      <c r="AU29" s="1">
        <v>-5.1007095236207638</v>
      </c>
    </row>
    <row r="30" spans="1:47" x14ac:dyDescent="0.25">
      <c r="A30">
        <v>2002.375</v>
      </c>
      <c r="B30">
        <v>5</v>
      </c>
      <c r="C30" s="1">
        <v>1.9076068417692387</v>
      </c>
      <c r="D30">
        <v>3.2891080506056336</v>
      </c>
      <c r="G30" s="1">
        <v>1.9076068417692387</v>
      </c>
      <c r="H30" s="1">
        <v>3.0384176178892228</v>
      </c>
      <c r="I30" s="1">
        <v>2.3836384248692406</v>
      </c>
      <c r="J30" s="1">
        <v>1.7291000883692318</v>
      </c>
      <c r="K30" s="1">
        <v>0.57640479186923832</v>
      </c>
      <c r="L30" s="1">
        <v>0.41005423246923839</v>
      </c>
      <c r="M30" s="1">
        <v>0.95477888506922737</v>
      </c>
      <c r="N30" s="1">
        <v>2.6059359112692251</v>
      </c>
      <c r="O30" s="1">
        <v>2.3933862785692384</v>
      </c>
      <c r="P30" s="1">
        <v>2.724954240169227</v>
      </c>
      <c r="Q30" s="1">
        <v>3.197693081169227</v>
      </c>
      <c r="R30" s="1">
        <v>3.2077139517692337</v>
      </c>
      <c r="S30" s="1">
        <v>2.8748315578692294</v>
      </c>
      <c r="T30" s="1">
        <v>3.2092950798692228</v>
      </c>
      <c r="U30" s="1">
        <v>1.7469426557692425</v>
      </c>
      <c r="V30" s="1">
        <v>1.4616929183692422</v>
      </c>
      <c r="W30" s="1">
        <v>-0.38835567963076423</v>
      </c>
      <c r="X30" s="1">
        <v>-0.22668680423076398</v>
      </c>
      <c r="Y30" s="1">
        <v>1.6595333543692334</v>
      </c>
      <c r="Z30" s="1">
        <v>2.6644051674692379</v>
      </c>
      <c r="AA30" s="1">
        <v>2.5123353872692271</v>
      </c>
      <c r="AB30" s="1">
        <v>3.4102340611692208</v>
      </c>
      <c r="AC30" s="1">
        <v>3.4716817257692343</v>
      </c>
      <c r="AD30" s="1">
        <v>3.2955469341692334</v>
      </c>
      <c r="AE30" s="1">
        <v>3.5373226747692317</v>
      </c>
      <c r="AF30" s="1">
        <v>3.0903652242692421</v>
      </c>
      <c r="AG30" s="1">
        <v>1.4600406446692253</v>
      </c>
      <c r="AH30" s="1">
        <v>0.9794701684692293</v>
      </c>
      <c r="AI30" s="1">
        <v>4.1817926795692255</v>
      </c>
      <c r="AJ30" s="1">
        <v>3.394136948569225</v>
      </c>
      <c r="AK30" s="1">
        <v>3.509488163569245</v>
      </c>
      <c r="AL30" s="1">
        <v>4.1367831363692362</v>
      </c>
      <c r="AM30" s="1">
        <v>3.8332401099692253</v>
      </c>
      <c r="AN30" s="1">
        <v>3.4883985685692318</v>
      </c>
      <c r="AO30" s="1">
        <v>4.7052333398692276</v>
      </c>
      <c r="AP30" s="1">
        <v>4.0284021538692274</v>
      </c>
      <c r="AQ30" s="1">
        <v>4.2896200438692365</v>
      </c>
      <c r="AR30" s="1">
        <v>4.2750099174692346</v>
      </c>
      <c r="AS30" s="1">
        <v>2.720610813269225</v>
      </c>
      <c r="AT30" s="1">
        <v>2.0505162265692274</v>
      </c>
      <c r="AU30" s="1">
        <v>2.0362881506692445</v>
      </c>
    </row>
    <row r="31" spans="1:47" x14ac:dyDescent="0.25">
      <c r="A31">
        <v>2003.375</v>
      </c>
      <c r="B31">
        <v>5</v>
      </c>
      <c r="C31" s="1">
        <v>2.2880968023692252</v>
      </c>
      <c r="D31">
        <v>1.104167833343761</v>
      </c>
      <c r="G31" s="1">
        <v>2.2880968023692252</v>
      </c>
      <c r="H31" s="1">
        <v>1.3477316226692384</v>
      </c>
      <c r="I31" s="1">
        <v>-0.21509650943075509</v>
      </c>
      <c r="J31" s="1">
        <v>-1.3804676941707616</v>
      </c>
      <c r="K31" s="1">
        <v>-3.3722278468307572</v>
      </c>
      <c r="L31" s="1">
        <v>-2.8223534988307661</v>
      </c>
      <c r="M31" s="1">
        <v>-2.5511742228307752</v>
      </c>
      <c r="N31" s="1">
        <v>-0.85183288539076163</v>
      </c>
      <c r="O31" s="1">
        <v>0.39340332639922526</v>
      </c>
      <c r="P31" s="1">
        <v>0.59083584561924296</v>
      </c>
      <c r="Q31" s="1">
        <v>1.6826666062692384</v>
      </c>
      <c r="R31" s="1">
        <v>1.4205022298692254</v>
      </c>
      <c r="S31" s="1">
        <v>1.9076068417692387</v>
      </c>
      <c r="T31" s="1">
        <v>3.0384176178892228</v>
      </c>
      <c r="U31" s="1">
        <v>2.3836384248692406</v>
      </c>
      <c r="V31" s="1">
        <v>1.7291000883692318</v>
      </c>
      <c r="W31" s="1">
        <v>0.57640479186923832</v>
      </c>
      <c r="X31" s="1">
        <v>0.41005423246923839</v>
      </c>
      <c r="Y31" s="1">
        <v>0.95477888506922737</v>
      </c>
      <c r="Z31" s="1">
        <v>2.6059359112692251</v>
      </c>
      <c r="AA31" s="1">
        <v>2.3933862785692384</v>
      </c>
      <c r="AB31" s="1">
        <v>2.724954240169227</v>
      </c>
      <c r="AC31" s="1">
        <v>3.197693081169227</v>
      </c>
      <c r="AD31" s="1">
        <v>3.2077139517692337</v>
      </c>
      <c r="AE31" s="1">
        <v>2.8748315578692294</v>
      </c>
      <c r="AF31" s="1">
        <v>3.2092950798692228</v>
      </c>
      <c r="AG31" s="1">
        <v>1.7469426557692425</v>
      </c>
      <c r="AH31" s="1">
        <v>1.4616929183692422</v>
      </c>
      <c r="AI31" s="1">
        <v>-0.38835567963076423</v>
      </c>
      <c r="AJ31" s="1">
        <v>-0.22668680423076398</v>
      </c>
      <c r="AK31" s="1">
        <v>1.6595333543692334</v>
      </c>
      <c r="AL31" s="1">
        <v>2.6644051674692379</v>
      </c>
      <c r="AM31" s="1">
        <v>2.5123353872692271</v>
      </c>
      <c r="AN31" s="1">
        <v>3.4102340611692208</v>
      </c>
      <c r="AO31" s="1">
        <v>3.4716817257692343</v>
      </c>
      <c r="AP31" s="1">
        <v>3.2955469341692334</v>
      </c>
      <c r="AQ31" s="1">
        <v>3.5373226747692317</v>
      </c>
      <c r="AR31" s="1">
        <v>3.0903652242692421</v>
      </c>
      <c r="AS31" s="1">
        <v>1.4600406446692253</v>
      </c>
      <c r="AT31" s="1">
        <v>0.9794701684692293</v>
      </c>
      <c r="AU31" s="1">
        <v>4.1817926795692255</v>
      </c>
    </row>
    <row r="32" spans="1:47" x14ac:dyDescent="0.25">
      <c r="A32">
        <v>2004.375</v>
      </c>
      <c r="B32">
        <v>5</v>
      </c>
      <c r="C32" s="1">
        <v>1.3046613783592229</v>
      </c>
      <c r="D32">
        <v>0.88089810572076455</v>
      </c>
      <c r="G32" s="1">
        <v>1.3046613783592229</v>
      </c>
      <c r="H32" s="1">
        <v>0.59094081723922087</v>
      </c>
      <c r="I32" s="1">
        <v>1.4408482313592275</v>
      </c>
      <c r="J32" s="1">
        <v>-1.6729482482407596</v>
      </c>
      <c r="K32" s="1">
        <v>-1.095964693210753</v>
      </c>
      <c r="L32" s="1">
        <v>-1.0499957530007684</v>
      </c>
      <c r="M32" s="1">
        <v>1.8076010837492387</v>
      </c>
      <c r="N32" s="1">
        <v>5.9040367769244984E-2</v>
      </c>
      <c r="O32" s="1">
        <v>1.020079867869234</v>
      </c>
      <c r="P32" s="1">
        <v>1.3330668343492251</v>
      </c>
      <c r="Q32" s="1">
        <v>2.0764134763692423</v>
      </c>
      <c r="R32" s="1">
        <v>1.538133375409245</v>
      </c>
      <c r="S32" s="1">
        <v>2.2880968023692252</v>
      </c>
      <c r="T32" s="1">
        <v>1.3477316226692384</v>
      </c>
      <c r="U32" s="1">
        <v>-0.21509650943075509</v>
      </c>
      <c r="V32" s="1">
        <v>-1.3804676941707616</v>
      </c>
      <c r="W32" s="1">
        <v>-3.3722278468307572</v>
      </c>
      <c r="X32" s="1">
        <v>-2.8223534988307661</v>
      </c>
      <c r="Y32" s="1">
        <v>-2.5511742228307752</v>
      </c>
      <c r="Z32" s="1">
        <v>-0.85183288539076163</v>
      </c>
      <c r="AA32" s="1">
        <v>0.39340332639922526</v>
      </c>
      <c r="AB32" s="1">
        <v>0.59083584561924296</v>
      </c>
      <c r="AC32" s="1">
        <v>1.6826666062692384</v>
      </c>
      <c r="AD32" s="1">
        <v>1.4205022298692254</v>
      </c>
      <c r="AE32" s="1">
        <v>1.9076068417692387</v>
      </c>
      <c r="AF32" s="1">
        <v>3.0384176178892228</v>
      </c>
      <c r="AG32" s="1">
        <v>2.3836384248692406</v>
      </c>
      <c r="AH32" s="1">
        <v>1.7291000883692318</v>
      </c>
      <c r="AI32" s="1">
        <v>0.57640479186923832</v>
      </c>
      <c r="AJ32" s="1">
        <v>0.41005423246923839</v>
      </c>
      <c r="AK32" s="1">
        <v>0.95477888506922737</v>
      </c>
      <c r="AL32" s="1">
        <v>2.6059359112692251</v>
      </c>
      <c r="AM32" s="1">
        <v>2.3933862785692384</v>
      </c>
      <c r="AN32" s="1">
        <v>2.724954240169227</v>
      </c>
      <c r="AO32" s="1">
        <v>3.197693081169227</v>
      </c>
      <c r="AP32" s="1">
        <v>3.2077139517692337</v>
      </c>
      <c r="AQ32" s="1">
        <v>2.8748315578692294</v>
      </c>
      <c r="AR32" s="1">
        <v>3.2092950798692228</v>
      </c>
      <c r="AS32" s="1">
        <v>1.7469426557692425</v>
      </c>
      <c r="AT32" s="1">
        <v>1.4616929183692422</v>
      </c>
      <c r="AU32" s="1">
        <v>-0.38835567963076423</v>
      </c>
    </row>
    <row r="33" spans="1:47" x14ac:dyDescent="0.25">
      <c r="A33">
        <v>2005.375</v>
      </c>
      <c r="B33">
        <v>5</v>
      </c>
      <c r="C33" s="1">
        <v>-0.5079246517307725</v>
      </c>
      <c r="D33">
        <v>2.5170744121973372</v>
      </c>
      <c r="G33" s="1">
        <v>-0.5079246517307725</v>
      </c>
      <c r="H33" s="1">
        <v>0.29846351686923395</v>
      </c>
      <c r="I33" s="1">
        <v>-1.6761749096307603</v>
      </c>
      <c r="J33" s="1">
        <v>-1.3825177939307545</v>
      </c>
      <c r="K33" s="1">
        <v>-1.774578943930764</v>
      </c>
      <c r="L33" s="1">
        <v>-0.34530564288076371</v>
      </c>
      <c r="M33" s="1">
        <v>0.32788333794924063</v>
      </c>
      <c r="N33" s="1">
        <v>0.44187939644322305</v>
      </c>
      <c r="O33" s="1">
        <v>0.97939350272924519</v>
      </c>
      <c r="P33" s="1">
        <v>0.19707756144923189</v>
      </c>
      <c r="Q33" s="1">
        <v>0.82747681711923837</v>
      </c>
      <c r="R33" s="1">
        <v>1.9188675702592293</v>
      </c>
      <c r="S33" s="1">
        <v>1.3046613783592229</v>
      </c>
      <c r="T33" s="1">
        <v>0.59094081723922087</v>
      </c>
      <c r="U33" s="1">
        <v>1.4408482313592275</v>
      </c>
      <c r="V33" s="1">
        <v>-1.6729482482407596</v>
      </c>
      <c r="W33" s="1">
        <v>-1.095964693210753</v>
      </c>
      <c r="X33" s="1">
        <v>-1.0499957530007684</v>
      </c>
      <c r="Y33" s="1">
        <v>1.8076010837492387</v>
      </c>
      <c r="Z33" s="1">
        <v>5.9040367769244984E-2</v>
      </c>
      <c r="AA33" s="1">
        <v>1.020079867869234</v>
      </c>
      <c r="AB33" s="1">
        <v>1.3330668343492251</v>
      </c>
      <c r="AC33" s="1">
        <v>2.0764134763692423</v>
      </c>
      <c r="AD33" s="1">
        <v>1.538133375409245</v>
      </c>
      <c r="AE33" s="1">
        <v>2.2880968023692252</v>
      </c>
      <c r="AF33" s="1">
        <v>1.3477316226692384</v>
      </c>
      <c r="AG33" s="1">
        <v>-0.21509650943075509</v>
      </c>
      <c r="AH33" s="1">
        <v>-1.3804676941707616</v>
      </c>
      <c r="AI33" s="1">
        <v>-3.3722278468307572</v>
      </c>
      <c r="AJ33" s="1">
        <v>-2.8223534988307661</v>
      </c>
      <c r="AK33" s="1">
        <v>-2.5511742228307752</v>
      </c>
      <c r="AL33" s="1">
        <v>-0.85183288539076163</v>
      </c>
      <c r="AM33" s="1">
        <v>0.39340332639922526</v>
      </c>
      <c r="AN33" s="1">
        <v>0.59083584561924296</v>
      </c>
      <c r="AO33" s="1">
        <v>1.6826666062692384</v>
      </c>
      <c r="AP33" s="1">
        <v>1.4205022298692254</v>
      </c>
      <c r="AQ33" s="1">
        <v>1.9076068417692387</v>
      </c>
      <c r="AR33" s="1">
        <v>3.0384176178892228</v>
      </c>
      <c r="AS33" s="1">
        <v>2.3836384248692406</v>
      </c>
      <c r="AT33" s="1">
        <v>1.7291000883692318</v>
      </c>
      <c r="AU33" s="1">
        <v>0.57640479186923832</v>
      </c>
    </row>
    <row r="34" spans="1:47" x14ac:dyDescent="0.25">
      <c r="A34">
        <v>2006.375</v>
      </c>
      <c r="B34">
        <v>5</v>
      </c>
      <c r="C34" s="1">
        <v>2.1628221249392339</v>
      </c>
      <c r="D34">
        <v>2.6328375558687713</v>
      </c>
      <c r="G34" s="1">
        <v>2.1628221249392339</v>
      </c>
      <c r="H34" s="1">
        <v>2.2926456901192314</v>
      </c>
      <c r="I34" s="1">
        <v>1.9418874460192272</v>
      </c>
      <c r="J34" s="1">
        <v>1.5328446123392316</v>
      </c>
      <c r="K34" s="1">
        <v>0.24639725443924221</v>
      </c>
      <c r="L34" s="1">
        <v>-1.7059552504307725</v>
      </c>
      <c r="M34" s="1">
        <v>2.3657050289692316</v>
      </c>
      <c r="N34" s="1">
        <v>2.1485403461692405</v>
      </c>
      <c r="O34" s="1">
        <v>1.8314558438692428</v>
      </c>
      <c r="P34" s="1">
        <v>1.3496924048692274</v>
      </c>
      <c r="Q34" s="1">
        <v>1.4338550498692317</v>
      </c>
      <c r="R34" s="1">
        <v>0.3387690722692363</v>
      </c>
      <c r="S34" s="1">
        <v>-0.5079246517307725</v>
      </c>
      <c r="T34" s="1">
        <v>0.29846351686923395</v>
      </c>
      <c r="U34" s="1">
        <v>-1.6761749096307603</v>
      </c>
      <c r="V34" s="1">
        <v>-1.3825177939307545</v>
      </c>
      <c r="W34" s="1">
        <v>-1.774578943930764</v>
      </c>
      <c r="X34" s="1">
        <v>-0.34530564288076371</v>
      </c>
      <c r="Y34" s="1">
        <v>0.32788333794924063</v>
      </c>
      <c r="Z34" s="1">
        <v>0.44187939644322305</v>
      </c>
      <c r="AA34" s="1">
        <v>0.97939350272924519</v>
      </c>
      <c r="AB34" s="1">
        <v>0.19707756144923189</v>
      </c>
      <c r="AC34" s="1">
        <v>0.82747681711923837</v>
      </c>
      <c r="AD34" s="1">
        <v>1.9188675702592293</v>
      </c>
      <c r="AE34" s="1">
        <v>1.3046613783592229</v>
      </c>
      <c r="AF34" s="1">
        <v>0.59094081723922087</v>
      </c>
      <c r="AG34" s="1">
        <v>1.4408482313592275</v>
      </c>
      <c r="AH34" s="1">
        <v>-1.6729482482407596</v>
      </c>
      <c r="AI34" s="1">
        <v>-1.095964693210753</v>
      </c>
      <c r="AJ34" s="1">
        <v>-1.0499957530007684</v>
      </c>
      <c r="AK34" s="1">
        <v>1.8076010837492387</v>
      </c>
      <c r="AL34" s="1">
        <v>5.9040367769244984E-2</v>
      </c>
      <c r="AM34" s="1">
        <v>1.020079867869234</v>
      </c>
      <c r="AN34" s="1">
        <v>1.3330668343492251</v>
      </c>
      <c r="AO34" s="1">
        <v>2.0764134763692423</v>
      </c>
      <c r="AP34" s="1">
        <v>1.538133375409245</v>
      </c>
      <c r="AQ34" s="1">
        <v>2.2880968023692252</v>
      </c>
      <c r="AR34" s="1">
        <v>1.3477316226692384</v>
      </c>
      <c r="AS34" s="1">
        <v>-0.21509650943075509</v>
      </c>
      <c r="AT34" s="1">
        <v>-1.3804676941707616</v>
      </c>
      <c r="AU34" s="1">
        <v>-3.3722278468307572</v>
      </c>
    </row>
    <row r="35" spans="1:47" x14ac:dyDescent="0.25">
      <c r="A35">
        <v>2007.375</v>
      </c>
      <c r="B35">
        <v>5</v>
      </c>
      <c r="C35" s="1">
        <v>2.2741382218892316</v>
      </c>
      <c r="D35">
        <v>-0.15050023513892358</v>
      </c>
      <c r="G35" s="1">
        <v>2.2741382218892316</v>
      </c>
      <c r="H35" s="1">
        <v>0.91576861426923528</v>
      </c>
      <c r="I35" s="1">
        <v>1.5584511780692361</v>
      </c>
      <c r="J35" s="1">
        <v>-0.38390259033377455</v>
      </c>
      <c r="K35" s="1">
        <v>-0.29827832770077151</v>
      </c>
      <c r="L35" s="1">
        <v>-1.3194225846907526</v>
      </c>
      <c r="M35" s="1">
        <v>0.34878441866923404</v>
      </c>
      <c r="N35" s="1">
        <v>0.133375123389223</v>
      </c>
      <c r="O35" s="1">
        <v>1.2713854909392337</v>
      </c>
      <c r="P35" s="1">
        <v>1.789928194669234</v>
      </c>
      <c r="Q35" s="1">
        <v>1.2275044462992428</v>
      </c>
      <c r="R35" s="1">
        <v>1.816965704619234</v>
      </c>
      <c r="S35" s="1">
        <v>2.1628221249392339</v>
      </c>
      <c r="T35" s="1">
        <v>2.2926456901192314</v>
      </c>
      <c r="U35" s="1">
        <v>1.9418874460192272</v>
      </c>
      <c r="V35" s="1">
        <v>1.5328446123392316</v>
      </c>
      <c r="W35" s="1">
        <v>0.24639725443924221</v>
      </c>
      <c r="X35" s="1">
        <v>-1.7059552504307725</v>
      </c>
      <c r="Y35" s="1">
        <v>2.3657050289692316</v>
      </c>
      <c r="Z35" s="1">
        <v>2.1485403461692405</v>
      </c>
      <c r="AA35" s="1">
        <v>1.8314558438692428</v>
      </c>
      <c r="AB35" s="1">
        <v>1.3496924048692274</v>
      </c>
      <c r="AC35" s="1">
        <v>1.4338550498692317</v>
      </c>
      <c r="AD35" s="1">
        <v>0.3387690722692363</v>
      </c>
      <c r="AE35" s="1">
        <v>-0.5079246517307725</v>
      </c>
      <c r="AF35" s="1">
        <v>0.29846351686923395</v>
      </c>
      <c r="AG35" s="1">
        <v>-1.6761749096307603</v>
      </c>
      <c r="AH35" s="1">
        <v>-1.3825177939307545</v>
      </c>
      <c r="AI35" s="1">
        <v>-1.774578943930764</v>
      </c>
      <c r="AJ35" s="1">
        <v>-0.34530564288076371</v>
      </c>
      <c r="AK35" s="1">
        <v>0.32788333794924063</v>
      </c>
      <c r="AL35" s="1">
        <v>0.44187939644322305</v>
      </c>
      <c r="AM35" s="1">
        <v>0.97939350272924519</v>
      </c>
      <c r="AN35" s="1">
        <v>0.19707756144923189</v>
      </c>
      <c r="AO35" s="1">
        <v>0.82747681711923837</v>
      </c>
      <c r="AP35" s="1">
        <v>1.9188675702592293</v>
      </c>
      <c r="AQ35" s="1">
        <v>1.3046613783592229</v>
      </c>
      <c r="AR35" s="1">
        <v>0.59094081723922087</v>
      </c>
      <c r="AS35" s="1">
        <v>1.4408482313592275</v>
      </c>
      <c r="AT35" s="1">
        <v>-1.6729482482407596</v>
      </c>
      <c r="AU35" s="1">
        <v>-1.095964693210753</v>
      </c>
    </row>
    <row r="36" spans="1:47" x14ac:dyDescent="0.25">
      <c r="A36">
        <v>2008.375</v>
      </c>
      <c r="B36">
        <v>5</v>
      </c>
      <c r="C36" s="1">
        <v>3.1445083440692292</v>
      </c>
      <c r="D36">
        <v>0.50012702467295689</v>
      </c>
      <c r="G36" s="1">
        <v>3.1445083440692292</v>
      </c>
      <c r="H36" s="1">
        <v>4.3037038856692229</v>
      </c>
      <c r="I36" s="1">
        <v>3.5141544352692451</v>
      </c>
      <c r="J36" s="1">
        <v>2.0171252992692406</v>
      </c>
      <c r="K36" s="1">
        <v>2.6252510639492432</v>
      </c>
      <c r="L36" s="1">
        <v>2.6049737380592211</v>
      </c>
      <c r="M36" s="1">
        <v>1.9780654593992426</v>
      </c>
      <c r="N36" s="1">
        <v>3.8121810804692426</v>
      </c>
      <c r="O36" s="1">
        <v>2.9581203447292252</v>
      </c>
      <c r="P36" s="1">
        <v>2.7815152350692447</v>
      </c>
      <c r="Q36" s="1">
        <v>2.0566604165692253</v>
      </c>
      <c r="R36" s="1">
        <v>2.5920905191692314</v>
      </c>
      <c r="S36" s="1">
        <v>2.2741382218892316</v>
      </c>
      <c r="T36" s="1">
        <v>0.91576861426923528</v>
      </c>
      <c r="U36" s="1">
        <v>1.5584511780692361</v>
      </c>
      <c r="V36" s="1">
        <v>-0.38390259033377455</v>
      </c>
      <c r="W36" s="1">
        <v>-0.29827832770077151</v>
      </c>
      <c r="X36" s="1">
        <v>-1.3194225846907526</v>
      </c>
      <c r="Y36" s="1">
        <v>0.34878441866923404</v>
      </c>
      <c r="Z36" s="1">
        <v>0.133375123389223</v>
      </c>
      <c r="AA36" s="1">
        <v>1.2713854909392337</v>
      </c>
      <c r="AB36" s="1">
        <v>1.789928194669234</v>
      </c>
      <c r="AC36" s="1">
        <v>1.2275044462992428</v>
      </c>
      <c r="AD36" s="1">
        <v>1.816965704619234</v>
      </c>
      <c r="AE36" s="1">
        <v>2.1628221249392339</v>
      </c>
      <c r="AF36" s="1">
        <v>2.2926456901192314</v>
      </c>
      <c r="AG36" s="1">
        <v>1.9418874460192272</v>
      </c>
      <c r="AH36" s="1">
        <v>1.5328446123392316</v>
      </c>
      <c r="AI36" s="1">
        <v>0.24639725443924221</v>
      </c>
      <c r="AJ36" s="1">
        <v>-1.7059552504307725</v>
      </c>
      <c r="AK36" s="1">
        <v>2.3657050289692316</v>
      </c>
      <c r="AL36" s="1">
        <v>2.1485403461692405</v>
      </c>
      <c r="AM36" s="1">
        <v>1.8314558438692428</v>
      </c>
      <c r="AN36" s="1">
        <v>1.3496924048692274</v>
      </c>
      <c r="AO36" s="1">
        <v>1.4338550498692317</v>
      </c>
      <c r="AP36" s="1">
        <v>0.3387690722692363</v>
      </c>
      <c r="AQ36" s="1">
        <v>-0.5079246517307725</v>
      </c>
      <c r="AR36" s="1">
        <v>0.29846351686923395</v>
      </c>
      <c r="AS36" s="1">
        <v>-1.6761749096307603</v>
      </c>
      <c r="AT36" s="1">
        <v>-1.3825177939307545</v>
      </c>
      <c r="AU36" s="1">
        <v>-1.774578943930764</v>
      </c>
    </row>
    <row r="37" spans="1:47" x14ac:dyDescent="0.25">
      <c r="A37">
        <v>2009.375</v>
      </c>
      <c r="B37">
        <v>5</v>
      </c>
      <c r="C37" s="1">
        <v>2.8559780762592273</v>
      </c>
      <c r="D37">
        <v>0.70116202069313127</v>
      </c>
      <c r="G37" s="1">
        <v>2.8559780762592273</v>
      </c>
      <c r="H37" s="1">
        <v>3.3982535946892316</v>
      </c>
      <c r="I37" s="1">
        <v>3.7437798352422273</v>
      </c>
      <c r="J37" s="1">
        <v>3.1401515433092211</v>
      </c>
      <c r="K37" s="1">
        <v>2.3256610174192414</v>
      </c>
      <c r="L37" s="1">
        <v>3.0732084994992381</v>
      </c>
      <c r="M37" s="1">
        <v>2.4197133966692208</v>
      </c>
      <c r="N37" s="1">
        <v>3.7297149387692254</v>
      </c>
      <c r="O37" s="1">
        <v>3.1178040014692385</v>
      </c>
      <c r="P37" s="1">
        <v>3.3034292364692428</v>
      </c>
      <c r="Q37" s="1">
        <v>3.5154691291692206</v>
      </c>
      <c r="R37" s="1">
        <v>3.7396919383692429</v>
      </c>
      <c r="S37" s="1">
        <v>3.1445083440692292</v>
      </c>
      <c r="T37" s="1">
        <v>4.3037038856692229</v>
      </c>
      <c r="U37" s="1">
        <v>3.5141544352692451</v>
      </c>
      <c r="V37" s="1">
        <v>2.0171252992692406</v>
      </c>
      <c r="W37" s="1">
        <v>2.6252510639492432</v>
      </c>
      <c r="X37" s="1">
        <v>2.6049737380592211</v>
      </c>
      <c r="Y37" s="1">
        <v>1.9780654593992426</v>
      </c>
      <c r="Z37" s="1">
        <v>3.8121810804692426</v>
      </c>
      <c r="AA37" s="1">
        <v>2.9581203447292252</v>
      </c>
      <c r="AB37" s="1">
        <v>2.7815152350692447</v>
      </c>
      <c r="AC37" s="1">
        <v>2.0566604165692253</v>
      </c>
      <c r="AD37" s="1">
        <v>2.5920905191692314</v>
      </c>
      <c r="AE37" s="1">
        <v>2.2741382218892316</v>
      </c>
      <c r="AF37" s="1">
        <v>0.91576861426923528</v>
      </c>
      <c r="AG37" s="1">
        <v>1.5584511780692361</v>
      </c>
      <c r="AH37" s="1">
        <v>-0.38390259033377455</v>
      </c>
      <c r="AI37" s="1">
        <v>-0.29827832770077151</v>
      </c>
      <c r="AJ37" s="1">
        <v>-1.3194225846907526</v>
      </c>
      <c r="AK37" s="1">
        <v>0.34878441866923404</v>
      </c>
      <c r="AL37" s="1">
        <v>0.133375123389223</v>
      </c>
      <c r="AM37" s="1">
        <v>1.2713854909392337</v>
      </c>
      <c r="AN37" s="1">
        <v>1.789928194669234</v>
      </c>
      <c r="AO37" s="1">
        <v>1.2275044462992428</v>
      </c>
      <c r="AP37" s="1">
        <v>1.816965704619234</v>
      </c>
      <c r="AQ37" s="1">
        <v>2.1628221249392339</v>
      </c>
      <c r="AR37" s="1">
        <v>2.2926456901192314</v>
      </c>
      <c r="AS37" s="1">
        <v>1.9418874460192272</v>
      </c>
      <c r="AT37" s="1">
        <v>1.5328446123392316</v>
      </c>
      <c r="AU37" s="1">
        <v>0.24639725443924221</v>
      </c>
    </row>
    <row r="38" spans="1:47" x14ac:dyDescent="0.25">
      <c r="A38">
        <v>2010.375</v>
      </c>
      <c r="B38">
        <v>5</v>
      </c>
      <c r="C38" s="1">
        <v>2.1367981933692386</v>
      </c>
      <c r="D38">
        <v>1.2766180248578716</v>
      </c>
      <c r="G38" s="1">
        <v>2.1367981933692386</v>
      </c>
      <c r="H38" s="1">
        <v>1.1052457697692384</v>
      </c>
      <c r="I38" s="1">
        <v>-0.48756181103076601</v>
      </c>
      <c r="J38" s="1">
        <v>-2.6477017098307662</v>
      </c>
      <c r="K38" s="1">
        <v>-3.3208245141307722</v>
      </c>
      <c r="L38" s="1">
        <v>-2.4654593805307572</v>
      </c>
      <c r="M38" s="1">
        <v>1.0901500019244892E-2</v>
      </c>
      <c r="N38" s="1">
        <v>-0.44134536233076377</v>
      </c>
      <c r="O38" s="1">
        <v>0.55891123916923846</v>
      </c>
      <c r="P38" s="1">
        <v>1.2312497751892382</v>
      </c>
      <c r="Q38" s="1">
        <v>1.1174872949192272</v>
      </c>
      <c r="R38" s="1">
        <v>1.0325521682292274</v>
      </c>
      <c r="S38" s="1">
        <v>2.8559780762592273</v>
      </c>
      <c r="T38" s="1">
        <v>3.3982535946892316</v>
      </c>
      <c r="U38" s="1">
        <v>3.7437798352422273</v>
      </c>
      <c r="V38" s="1">
        <v>3.1401515433092211</v>
      </c>
      <c r="W38" s="1">
        <v>2.3256610174192414</v>
      </c>
      <c r="X38" s="1">
        <v>3.0732084994992381</v>
      </c>
      <c r="Y38" s="1">
        <v>2.4197133966692208</v>
      </c>
      <c r="Z38" s="1">
        <v>3.7297149387692254</v>
      </c>
      <c r="AA38" s="1">
        <v>3.1178040014692385</v>
      </c>
      <c r="AB38" s="1">
        <v>3.3034292364692428</v>
      </c>
      <c r="AC38" s="1">
        <v>3.5154691291692206</v>
      </c>
      <c r="AD38" s="1">
        <v>3.7396919383692429</v>
      </c>
      <c r="AE38" s="1">
        <v>3.1445083440692292</v>
      </c>
      <c r="AF38" s="1">
        <v>4.3037038856692229</v>
      </c>
      <c r="AG38" s="1">
        <v>3.5141544352692451</v>
      </c>
      <c r="AH38" s="1">
        <v>2.0171252992692406</v>
      </c>
      <c r="AI38" s="1">
        <v>2.6252510639492432</v>
      </c>
      <c r="AJ38" s="1">
        <v>2.6049737380592211</v>
      </c>
      <c r="AK38" s="1">
        <v>1.9780654593992426</v>
      </c>
      <c r="AL38" s="1">
        <v>3.8121810804692426</v>
      </c>
      <c r="AM38" s="1">
        <v>2.9581203447292252</v>
      </c>
      <c r="AN38" s="1">
        <v>2.7815152350692447</v>
      </c>
      <c r="AO38" s="1">
        <v>2.0566604165692253</v>
      </c>
      <c r="AP38" s="1">
        <v>2.5920905191692314</v>
      </c>
      <c r="AQ38" s="1">
        <v>2.2741382218892316</v>
      </c>
      <c r="AR38" s="1">
        <v>0.91576861426923528</v>
      </c>
      <c r="AS38" s="1">
        <v>1.5584511780692361</v>
      </c>
      <c r="AT38" s="1">
        <v>-0.38390259033377455</v>
      </c>
      <c r="AU38" s="1">
        <v>-0.29827832770077151</v>
      </c>
    </row>
    <row r="39" spans="1:47" x14ac:dyDescent="0.25">
      <c r="A39">
        <v>2011.375</v>
      </c>
      <c r="B39">
        <v>5</v>
      </c>
      <c r="C39" s="1">
        <v>2.994733051169236</v>
      </c>
      <c r="D39">
        <v>1.4259108892422403</v>
      </c>
      <c r="G39" s="1">
        <v>2.994733051169236</v>
      </c>
      <c r="H39" s="1">
        <v>3.7169376469992383</v>
      </c>
      <c r="I39" s="1">
        <v>2.6917547487692408</v>
      </c>
      <c r="J39" s="1">
        <v>4.0854112138192225</v>
      </c>
      <c r="K39" s="1">
        <v>1.239910041719225</v>
      </c>
      <c r="L39" s="1">
        <v>3.7306486162292316</v>
      </c>
      <c r="M39" s="1">
        <v>4.031058309969243</v>
      </c>
      <c r="N39" s="1">
        <v>3.7667653419692209</v>
      </c>
      <c r="O39" s="1">
        <v>4.2842263740692337</v>
      </c>
      <c r="P39" s="1">
        <v>5.3692223996192361</v>
      </c>
      <c r="Q39" s="1">
        <v>5.3632401589792407</v>
      </c>
      <c r="R39" s="1">
        <v>3.3288297101692361</v>
      </c>
      <c r="S39" s="1">
        <v>2.1367981933692386</v>
      </c>
      <c r="T39" s="1">
        <v>1.1052457697692384</v>
      </c>
      <c r="U39" s="1">
        <v>-0.48756181103076601</v>
      </c>
      <c r="V39" s="1">
        <v>-2.6477017098307662</v>
      </c>
      <c r="W39" s="1">
        <v>-3.3208245141307722</v>
      </c>
      <c r="X39" s="1">
        <v>-2.4654593805307572</v>
      </c>
      <c r="Y39" s="1">
        <v>1.0901500019244892E-2</v>
      </c>
      <c r="Z39" s="1">
        <v>-0.44134536233076377</v>
      </c>
      <c r="AA39" s="1">
        <v>0.55891123916923846</v>
      </c>
      <c r="AB39" s="1">
        <v>1.2312497751892382</v>
      </c>
      <c r="AC39" s="1">
        <v>1.1174872949192272</v>
      </c>
      <c r="AD39" s="1">
        <v>1.0325521682292274</v>
      </c>
      <c r="AE39" s="1">
        <v>2.8559780762592273</v>
      </c>
      <c r="AF39" s="1">
        <v>3.3982535946892316</v>
      </c>
      <c r="AG39" s="1">
        <v>3.7437798352422273</v>
      </c>
      <c r="AH39" s="1">
        <v>3.1401515433092211</v>
      </c>
      <c r="AI39" s="1">
        <v>2.3256610174192414</v>
      </c>
      <c r="AJ39" s="1">
        <v>3.0732084994992381</v>
      </c>
      <c r="AK39" s="1">
        <v>2.4197133966692208</v>
      </c>
      <c r="AL39" s="1">
        <v>3.7297149387692254</v>
      </c>
      <c r="AM39" s="1">
        <v>3.1178040014692385</v>
      </c>
      <c r="AN39" s="1">
        <v>3.3034292364692428</v>
      </c>
      <c r="AO39" s="1">
        <v>3.5154691291692206</v>
      </c>
      <c r="AP39" s="1">
        <v>3.7396919383692429</v>
      </c>
      <c r="AQ39" s="1">
        <v>3.1445083440692292</v>
      </c>
      <c r="AR39" s="1">
        <v>4.3037038856692229</v>
      </c>
      <c r="AS39" s="1">
        <v>3.5141544352692451</v>
      </c>
      <c r="AT39" s="1">
        <v>2.0171252992692406</v>
      </c>
      <c r="AU39" s="1">
        <v>2.6252510639492432</v>
      </c>
    </row>
    <row r="40" spans="1:47" x14ac:dyDescent="0.25">
      <c r="A40">
        <v>2012.375</v>
      </c>
      <c r="B40">
        <v>5</v>
      </c>
      <c r="C40" s="1">
        <v>3.3148665312692316</v>
      </c>
      <c r="D40">
        <v>0.96808204726489866</v>
      </c>
      <c r="G40" s="1">
        <v>3.3148665312692316</v>
      </c>
      <c r="H40" s="1">
        <v>2.7316463550692207</v>
      </c>
      <c r="I40" s="1">
        <v>2.9837590889692205</v>
      </c>
      <c r="J40" s="1">
        <v>0.95535216508924714</v>
      </c>
      <c r="K40" s="1">
        <v>1.7700253141892386</v>
      </c>
      <c r="L40" s="1">
        <v>2.882561274810246</v>
      </c>
      <c r="M40" s="1">
        <v>4.0480641576192209</v>
      </c>
      <c r="N40" s="1">
        <v>3.3780577038692257</v>
      </c>
      <c r="O40" s="1">
        <v>3.505408443069232</v>
      </c>
      <c r="P40" s="1">
        <v>3.303517913359225</v>
      </c>
      <c r="Q40" s="1">
        <v>3.6558712369092294</v>
      </c>
      <c r="R40" s="1">
        <v>2.754497701969234</v>
      </c>
      <c r="S40" s="1">
        <v>2.994733051169236</v>
      </c>
      <c r="T40" s="1">
        <v>3.7169376469992383</v>
      </c>
      <c r="U40" s="1">
        <v>2.6917547487692408</v>
      </c>
      <c r="V40" s="1">
        <v>4.0854112138192225</v>
      </c>
      <c r="W40" s="1">
        <v>1.239910041719225</v>
      </c>
      <c r="X40" s="1">
        <v>3.7306486162292316</v>
      </c>
      <c r="Y40" s="1">
        <v>4.031058309969243</v>
      </c>
      <c r="Z40" s="1">
        <v>3.7667653419692209</v>
      </c>
      <c r="AA40" s="1">
        <v>4.2842263740692337</v>
      </c>
      <c r="AB40" s="1">
        <v>5.3692223996192361</v>
      </c>
      <c r="AC40" s="1">
        <v>5.3632401589792407</v>
      </c>
      <c r="AD40" s="1">
        <v>3.3288297101692361</v>
      </c>
      <c r="AE40" s="1">
        <v>2.1367981933692386</v>
      </c>
      <c r="AF40" s="1">
        <v>1.1052457697692384</v>
      </c>
      <c r="AG40" s="1">
        <v>-0.48756181103076601</v>
      </c>
      <c r="AH40" s="1">
        <v>-2.6477017098307662</v>
      </c>
      <c r="AI40" s="1">
        <v>-3.3208245141307722</v>
      </c>
      <c r="AJ40" s="1">
        <v>-2.4654593805307572</v>
      </c>
      <c r="AK40" s="1">
        <v>1.0901500019244892E-2</v>
      </c>
      <c r="AL40" s="1">
        <v>-0.44134536233076377</v>
      </c>
      <c r="AM40" s="1">
        <v>0.55891123916923846</v>
      </c>
      <c r="AN40" s="1">
        <v>1.2312497751892382</v>
      </c>
      <c r="AO40" s="1">
        <v>1.1174872949192272</v>
      </c>
      <c r="AP40" s="1">
        <v>1.0325521682292274</v>
      </c>
      <c r="AQ40" s="1">
        <v>2.8559780762592273</v>
      </c>
      <c r="AR40" s="1">
        <v>3.3982535946892316</v>
      </c>
      <c r="AS40" s="1">
        <v>3.7437798352422273</v>
      </c>
      <c r="AT40" s="1">
        <v>3.1401515433092211</v>
      </c>
      <c r="AU40" s="1">
        <v>2.3256610174192414</v>
      </c>
    </row>
    <row r="41" spans="1:47" x14ac:dyDescent="0.25">
      <c r="A41">
        <v>2013.375</v>
      </c>
      <c r="B41">
        <v>5</v>
      </c>
      <c r="C41" s="1">
        <v>2.6100064923692252</v>
      </c>
      <c r="D41">
        <v>2.2762571117163679</v>
      </c>
      <c r="G41" s="1">
        <v>2.6100064923692252</v>
      </c>
      <c r="H41" s="1">
        <v>2.4413346113592227</v>
      </c>
      <c r="I41" s="1">
        <v>1.7311234118592274</v>
      </c>
      <c r="J41" s="1">
        <v>1.2031396460692443</v>
      </c>
      <c r="K41" s="1">
        <v>0.36910590186924719</v>
      </c>
      <c r="L41" s="1">
        <v>0.81033411676924127</v>
      </c>
      <c r="M41" s="1">
        <v>1.2795358532692251</v>
      </c>
      <c r="N41" s="1">
        <v>1.5053767653692383</v>
      </c>
      <c r="O41" s="1">
        <v>3.135958294269245</v>
      </c>
      <c r="P41" s="1">
        <v>3.1158533679692386</v>
      </c>
      <c r="Q41" s="1">
        <v>3.1915599164692323</v>
      </c>
      <c r="R41" s="1">
        <v>2.4713739030692272</v>
      </c>
      <c r="S41" s="1">
        <v>3.3148665312692316</v>
      </c>
      <c r="T41" s="1">
        <v>2.7316463550692207</v>
      </c>
      <c r="U41" s="1">
        <v>2.9837590889692205</v>
      </c>
      <c r="V41" s="1">
        <v>0.95535216508924714</v>
      </c>
      <c r="W41" s="1">
        <v>1.7700253141892386</v>
      </c>
      <c r="X41" s="1">
        <v>2.882561274810246</v>
      </c>
      <c r="Y41" s="1">
        <v>4.0480641576192209</v>
      </c>
      <c r="Z41" s="1">
        <v>3.3780577038692257</v>
      </c>
      <c r="AA41" s="1">
        <v>3.505408443069232</v>
      </c>
      <c r="AB41" s="1">
        <v>3.303517913359225</v>
      </c>
      <c r="AC41" s="1">
        <v>3.6558712369092294</v>
      </c>
      <c r="AD41" s="1">
        <v>2.754497701969234</v>
      </c>
      <c r="AE41" s="1">
        <v>2.994733051169236</v>
      </c>
      <c r="AF41" s="1">
        <v>3.7169376469992383</v>
      </c>
      <c r="AG41" s="1">
        <v>2.6917547487692408</v>
      </c>
      <c r="AH41" s="1">
        <v>4.0854112138192225</v>
      </c>
      <c r="AI41" s="1">
        <v>1.239910041719225</v>
      </c>
      <c r="AJ41" s="1">
        <v>3.7306486162292316</v>
      </c>
      <c r="AK41" s="1">
        <v>4.031058309969243</v>
      </c>
      <c r="AL41" s="1">
        <v>3.7667653419692209</v>
      </c>
      <c r="AM41" s="1">
        <v>4.2842263740692337</v>
      </c>
      <c r="AN41" s="1">
        <v>5.3692223996192361</v>
      </c>
      <c r="AO41" s="1">
        <v>5.3632401589792407</v>
      </c>
      <c r="AP41" s="1">
        <v>3.3288297101692361</v>
      </c>
      <c r="AQ41" s="1">
        <v>2.1367981933692386</v>
      </c>
      <c r="AR41" s="1">
        <v>1.1052457697692384</v>
      </c>
      <c r="AS41" s="1">
        <v>-0.48756181103076601</v>
      </c>
      <c r="AT41" s="1">
        <v>-2.6477017098307662</v>
      </c>
      <c r="AU41" s="1">
        <v>-3.3208245141307722</v>
      </c>
    </row>
    <row r="42" spans="1:47" x14ac:dyDescent="0.25">
      <c r="A42">
        <v>2014.375</v>
      </c>
      <c r="B42">
        <v>5</v>
      </c>
      <c r="C42" s="1">
        <v>1.4034630548992453</v>
      </c>
      <c r="D42">
        <v>1.7390998562317488</v>
      </c>
      <c r="G42" s="1">
        <v>1.4034630548992453</v>
      </c>
      <c r="H42" s="1">
        <v>0.41214923718922075</v>
      </c>
      <c r="I42" s="1">
        <v>0.28743131410924311</v>
      </c>
      <c r="J42" s="1">
        <v>1.0879898171392406</v>
      </c>
      <c r="K42" s="1">
        <v>-0.77898724903076388</v>
      </c>
      <c r="L42" s="1">
        <v>1.0610023320692252</v>
      </c>
      <c r="M42" s="1">
        <v>2.2475169349192448</v>
      </c>
      <c r="N42" s="1">
        <v>1.7144541562192339</v>
      </c>
      <c r="O42" s="1">
        <v>1.7441879054492251</v>
      </c>
      <c r="P42" s="1">
        <v>2.441292262069223</v>
      </c>
      <c r="Q42" s="1">
        <v>3.4288168388092322</v>
      </c>
      <c r="R42" s="1">
        <v>3.176564167829234</v>
      </c>
      <c r="S42" s="1">
        <v>2.6100064923692252</v>
      </c>
      <c r="T42" s="1">
        <v>2.4413346113592227</v>
      </c>
      <c r="U42" s="1">
        <v>1.7311234118592274</v>
      </c>
      <c r="V42" s="1">
        <v>1.2031396460692443</v>
      </c>
      <c r="W42" s="1">
        <v>0.36910590186924719</v>
      </c>
      <c r="X42" s="1">
        <v>0.81033411676924127</v>
      </c>
      <c r="Y42" s="1">
        <v>1.2795358532692251</v>
      </c>
      <c r="Z42" s="1">
        <v>1.5053767653692383</v>
      </c>
      <c r="AA42" s="1">
        <v>3.135958294269245</v>
      </c>
      <c r="AB42" s="1">
        <v>3.1158533679692386</v>
      </c>
      <c r="AC42" s="1">
        <v>3.1915599164692323</v>
      </c>
      <c r="AD42" s="1">
        <v>2.4713739030692272</v>
      </c>
      <c r="AE42" s="1">
        <v>3.3148665312692316</v>
      </c>
      <c r="AF42" s="1">
        <v>2.7316463550692207</v>
      </c>
      <c r="AG42" s="1">
        <v>2.9837590889692205</v>
      </c>
      <c r="AH42" s="1">
        <v>0.95535216508924714</v>
      </c>
      <c r="AI42" s="1">
        <v>1.7700253141892386</v>
      </c>
      <c r="AJ42" s="1">
        <v>2.882561274810246</v>
      </c>
      <c r="AK42" s="1">
        <v>4.0480641576192209</v>
      </c>
      <c r="AL42" s="1">
        <v>3.3780577038692257</v>
      </c>
      <c r="AM42" s="1">
        <v>3.505408443069232</v>
      </c>
      <c r="AN42" s="1">
        <v>3.303517913359225</v>
      </c>
      <c r="AO42" s="1">
        <v>3.6558712369092294</v>
      </c>
      <c r="AP42" s="1">
        <v>2.754497701969234</v>
      </c>
      <c r="AQ42" s="1">
        <v>2.994733051169236</v>
      </c>
      <c r="AR42" s="1">
        <v>3.7169376469992383</v>
      </c>
      <c r="AS42" s="1">
        <v>2.6917547487692408</v>
      </c>
      <c r="AT42" s="1">
        <v>4.0854112138192225</v>
      </c>
      <c r="AU42" s="1">
        <v>1.239910041719225</v>
      </c>
    </row>
    <row r="43" spans="1:47" x14ac:dyDescent="0.25">
      <c r="A43">
        <v>2015.375</v>
      </c>
      <c r="B43">
        <v>5</v>
      </c>
      <c r="C43" s="1">
        <v>-3.0684870940772491E-2</v>
      </c>
      <c r="D43">
        <v>0.69064604287119979</v>
      </c>
      <c r="G43" s="1">
        <v>-3.0684870940772491E-2</v>
      </c>
      <c r="H43" s="1">
        <v>0.45460829456923418</v>
      </c>
      <c r="I43" s="1">
        <v>3.5930787669227304E-2</v>
      </c>
      <c r="J43" s="1">
        <v>-1.4061045382307595</v>
      </c>
      <c r="K43" s="1">
        <v>-2.1196752670907553</v>
      </c>
      <c r="L43" s="1">
        <v>-2.2526105113207597</v>
      </c>
      <c r="M43" s="1">
        <v>-1.2621451354507678</v>
      </c>
      <c r="N43" s="1">
        <v>-0.56983358888077473</v>
      </c>
      <c r="O43" s="1">
        <v>0.10178133444922077</v>
      </c>
      <c r="P43" s="1">
        <v>0.71163629737922962</v>
      </c>
      <c r="Q43" s="1">
        <v>1.2302889477092382</v>
      </c>
      <c r="R43" s="1">
        <v>1.5207169755392274</v>
      </c>
      <c r="S43" s="1">
        <v>1.4034630548992453</v>
      </c>
      <c r="T43" s="1">
        <v>0.41214923718922075</v>
      </c>
      <c r="U43" s="1">
        <v>0.28743131410924311</v>
      </c>
      <c r="V43" s="1">
        <v>1.0879898171392406</v>
      </c>
      <c r="W43" s="1">
        <v>-0.77898724903076388</v>
      </c>
      <c r="X43" s="1">
        <v>1.0610023320692252</v>
      </c>
      <c r="Y43" s="1">
        <v>2.2475169349192448</v>
      </c>
      <c r="Z43" s="1">
        <v>1.7144541562192339</v>
      </c>
      <c r="AA43" s="1">
        <v>1.7441879054492251</v>
      </c>
      <c r="AB43" s="1">
        <v>2.441292262069223</v>
      </c>
      <c r="AC43" s="1">
        <v>3.4288168388092322</v>
      </c>
      <c r="AD43" s="1">
        <v>3.176564167829234</v>
      </c>
      <c r="AE43" s="1">
        <v>2.6100064923692252</v>
      </c>
      <c r="AF43" s="1">
        <v>2.4413346113592227</v>
      </c>
      <c r="AG43" s="1">
        <v>1.7311234118592274</v>
      </c>
      <c r="AH43" s="1">
        <v>1.2031396460692443</v>
      </c>
      <c r="AI43" s="1">
        <v>0.36910590186924719</v>
      </c>
      <c r="AJ43" s="1">
        <v>0.81033411676924127</v>
      </c>
      <c r="AK43" s="1">
        <v>1.2795358532692251</v>
      </c>
      <c r="AL43" s="1">
        <v>1.5053767653692383</v>
      </c>
      <c r="AM43" s="1">
        <v>3.135958294269245</v>
      </c>
      <c r="AN43" s="1">
        <v>3.1158533679692386</v>
      </c>
      <c r="AO43" s="1">
        <v>3.1915599164692323</v>
      </c>
      <c r="AP43" s="1">
        <v>2.4713739030692272</v>
      </c>
      <c r="AQ43" s="1">
        <v>3.3148665312692316</v>
      </c>
      <c r="AR43" s="1">
        <v>2.7316463550692207</v>
      </c>
      <c r="AS43" s="1">
        <v>2.9837590889692205</v>
      </c>
      <c r="AT43" s="1">
        <v>0.95535216508924714</v>
      </c>
      <c r="AU43" s="1">
        <v>1.7700253141892386</v>
      </c>
    </row>
    <row r="44" spans="1:47" x14ac:dyDescent="0.25">
      <c r="A44">
        <v>2016.375</v>
      </c>
      <c r="B44">
        <v>5</v>
      </c>
      <c r="C44" s="1">
        <v>-3.6238594620772724E-2</v>
      </c>
      <c r="D44">
        <v>1.0561863515953103</v>
      </c>
      <c r="G44" s="1">
        <v>-3.6238594620772724E-2</v>
      </c>
      <c r="H44" s="1">
        <v>-1.9728460609507639</v>
      </c>
      <c r="I44" s="1">
        <v>-2.3126394715807717</v>
      </c>
      <c r="J44" s="1">
        <v>-4.0803512152507615</v>
      </c>
      <c r="K44" s="1">
        <v>-5.0763222569207516</v>
      </c>
      <c r="L44" s="1">
        <v>-3.4209596195307723</v>
      </c>
      <c r="M44" s="1">
        <v>-1.3308764840307548</v>
      </c>
      <c r="N44" s="1">
        <v>-3.1528870372307658</v>
      </c>
      <c r="O44" s="1">
        <v>-1.9948764680307747</v>
      </c>
      <c r="P44" s="1">
        <v>-1.5252614967307725</v>
      </c>
      <c r="Q44" s="1">
        <v>-1.6149105574307594</v>
      </c>
      <c r="R44" s="1">
        <v>-0.92363914943077907</v>
      </c>
      <c r="S44" s="1">
        <v>-3.0684870940772491E-2</v>
      </c>
      <c r="T44" s="1">
        <v>0.45460829456923418</v>
      </c>
      <c r="U44" s="1">
        <v>3.5930787669227304E-2</v>
      </c>
      <c r="V44" s="1">
        <v>-1.4061045382307595</v>
      </c>
      <c r="W44" s="1">
        <v>-2.1196752670907553</v>
      </c>
      <c r="X44" s="1">
        <v>-2.2526105113207597</v>
      </c>
      <c r="Y44" s="1">
        <v>-1.2621451354507678</v>
      </c>
      <c r="Z44" s="1">
        <v>-0.56983358888077473</v>
      </c>
      <c r="AA44" s="1">
        <v>0.10178133444922077</v>
      </c>
      <c r="AB44" s="1">
        <v>0.71163629737922962</v>
      </c>
      <c r="AC44" s="1">
        <v>1.2302889477092382</v>
      </c>
      <c r="AD44" s="1">
        <v>1.5207169755392274</v>
      </c>
      <c r="AE44" s="1">
        <v>1.4034630548992453</v>
      </c>
      <c r="AF44" s="1">
        <v>0.41214923718922075</v>
      </c>
      <c r="AG44" s="1">
        <v>0.28743131410924311</v>
      </c>
      <c r="AH44" s="1">
        <v>1.0879898171392406</v>
      </c>
      <c r="AI44" s="1">
        <v>-0.77898724903076388</v>
      </c>
      <c r="AJ44" s="1">
        <v>1.0610023320692252</v>
      </c>
      <c r="AK44" s="1">
        <v>2.2475169349192448</v>
      </c>
      <c r="AL44" s="1">
        <v>1.7144541562192339</v>
      </c>
      <c r="AM44" s="1">
        <v>1.7441879054492251</v>
      </c>
      <c r="AN44" s="1">
        <v>2.441292262069223</v>
      </c>
      <c r="AO44" s="1">
        <v>3.4288168388092322</v>
      </c>
      <c r="AP44" s="1">
        <v>3.176564167829234</v>
      </c>
      <c r="AQ44" s="1">
        <v>2.6100064923692252</v>
      </c>
      <c r="AR44" s="1">
        <v>2.4413346113592227</v>
      </c>
      <c r="AS44" s="1">
        <v>1.7311234118592274</v>
      </c>
      <c r="AT44" s="1">
        <v>1.2031396460692443</v>
      </c>
      <c r="AU44" s="1">
        <v>0.36910590186924719</v>
      </c>
    </row>
    <row r="45" spans="1:47" x14ac:dyDescent="0.25">
      <c r="A45">
        <v>2017.375</v>
      </c>
      <c r="B45">
        <v>5</v>
      </c>
      <c r="C45" s="1">
        <v>0.6355308827592252</v>
      </c>
      <c r="D45">
        <v>-0.15295987356674368</v>
      </c>
      <c r="G45" s="1">
        <v>0.6355308827592252</v>
      </c>
      <c r="H45" s="1">
        <v>0.2263728185012383</v>
      </c>
      <c r="I45" s="1">
        <v>0.75269428361922963</v>
      </c>
      <c r="J45" s="1">
        <v>0.10561636126922933</v>
      </c>
      <c r="K45" s="1">
        <v>0.53788867355923242</v>
      </c>
      <c r="L45" s="1">
        <v>1.3136739487692362</v>
      </c>
      <c r="M45" s="1">
        <v>0.48803656106923615</v>
      </c>
      <c r="N45" s="1">
        <v>0.91796129348923017</v>
      </c>
      <c r="O45" s="1">
        <v>2.3205943892092407</v>
      </c>
      <c r="P45" s="1">
        <v>2.8199650322192427</v>
      </c>
      <c r="Q45" s="1">
        <v>2.6337997278192273</v>
      </c>
      <c r="R45" s="1">
        <v>1.1669819309692406</v>
      </c>
      <c r="S45" s="1">
        <v>-3.6238594620772724E-2</v>
      </c>
      <c r="T45" s="1">
        <v>-1.9728460609507639</v>
      </c>
      <c r="U45" s="1">
        <v>-2.3126394715807717</v>
      </c>
      <c r="V45" s="1">
        <v>-4.0803512152507615</v>
      </c>
      <c r="W45" s="1">
        <v>-5.0763222569207516</v>
      </c>
      <c r="X45" s="1">
        <v>-3.4209596195307723</v>
      </c>
      <c r="Y45" s="1">
        <v>-1.3308764840307548</v>
      </c>
      <c r="Z45" s="1">
        <v>-3.1528870372307658</v>
      </c>
      <c r="AA45" s="1">
        <v>-1.9948764680307747</v>
      </c>
      <c r="AB45" s="1">
        <v>-1.5252614967307725</v>
      </c>
      <c r="AC45" s="1">
        <v>-1.6149105574307594</v>
      </c>
      <c r="AD45" s="1">
        <v>-0.92363914943077907</v>
      </c>
      <c r="AE45" s="1">
        <v>-3.0684870940772491E-2</v>
      </c>
      <c r="AF45" s="1">
        <v>0.45460829456923418</v>
      </c>
      <c r="AG45" s="1">
        <v>3.5930787669227304E-2</v>
      </c>
      <c r="AH45" s="1">
        <v>-1.4061045382307595</v>
      </c>
      <c r="AI45" s="1">
        <v>-2.1196752670907553</v>
      </c>
      <c r="AJ45" s="1">
        <v>-2.2526105113207597</v>
      </c>
      <c r="AK45" s="1">
        <v>-1.2621451354507678</v>
      </c>
      <c r="AL45" s="1">
        <v>-0.56983358888077473</v>
      </c>
      <c r="AM45" s="1">
        <v>0.10178133444922077</v>
      </c>
      <c r="AN45" s="1">
        <v>0.71163629737922962</v>
      </c>
      <c r="AO45" s="1">
        <v>1.2302889477092382</v>
      </c>
      <c r="AP45" s="1">
        <v>1.5207169755392274</v>
      </c>
      <c r="AQ45" s="1">
        <v>1.4034630548992453</v>
      </c>
      <c r="AR45" s="1">
        <v>0.41214923718922075</v>
      </c>
      <c r="AS45" s="1">
        <v>0.28743131410924311</v>
      </c>
      <c r="AT45" s="1">
        <v>1.0879898171392406</v>
      </c>
      <c r="AU45" s="1">
        <v>-0.77898724903076388</v>
      </c>
    </row>
    <row r="46" spans="1:47" x14ac:dyDescent="0.25">
      <c r="A46">
        <v>2018.375</v>
      </c>
      <c r="B46">
        <v>5</v>
      </c>
      <c r="C46" s="1">
        <v>2.0574152523692271</v>
      </c>
      <c r="D46">
        <v>0.26396620041559377</v>
      </c>
      <c r="G46" s="1">
        <v>2.0574152523692271</v>
      </c>
      <c r="H46" s="1">
        <v>2.057989922469234</v>
      </c>
      <c r="I46" s="1">
        <v>2.4866597172692426</v>
      </c>
      <c r="J46" s="1">
        <v>1.7138665980692449</v>
      </c>
      <c r="K46" s="1">
        <v>9.4529943569231722E-2</v>
      </c>
      <c r="L46" s="1">
        <v>0.60212085066922516</v>
      </c>
      <c r="M46" s="1">
        <v>2.3005714547692206</v>
      </c>
      <c r="N46" s="1">
        <v>2.2583431590692404</v>
      </c>
      <c r="O46" s="1">
        <v>1.6955769090092339</v>
      </c>
      <c r="P46" s="1">
        <v>2.0752345825592298</v>
      </c>
      <c r="Q46" s="1">
        <v>2.4774201739092447</v>
      </c>
      <c r="R46" s="1">
        <v>0.86056713492922976</v>
      </c>
      <c r="S46" s="1">
        <v>0.6355308827592252</v>
      </c>
      <c r="T46" s="1">
        <v>0.2263728185012383</v>
      </c>
      <c r="U46" s="1">
        <v>0.75269428361922963</v>
      </c>
      <c r="V46" s="1">
        <v>0.10561636126922933</v>
      </c>
      <c r="W46" s="1">
        <v>0.53788867355923242</v>
      </c>
      <c r="X46" s="1">
        <v>1.3136739487692362</v>
      </c>
      <c r="Y46" s="1">
        <v>0.48803656106923615</v>
      </c>
      <c r="Z46" s="1">
        <v>0.91796129348923017</v>
      </c>
      <c r="AA46" s="1">
        <v>2.3205943892092407</v>
      </c>
      <c r="AB46" s="1">
        <v>2.8199650322192427</v>
      </c>
      <c r="AC46" s="1">
        <v>2.6337997278192273</v>
      </c>
      <c r="AD46" s="1">
        <v>1.1669819309692406</v>
      </c>
      <c r="AE46" s="1">
        <v>-3.6238594620772724E-2</v>
      </c>
      <c r="AF46" s="1">
        <v>-1.9728460609507639</v>
      </c>
      <c r="AG46" s="1">
        <v>-2.3126394715807717</v>
      </c>
      <c r="AH46" s="1">
        <v>-4.0803512152507615</v>
      </c>
      <c r="AI46" s="1">
        <v>-5.0763222569207516</v>
      </c>
      <c r="AJ46" s="1">
        <v>-3.4209596195307723</v>
      </c>
      <c r="AK46" s="1">
        <v>-1.3308764840307548</v>
      </c>
      <c r="AL46" s="1">
        <v>-3.1528870372307658</v>
      </c>
      <c r="AM46" s="1">
        <v>-1.9948764680307747</v>
      </c>
      <c r="AN46" s="1">
        <v>-1.5252614967307725</v>
      </c>
      <c r="AO46" s="1">
        <v>-1.6149105574307594</v>
      </c>
      <c r="AP46" s="1">
        <v>-0.92363914943077907</v>
      </c>
      <c r="AQ46" s="1">
        <v>-3.0684870940772491E-2</v>
      </c>
      <c r="AR46" s="1">
        <v>0.45460829456923418</v>
      </c>
      <c r="AS46" s="1">
        <v>3.5930787669227304E-2</v>
      </c>
      <c r="AT46" s="1">
        <v>-1.4061045382307595</v>
      </c>
      <c r="AU46" s="1">
        <v>-2.1196752670907553</v>
      </c>
    </row>
    <row r="47" spans="1:47" x14ac:dyDescent="0.25">
      <c r="A47">
        <v>2019.375</v>
      </c>
      <c r="B47">
        <v>5</v>
      </c>
      <c r="C47" s="1">
        <v>0.16846339816923617</v>
      </c>
      <c r="D47">
        <v>0.41703770789466055</v>
      </c>
      <c r="G47" s="1">
        <v>0.16846339816923617</v>
      </c>
      <c r="H47" s="1">
        <v>-0.47616772613075503</v>
      </c>
      <c r="I47" s="1">
        <v>-0.53457451533077904</v>
      </c>
      <c r="J47" s="1">
        <v>0.49570576106923198</v>
      </c>
      <c r="K47" s="1">
        <v>-1.7311455758407726</v>
      </c>
      <c r="L47" s="1">
        <v>-0.96561260333077037</v>
      </c>
      <c r="M47" s="1">
        <v>-0.49344882973076382</v>
      </c>
      <c r="N47" s="1">
        <v>-0.57542024343075715</v>
      </c>
      <c r="O47" s="1">
        <v>0.80345345206922736</v>
      </c>
      <c r="P47" s="1">
        <v>1.1295069963692277</v>
      </c>
      <c r="Q47" s="1">
        <v>2.2252832571692274</v>
      </c>
      <c r="R47" s="1">
        <v>1.4889856663692449</v>
      </c>
      <c r="S47" s="1">
        <v>2.0574152523692271</v>
      </c>
      <c r="T47" s="1">
        <v>2.057989922469234</v>
      </c>
      <c r="U47" s="1">
        <v>2.4866597172692426</v>
      </c>
      <c r="V47" s="1">
        <v>1.7138665980692449</v>
      </c>
      <c r="W47" s="1">
        <v>9.4529943569231722E-2</v>
      </c>
      <c r="X47" s="1">
        <v>0.60212085066922516</v>
      </c>
      <c r="Y47" s="1">
        <v>2.3005714547692206</v>
      </c>
      <c r="Z47" s="1">
        <v>2.2583431590692404</v>
      </c>
      <c r="AA47" s="1">
        <v>1.6955769090092339</v>
      </c>
      <c r="AB47" s="1">
        <v>2.0752345825592298</v>
      </c>
      <c r="AC47" s="1">
        <v>2.4774201739092447</v>
      </c>
      <c r="AD47" s="1">
        <v>0.86056713492922976</v>
      </c>
      <c r="AE47" s="1">
        <v>0.6355308827592252</v>
      </c>
      <c r="AF47" s="1">
        <v>0.2263728185012383</v>
      </c>
      <c r="AG47" s="1">
        <v>0.75269428361922963</v>
      </c>
      <c r="AH47" s="1">
        <v>0.10561636126922933</v>
      </c>
      <c r="AI47" s="1">
        <v>0.53788867355923242</v>
      </c>
      <c r="AJ47" s="1">
        <v>1.3136739487692362</v>
      </c>
      <c r="AK47" s="1">
        <v>0.48803656106923615</v>
      </c>
      <c r="AL47" s="1">
        <v>0.91796129348923017</v>
      </c>
      <c r="AM47" s="1">
        <v>2.3205943892092407</v>
      </c>
      <c r="AN47" s="1">
        <v>2.8199650322192427</v>
      </c>
      <c r="AO47" s="1">
        <v>2.6337997278192273</v>
      </c>
      <c r="AP47" s="1">
        <v>1.1669819309692406</v>
      </c>
      <c r="AQ47" s="1">
        <v>-3.6238594620772724E-2</v>
      </c>
      <c r="AR47" s="1">
        <v>-1.9728460609507639</v>
      </c>
      <c r="AS47" s="1">
        <v>-2.3126394715807717</v>
      </c>
      <c r="AT47" s="1">
        <v>-4.0803512152507615</v>
      </c>
      <c r="AU47" s="1">
        <v>-5.0763222569207516</v>
      </c>
    </row>
    <row r="48" spans="1:47" x14ac:dyDescent="0.25">
      <c r="A48">
        <v>2020.375</v>
      </c>
      <c r="B48">
        <v>5</v>
      </c>
      <c r="C48" s="1">
        <v>0.94188844476923839</v>
      </c>
      <c r="D48">
        <v>1.0204448726988318</v>
      </c>
      <c r="G48" s="1">
        <v>0.94188844476923839</v>
      </c>
      <c r="H48" s="1">
        <v>1.418113753069234</v>
      </c>
      <c r="I48" s="1">
        <v>2.890156064869227</v>
      </c>
      <c r="J48" s="1">
        <v>0.72176298916923387</v>
      </c>
      <c r="K48" s="1">
        <v>0.50067563736922516</v>
      </c>
      <c r="L48" s="1">
        <v>-1.2565737220307747</v>
      </c>
      <c r="M48" s="1">
        <v>-1.0369431740307637</v>
      </c>
      <c r="N48" s="1">
        <v>0.70103079876923413</v>
      </c>
      <c r="O48" s="1">
        <v>0.37751908686922514</v>
      </c>
      <c r="P48" s="1">
        <v>0.59593210106922745</v>
      </c>
      <c r="Q48" s="1">
        <v>0.41449108666922962</v>
      </c>
      <c r="R48" s="1">
        <v>0.73665835736922736</v>
      </c>
      <c r="S48" s="1">
        <v>0.16846339816923617</v>
      </c>
      <c r="T48" s="1">
        <v>-0.47616772613075503</v>
      </c>
      <c r="U48" s="1">
        <v>-0.53457451533077904</v>
      </c>
      <c r="V48" s="1">
        <v>0.49570576106923198</v>
      </c>
      <c r="W48" s="1">
        <v>-1.7311455758407726</v>
      </c>
      <c r="X48" s="1">
        <v>-0.96561260333077037</v>
      </c>
      <c r="Y48" s="1">
        <v>-0.49344882973076382</v>
      </c>
      <c r="Z48" s="1">
        <v>-0.57542024343075715</v>
      </c>
      <c r="AA48" s="1">
        <v>0.80345345206922736</v>
      </c>
      <c r="AB48" s="1">
        <v>1.1295069963692277</v>
      </c>
      <c r="AC48" s="1">
        <v>2.2252832571692274</v>
      </c>
      <c r="AD48" s="1">
        <v>1.4889856663692449</v>
      </c>
      <c r="AE48" s="1">
        <v>2.0574152523692271</v>
      </c>
      <c r="AF48" s="1">
        <v>2.057989922469234</v>
      </c>
      <c r="AG48" s="1">
        <v>2.4866597172692426</v>
      </c>
      <c r="AH48" s="1">
        <v>1.7138665980692449</v>
      </c>
      <c r="AI48" s="1">
        <v>9.4529943569231722E-2</v>
      </c>
      <c r="AJ48" s="1">
        <v>0.60212085066922516</v>
      </c>
      <c r="AK48" s="1">
        <v>2.3005714547692206</v>
      </c>
      <c r="AL48" s="1">
        <v>2.2583431590692404</v>
      </c>
      <c r="AM48" s="1">
        <v>1.6955769090092339</v>
      </c>
      <c r="AN48" s="1">
        <v>2.0752345825592298</v>
      </c>
      <c r="AO48" s="1">
        <v>2.4774201739092447</v>
      </c>
      <c r="AP48" s="1">
        <v>0.86056713492922976</v>
      </c>
      <c r="AQ48" s="1">
        <v>0.6355308827592252</v>
      </c>
      <c r="AR48" s="1">
        <v>0.2263728185012383</v>
      </c>
      <c r="AS48" s="1">
        <v>0.75269428361922963</v>
      </c>
      <c r="AT48" s="1">
        <v>0.10561636126922933</v>
      </c>
      <c r="AU48" s="1">
        <v>0.53788867355923242</v>
      </c>
    </row>
    <row r="49" spans="1:47" x14ac:dyDescent="0.25">
      <c r="A49">
        <v>2021.375</v>
      </c>
      <c r="B49">
        <v>5</v>
      </c>
      <c r="C49" s="1">
        <v>3.013470621229243</v>
      </c>
      <c r="D49">
        <v>0.51803523303640209</v>
      </c>
      <c r="G49" s="1">
        <v>3.013470621229243</v>
      </c>
      <c r="H49" s="1">
        <v>3.4358862912692407</v>
      </c>
      <c r="I49" s="1">
        <v>4.1419505337292053</v>
      </c>
      <c r="J49" s="1">
        <v>1.6625542466692296</v>
      </c>
      <c r="K49" s="1">
        <v>0.56966047319922519</v>
      </c>
      <c r="L49" s="1">
        <v>7.4266250269225065E-2</v>
      </c>
      <c r="M49" s="1">
        <v>2.7389921961692316</v>
      </c>
      <c r="N49" s="1">
        <v>2.6532131311692275</v>
      </c>
      <c r="O49" s="1">
        <v>2.7449835301692338</v>
      </c>
      <c r="P49" s="1">
        <v>2.4282919043692339</v>
      </c>
      <c r="Q49" s="1">
        <v>2.4569034265692382</v>
      </c>
      <c r="R49" s="1">
        <v>1.9575282925692208</v>
      </c>
      <c r="S49" s="1">
        <v>0.94188844476923839</v>
      </c>
      <c r="T49" s="1">
        <v>1.418113753069234</v>
      </c>
      <c r="U49" s="1">
        <v>2.890156064869227</v>
      </c>
      <c r="V49" s="1">
        <v>0.72176298916923387</v>
      </c>
      <c r="W49" s="1">
        <v>0.50067563736922516</v>
      </c>
      <c r="X49" s="1">
        <v>-1.2565737220307747</v>
      </c>
      <c r="Y49" s="1">
        <v>-1.0369431740307637</v>
      </c>
      <c r="Z49" s="1">
        <v>0.70103079876923413</v>
      </c>
      <c r="AA49" s="1">
        <v>0.37751908686922514</v>
      </c>
      <c r="AB49" s="1">
        <v>0.59593210106922745</v>
      </c>
      <c r="AC49" s="1">
        <v>0.41449108666922962</v>
      </c>
      <c r="AD49" s="1">
        <v>0.73665835736922736</v>
      </c>
      <c r="AE49" s="1">
        <v>0.16846339816923617</v>
      </c>
      <c r="AF49" s="1">
        <v>-0.47616772613075503</v>
      </c>
      <c r="AG49" s="1">
        <v>-0.53457451533077904</v>
      </c>
      <c r="AH49" s="1">
        <v>0.49570576106923198</v>
      </c>
      <c r="AI49" s="1">
        <v>-1.7311455758407726</v>
      </c>
      <c r="AJ49" s="1">
        <v>-0.96561260333077037</v>
      </c>
      <c r="AK49" s="1">
        <v>-0.49344882973076382</v>
      </c>
      <c r="AL49" s="1">
        <v>-0.57542024343075715</v>
      </c>
      <c r="AM49" s="1">
        <v>0.80345345206922736</v>
      </c>
      <c r="AN49" s="1">
        <v>1.1295069963692277</v>
      </c>
      <c r="AO49" s="1">
        <v>2.2252832571692274</v>
      </c>
      <c r="AP49" s="1">
        <v>1.4889856663692449</v>
      </c>
      <c r="AQ49" s="1">
        <v>2.0574152523692271</v>
      </c>
      <c r="AR49" s="1">
        <v>2.057989922469234</v>
      </c>
      <c r="AS49" s="1">
        <v>2.4866597172692426</v>
      </c>
      <c r="AT49" s="1">
        <v>1.7138665980692449</v>
      </c>
      <c r="AU49" s="1">
        <v>9.4529943569231722E-2</v>
      </c>
    </row>
    <row r="50" spans="1:47" x14ac:dyDescent="0.25">
      <c r="A50">
        <v>2022.375</v>
      </c>
      <c r="B50">
        <v>5</v>
      </c>
      <c r="C50" s="1">
        <v>4.3843827266992443</v>
      </c>
      <c r="D50">
        <v>0.82127031081565138</v>
      </c>
      <c r="G50" s="1">
        <v>4.3843827266992443</v>
      </c>
      <c r="H50" s="1">
        <v>3.738704460969243</v>
      </c>
      <c r="I50" s="1">
        <v>2.5391773460692382</v>
      </c>
      <c r="J50" s="1">
        <v>1.5244433762692298</v>
      </c>
      <c r="K50" s="1">
        <v>1.1166221583692315</v>
      </c>
      <c r="L50" s="1">
        <v>3.7450370694692299</v>
      </c>
      <c r="M50" s="1">
        <v>3.3026885758992401</v>
      </c>
      <c r="N50" s="1">
        <v>3.7375478410922232</v>
      </c>
      <c r="O50" s="1">
        <v>3.2127393982092203</v>
      </c>
      <c r="P50" s="1">
        <v>2.8442826277692275</v>
      </c>
      <c r="Q50" s="1">
        <v>4.163303717119228</v>
      </c>
      <c r="R50" s="1">
        <v>2.8356994875692361</v>
      </c>
      <c r="S50" s="1">
        <v>3.013470621229243</v>
      </c>
      <c r="T50" s="1">
        <v>3.4358862912692407</v>
      </c>
      <c r="U50" s="1">
        <v>4.1419505337292053</v>
      </c>
      <c r="V50" s="1">
        <v>1.6625542466692296</v>
      </c>
      <c r="W50" s="1">
        <v>0.56966047319922519</v>
      </c>
      <c r="X50" s="1">
        <v>7.4266250269225065E-2</v>
      </c>
      <c r="Y50" s="1">
        <v>2.7389921961692316</v>
      </c>
      <c r="Z50" s="1">
        <v>2.6532131311692275</v>
      </c>
      <c r="AA50" s="1">
        <v>2.7449835301692338</v>
      </c>
      <c r="AB50" s="1">
        <v>2.4282919043692339</v>
      </c>
      <c r="AC50" s="1">
        <v>2.4569034265692382</v>
      </c>
      <c r="AD50" s="1">
        <v>1.9575282925692208</v>
      </c>
      <c r="AE50" s="1">
        <v>0.94188844476923839</v>
      </c>
      <c r="AF50" s="1">
        <v>1.418113753069234</v>
      </c>
      <c r="AG50" s="1">
        <v>2.890156064869227</v>
      </c>
      <c r="AH50" s="1">
        <v>0.72176298916923387</v>
      </c>
      <c r="AI50" s="1">
        <v>0.50067563736922516</v>
      </c>
      <c r="AJ50" s="1">
        <v>-1.2565737220307747</v>
      </c>
      <c r="AK50" s="1">
        <v>-1.0369431740307637</v>
      </c>
      <c r="AL50" s="1">
        <v>0.70103079876923413</v>
      </c>
      <c r="AM50" s="1">
        <v>0.37751908686922514</v>
      </c>
      <c r="AN50" s="1">
        <v>0.59593210106922745</v>
      </c>
      <c r="AO50" s="1">
        <v>0.41449108666922962</v>
      </c>
      <c r="AP50" s="1">
        <v>0.73665835736922736</v>
      </c>
      <c r="AQ50" s="1">
        <v>0.16846339816923617</v>
      </c>
      <c r="AR50" s="1">
        <v>-0.47616772613075503</v>
      </c>
      <c r="AS50" s="1">
        <v>-0.53457451533077904</v>
      </c>
      <c r="AT50" s="1">
        <v>0.49570576106923198</v>
      </c>
      <c r="AU50" s="1">
        <v>-1.7311455758407726</v>
      </c>
    </row>
    <row r="51" spans="1:47" x14ac:dyDescent="0.25">
      <c r="A51">
        <v>2023.375</v>
      </c>
      <c r="B51">
        <v>5</v>
      </c>
      <c r="C51" s="1">
        <v>2.5315232330692252</v>
      </c>
      <c r="D51">
        <v>0.43078099770386608</v>
      </c>
      <c r="G51" s="1">
        <v>2.5315232330692252</v>
      </c>
      <c r="H51" s="1">
        <v>2.4242919410692383</v>
      </c>
      <c r="I51" s="1">
        <v>3.0204558906692407</v>
      </c>
      <c r="J51" s="1">
        <v>2.5160163088692427</v>
      </c>
      <c r="K51" s="1">
        <v>0.21799792796922957</v>
      </c>
      <c r="L51" s="1">
        <v>1.0712564202692405</v>
      </c>
      <c r="M51" s="1">
        <v>3.5479114080692211</v>
      </c>
      <c r="N51" s="1">
        <v>3.5468615474692231</v>
      </c>
      <c r="O51" s="1">
        <v>3.5616315340692255</v>
      </c>
      <c r="P51" s="1">
        <v>4.1160447731392207</v>
      </c>
      <c r="Q51" s="1">
        <v>4.716440559979227</v>
      </c>
      <c r="R51" s="1">
        <v>3.4192657767092252</v>
      </c>
      <c r="S51" s="1">
        <v>4.3843827266992443</v>
      </c>
      <c r="T51" s="1">
        <v>3.738704460969243</v>
      </c>
      <c r="U51" s="1">
        <v>2.5391773460692382</v>
      </c>
      <c r="V51" s="1">
        <v>1.5244433762692298</v>
      </c>
      <c r="W51" s="1">
        <v>1.1166221583692315</v>
      </c>
      <c r="X51" s="1">
        <v>3.7450370694692299</v>
      </c>
      <c r="Y51" s="1">
        <v>3.3026885758992401</v>
      </c>
      <c r="Z51" s="1">
        <v>3.7375478410922232</v>
      </c>
      <c r="AA51" s="1">
        <v>3.2127393982092203</v>
      </c>
      <c r="AB51" s="1">
        <v>2.8442826277692275</v>
      </c>
      <c r="AC51" s="1">
        <v>4.163303717119228</v>
      </c>
      <c r="AD51" s="1">
        <v>2.8356994875692361</v>
      </c>
      <c r="AE51" s="1">
        <v>3.013470621229243</v>
      </c>
      <c r="AF51" s="1">
        <v>3.4358862912692407</v>
      </c>
      <c r="AG51" s="1">
        <v>4.1419505337292053</v>
      </c>
      <c r="AH51" s="1">
        <v>1.6625542466692296</v>
      </c>
      <c r="AI51" s="1">
        <v>0.56966047319922519</v>
      </c>
      <c r="AJ51" s="1">
        <v>7.4266250269225065E-2</v>
      </c>
      <c r="AK51" s="1">
        <v>2.7389921961692316</v>
      </c>
      <c r="AL51" s="1">
        <v>2.6532131311692275</v>
      </c>
      <c r="AM51" s="1">
        <v>2.7449835301692338</v>
      </c>
      <c r="AN51" s="1">
        <v>2.4282919043692339</v>
      </c>
      <c r="AO51" s="1">
        <v>2.4569034265692382</v>
      </c>
      <c r="AP51" s="1">
        <v>1.9575282925692208</v>
      </c>
      <c r="AQ51" s="1">
        <v>0.94188844476923839</v>
      </c>
      <c r="AR51" s="1">
        <v>1.418113753069234</v>
      </c>
      <c r="AS51" s="1">
        <v>2.890156064869227</v>
      </c>
      <c r="AT51" s="1">
        <v>0.72176298916923387</v>
      </c>
      <c r="AU51" s="1">
        <v>0.50067563736922516</v>
      </c>
    </row>
    <row r="52" spans="1:47" x14ac:dyDescent="0.25">
      <c r="A52">
        <v>2024</v>
      </c>
      <c r="D52">
        <v>0.25828661584026213</v>
      </c>
      <c r="S52" s="1">
        <v>2.5315232330692252</v>
      </c>
      <c r="T52" s="1">
        <v>2.4242919410692383</v>
      </c>
      <c r="U52" s="1">
        <v>3.0204558906692407</v>
      </c>
      <c r="V52" s="1">
        <v>2.5160163088692427</v>
      </c>
      <c r="W52" s="1">
        <v>0.21799792796922957</v>
      </c>
      <c r="X52" s="1">
        <v>1.0712564202692405</v>
      </c>
      <c r="Y52" s="1">
        <v>3.5479114080692211</v>
      </c>
      <c r="Z52" s="1">
        <v>3.5468615474692231</v>
      </c>
      <c r="AA52" s="1">
        <v>3.5616315340692255</v>
      </c>
      <c r="AB52" s="1">
        <v>4.1160447731392207</v>
      </c>
      <c r="AC52" s="1">
        <v>4.716440559979227</v>
      </c>
      <c r="AD52" s="1">
        <v>3.4192657767092252</v>
      </c>
      <c r="AE52" s="1">
        <v>4.3843827266992443</v>
      </c>
      <c r="AF52" s="1">
        <v>3.738704460969243</v>
      </c>
      <c r="AG52" s="1">
        <v>2.5391773460692382</v>
      </c>
      <c r="AH52" s="1">
        <v>1.5244433762692298</v>
      </c>
      <c r="AI52" s="1">
        <v>1.1166221583692315</v>
      </c>
      <c r="AJ52" s="1">
        <v>3.7450370694692299</v>
      </c>
      <c r="AK52" s="1">
        <v>3.3026885758992401</v>
      </c>
      <c r="AL52" s="1">
        <v>3.7375478410922232</v>
      </c>
      <c r="AM52" s="1">
        <v>3.2127393982092203</v>
      </c>
      <c r="AN52" s="1">
        <v>2.8442826277692275</v>
      </c>
      <c r="AO52" s="1">
        <v>4.163303717119228</v>
      </c>
      <c r="AP52" s="1">
        <v>2.8356994875692361</v>
      </c>
      <c r="AQ52" s="1">
        <v>3.013470621229243</v>
      </c>
      <c r="AR52" s="1">
        <v>3.4358862912692407</v>
      </c>
      <c r="AS52" s="1">
        <v>4.1419505337292053</v>
      </c>
      <c r="AT52" s="1">
        <v>1.6625542466692296</v>
      </c>
      <c r="AU52" s="1">
        <v>0.56966047319922519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B3556-D2F1-4E13-91C3-0A5C015256EC}">
  <dimension ref="B18:R41"/>
  <sheetViews>
    <sheetView topLeftCell="A16" workbookViewId="0">
      <selection activeCell="B42" sqref="B42"/>
    </sheetView>
  </sheetViews>
  <sheetFormatPr defaultRowHeight="15" x14ac:dyDescent="0.25"/>
  <sheetData>
    <row r="18" spans="2:3" x14ac:dyDescent="0.25">
      <c r="B18" t="s">
        <v>10</v>
      </c>
    </row>
    <row r="19" spans="2:3" x14ac:dyDescent="0.25">
      <c r="C19" t="s">
        <v>12</v>
      </c>
    </row>
    <row r="20" spans="2:3" x14ac:dyDescent="0.25">
      <c r="C20" t="s">
        <v>11</v>
      </c>
    </row>
    <row r="38" spans="2:18" x14ac:dyDescent="0.25">
      <c r="B38" t="s">
        <v>13</v>
      </c>
      <c r="J38" t="s">
        <v>15</v>
      </c>
      <c r="R38">
        <f>EXP(1.5)</f>
        <v>4.4816890703380645</v>
      </c>
    </row>
    <row r="39" spans="2:18" x14ac:dyDescent="0.25">
      <c r="B39" t="s">
        <v>14</v>
      </c>
    </row>
    <row r="41" spans="2:18" x14ac:dyDescent="0.25">
      <c r="B41" t="s">
        <v>16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4E5A0-50A1-4773-B84F-295C0C6221BC}">
  <dimension ref="A1:AB181"/>
  <sheetViews>
    <sheetView tabSelected="1" workbookViewId="0">
      <selection activeCell="F194" sqref="F194"/>
    </sheetView>
  </sheetViews>
  <sheetFormatPr defaultRowHeight="15" x14ac:dyDescent="0.25"/>
  <cols>
    <col min="6" max="6" width="10.42578125" customWidth="1"/>
    <col min="10" max="10" width="9.7109375" customWidth="1"/>
    <col min="16" max="16" width="10.5703125" bestFit="1" customWidth="1"/>
    <col min="22" max="22" width="10.7109375" customWidth="1"/>
  </cols>
  <sheetData>
    <row r="1" spans="1:10" x14ac:dyDescent="0.25">
      <c r="A1" t="s">
        <v>17</v>
      </c>
      <c r="B1" t="s">
        <v>9</v>
      </c>
    </row>
    <row r="2" spans="1:10" x14ac:dyDescent="0.25">
      <c r="B2" s="3"/>
      <c r="C2" s="3" t="s">
        <v>18</v>
      </c>
    </row>
    <row r="3" spans="1:10" x14ac:dyDescent="0.25">
      <c r="B3" s="3" t="s">
        <v>19</v>
      </c>
      <c r="C3" s="3" t="s">
        <v>20</v>
      </c>
      <c r="D3" t="s">
        <v>21</v>
      </c>
      <c r="E3" t="s">
        <v>22</v>
      </c>
    </row>
    <row r="4" spans="1:10" x14ac:dyDescent="0.25">
      <c r="B4">
        <v>1963</v>
      </c>
      <c r="C4">
        <v>136350.6973</v>
      </c>
      <c r="D4">
        <f t="shared" ref="D4:D65" si="0">LN(C4)</f>
        <v>11.822985502305396</v>
      </c>
    </row>
    <row r="5" spans="1:10" x14ac:dyDescent="0.25">
      <c r="B5">
        <v>1964</v>
      </c>
      <c r="C5">
        <v>191054.08970000001</v>
      </c>
      <c r="D5">
        <f t="shared" si="0"/>
        <v>12.160311859084036</v>
      </c>
      <c r="E5">
        <f>D5-D4</f>
        <v>0.33732635677863954</v>
      </c>
    </row>
    <row r="6" spans="1:10" x14ac:dyDescent="0.25">
      <c r="B6">
        <v>1965</v>
      </c>
      <c r="C6">
        <v>297253.09470000002</v>
      </c>
      <c r="D6">
        <f t="shared" si="0"/>
        <v>12.6023392256006</v>
      </c>
      <c r="E6">
        <f t="shared" ref="E6:E64" si="1">D6-D5</f>
        <v>0.44202736651656416</v>
      </c>
    </row>
    <row r="7" spans="1:10" x14ac:dyDescent="0.25">
      <c r="B7">
        <v>1966</v>
      </c>
      <c r="C7">
        <v>310078.42210000003</v>
      </c>
      <c r="D7">
        <f t="shared" si="0"/>
        <v>12.644580518984801</v>
      </c>
      <c r="E7">
        <f t="shared" si="1"/>
        <v>4.2241293384201128E-2</v>
      </c>
    </row>
    <row r="8" spans="1:10" ht="15.75" thickBot="1" x14ac:dyDescent="0.3">
      <c r="B8">
        <v>1967</v>
      </c>
      <c r="C8">
        <v>412373.60310000001</v>
      </c>
      <c r="D8" s="4">
        <f t="shared" si="0"/>
        <v>12.929685021074402</v>
      </c>
      <c r="E8" s="4">
        <f t="shared" si="1"/>
        <v>0.28510450208960059</v>
      </c>
      <c r="F8" s="4"/>
      <c r="G8" s="4"/>
      <c r="H8" s="4"/>
      <c r="I8" s="4"/>
      <c r="J8" s="4"/>
    </row>
    <row r="9" spans="1:10" x14ac:dyDescent="0.25">
      <c r="B9">
        <v>1968</v>
      </c>
      <c r="C9">
        <v>290685.71639999998</v>
      </c>
      <c r="D9">
        <f t="shared" si="0"/>
        <v>12.579997950148876</v>
      </c>
      <c r="E9">
        <f t="shared" si="1"/>
        <v>-0.3496870709255262</v>
      </c>
    </row>
    <row r="10" spans="1:10" x14ac:dyDescent="0.25">
      <c r="B10">
        <v>1969</v>
      </c>
      <c r="C10">
        <v>759994.23049999995</v>
      </c>
      <c r="D10">
        <f t="shared" si="0"/>
        <v>13.541066120786331</v>
      </c>
      <c r="E10">
        <f t="shared" si="1"/>
        <v>0.96106817063745531</v>
      </c>
    </row>
    <row r="11" spans="1:10" x14ac:dyDescent="0.25">
      <c r="B11">
        <v>1970</v>
      </c>
      <c r="C11">
        <v>522005.61440000002</v>
      </c>
      <c r="D11">
        <f t="shared" si="0"/>
        <v>13.165433622362491</v>
      </c>
      <c r="E11">
        <f t="shared" si="1"/>
        <v>-0.37563249842384039</v>
      </c>
    </row>
    <row r="12" spans="1:10" x14ac:dyDescent="0.25">
      <c r="B12">
        <v>1971</v>
      </c>
      <c r="C12">
        <v>335231.2133</v>
      </c>
      <c r="D12">
        <f t="shared" si="0"/>
        <v>12.722575761691568</v>
      </c>
      <c r="E12">
        <f t="shared" si="1"/>
        <v>-0.44285786067092303</v>
      </c>
    </row>
    <row r="13" spans="1:10" x14ac:dyDescent="0.25">
      <c r="B13">
        <v>1972</v>
      </c>
      <c r="C13">
        <v>127964.89380000001</v>
      </c>
      <c r="D13">
        <f t="shared" si="0"/>
        <v>11.759511238096131</v>
      </c>
      <c r="E13">
        <f t="shared" si="1"/>
        <v>-0.96306452359543648</v>
      </c>
    </row>
    <row r="14" spans="1:10" x14ac:dyDescent="0.25">
      <c r="B14">
        <v>1973</v>
      </c>
      <c r="C14">
        <v>113965.8474</v>
      </c>
      <c r="D14">
        <f t="shared" si="0"/>
        <v>11.643654098281791</v>
      </c>
      <c r="E14">
        <f t="shared" si="1"/>
        <v>-0.11585713981433976</v>
      </c>
    </row>
    <row r="15" spans="1:10" x14ac:dyDescent="0.25">
      <c r="B15">
        <v>1974</v>
      </c>
      <c r="C15">
        <v>430597.39760000003</v>
      </c>
      <c r="D15">
        <f t="shared" si="0"/>
        <v>12.972928820234127</v>
      </c>
      <c r="E15">
        <f t="shared" si="1"/>
        <v>1.329274721952336</v>
      </c>
    </row>
    <row r="16" spans="1:10" x14ac:dyDescent="0.25">
      <c r="B16">
        <v>1975</v>
      </c>
      <c r="C16">
        <v>357436.71919999999</v>
      </c>
      <c r="D16">
        <f t="shared" si="0"/>
        <v>12.786713616217448</v>
      </c>
      <c r="E16">
        <f t="shared" si="1"/>
        <v>-0.18621520401667979</v>
      </c>
    </row>
    <row r="17" spans="2:10" x14ac:dyDescent="0.25">
      <c r="B17">
        <v>1976</v>
      </c>
      <c r="C17">
        <v>307997.32380000001</v>
      </c>
      <c r="D17">
        <f t="shared" si="0"/>
        <v>12.637846372956924</v>
      </c>
      <c r="E17">
        <f t="shared" si="1"/>
        <v>-0.14886724326052381</v>
      </c>
    </row>
    <row r="18" spans="2:10" x14ac:dyDescent="0.25">
      <c r="B18">
        <v>1977</v>
      </c>
      <c r="C18">
        <v>170035.14780000001</v>
      </c>
      <c r="D18">
        <f t="shared" si="0"/>
        <v>12.043760446426903</v>
      </c>
      <c r="E18">
        <f t="shared" si="1"/>
        <v>-0.59408592653002046</v>
      </c>
    </row>
    <row r="19" spans="2:10" x14ac:dyDescent="0.25">
      <c r="B19">
        <v>1978</v>
      </c>
      <c r="C19">
        <v>845205.12049999996</v>
      </c>
      <c r="D19">
        <f t="shared" si="0"/>
        <v>13.647334623035077</v>
      </c>
      <c r="E19">
        <f t="shared" si="1"/>
        <v>1.6035741766081735</v>
      </c>
    </row>
    <row r="20" spans="2:10" x14ac:dyDescent="0.25">
      <c r="B20">
        <v>1979</v>
      </c>
      <c r="C20">
        <v>1392465.72</v>
      </c>
      <c r="D20" s="5">
        <f t="shared" si="0"/>
        <v>14.146586632886303</v>
      </c>
      <c r="E20" s="5">
        <f t="shared" si="1"/>
        <v>0.49925200985122586</v>
      </c>
      <c r="F20" s="5"/>
      <c r="G20" s="5"/>
      <c r="H20" s="5"/>
      <c r="I20" s="5"/>
      <c r="J20" s="5"/>
    </row>
    <row r="21" spans="2:10" x14ac:dyDescent="0.25">
      <c r="B21">
        <v>1980</v>
      </c>
      <c r="C21">
        <v>2393480.997</v>
      </c>
      <c r="D21">
        <f t="shared" si="0"/>
        <v>14.688259348363923</v>
      </c>
      <c r="E21">
        <f t="shared" si="1"/>
        <v>0.54167271547762041</v>
      </c>
    </row>
    <row r="22" spans="2:10" x14ac:dyDescent="0.25">
      <c r="B22">
        <v>1981</v>
      </c>
      <c r="C22">
        <v>1338130.8049999999</v>
      </c>
      <c r="D22">
        <f t="shared" si="0"/>
        <v>14.106784276476413</v>
      </c>
      <c r="E22">
        <f t="shared" si="1"/>
        <v>-0.58147507188751035</v>
      </c>
    </row>
    <row r="23" spans="2:10" x14ac:dyDescent="0.25">
      <c r="B23">
        <v>1982</v>
      </c>
      <c r="C23">
        <v>716737.2794</v>
      </c>
      <c r="D23">
        <f t="shared" si="0"/>
        <v>13.482464635977383</v>
      </c>
      <c r="E23">
        <f t="shared" si="1"/>
        <v>-0.62431964049902966</v>
      </c>
    </row>
    <row r="24" spans="2:10" x14ac:dyDescent="0.25">
      <c r="B24">
        <v>1983</v>
      </c>
      <c r="C24">
        <v>1187356.7879999999</v>
      </c>
      <c r="D24">
        <f t="shared" si="0"/>
        <v>13.987240208039273</v>
      </c>
      <c r="E24">
        <f t="shared" si="1"/>
        <v>0.50477557206188983</v>
      </c>
    </row>
    <row r="25" spans="2:10" x14ac:dyDescent="0.25">
      <c r="B25">
        <v>1984</v>
      </c>
      <c r="C25">
        <v>299792.02140000003</v>
      </c>
      <c r="D25">
        <f t="shared" si="0"/>
        <v>12.610844251221117</v>
      </c>
      <c r="E25">
        <f t="shared" si="1"/>
        <v>-1.3763959568181559</v>
      </c>
    </row>
    <row r="26" spans="2:10" x14ac:dyDescent="0.25">
      <c r="B26">
        <v>1985</v>
      </c>
      <c r="C26">
        <v>643146.42660000001</v>
      </c>
      <c r="D26">
        <f t="shared" si="0"/>
        <v>13.374127701400312</v>
      </c>
      <c r="E26">
        <f t="shared" si="1"/>
        <v>0.76328345017919474</v>
      </c>
    </row>
    <row r="27" spans="2:10" x14ac:dyDescent="0.25">
      <c r="B27">
        <v>1986</v>
      </c>
      <c r="C27">
        <v>609140.88769999996</v>
      </c>
      <c r="D27">
        <f t="shared" si="0"/>
        <v>13.319804862629379</v>
      </c>
      <c r="E27">
        <f t="shared" si="1"/>
        <v>-5.4322838770932691E-2</v>
      </c>
    </row>
    <row r="28" spans="2:10" x14ac:dyDescent="0.25">
      <c r="B28">
        <v>1987</v>
      </c>
      <c r="C28">
        <v>471444.66460000002</v>
      </c>
      <c r="D28">
        <f t="shared" si="0"/>
        <v>13.063557013829044</v>
      </c>
      <c r="E28">
        <f t="shared" si="1"/>
        <v>-0.25624784880033502</v>
      </c>
    </row>
    <row r="29" spans="2:10" x14ac:dyDescent="0.25">
      <c r="B29">
        <v>1988</v>
      </c>
      <c r="C29">
        <v>293251.48619999998</v>
      </c>
      <c r="D29">
        <f t="shared" si="0"/>
        <v>12.588785834533571</v>
      </c>
      <c r="E29">
        <f t="shared" si="1"/>
        <v>-0.47477117929547319</v>
      </c>
    </row>
    <row r="30" spans="2:10" x14ac:dyDescent="0.25">
      <c r="B30">
        <v>1989</v>
      </c>
      <c r="C30">
        <v>906594.83330000006</v>
      </c>
      <c r="D30">
        <f t="shared" si="0"/>
        <v>13.717450918487428</v>
      </c>
      <c r="E30">
        <f t="shared" si="1"/>
        <v>1.128665083953857</v>
      </c>
    </row>
    <row r="31" spans="2:10" x14ac:dyDescent="0.25">
      <c r="B31">
        <v>1990</v>
      </c>
      <c r="C31">
        <v>876172.31409999996</v>
      </c>
      <c r="D31">
        <f t="shared" si="0"/>
        <v>13.683318056168128</v>
      </c>
      <c r="E31">
        <f t="shared" si="1"/>
        <v>-3.4132862319300017E-2</v>
      </c>
    </row>
    <row r="32" spans="2:10" x14ac:dyDescent="0.25">
      <c r="B32">
        <v>1991</v>
      </c>
      <c r="C32">
        <v>1645838.4680000001</v>
      </c>
      <c r="D32">
        <f t="shared" si="0"/>
        <v>14.313760519316007</v>
      </c>
      <c r="E32">
        <f t="shared" si="1"/>
        <v>0.63044246314787955</v>
      </c>
    </row>
    <row r="33" spans="2:5" x14ac:dyDescent="0.25">
      <c r="B33">
        <v>1992</v>
      </c>
      <c r="C33">
        <v>470347.57949999999</v>
      </c>
      <c r="D33">
        <f t="shared" si="0"/>
        <v>13.061227231219108</v>
      </c>
      <c r="E33">
        <f t="shared" si="1"/>
        <v>-1.2525332880968989</v>
      </c>
    </row>
    <row r="34" spans="2:5" x14ac:dyDescent="0.25">
      <c r="B34">
        <v>1993</v>
      </c>
      <c r="C34">
        <v>717075.4865</v>
      </c>
      <c r="D34">
        <f t="shared" si="0"/>
        <v>13.482936395072176</v>
      </c>
      <c r="E34">
        <f t="shared" si="1"/>
        <v>0.42170916385306789</v>
      </c>
    </row>
    <row r="35" spans="2:5" x14ac:dyDescent="0.25">
      <c r="B35">
        <v>1994</v>
      </c>
      <c r="C35">
        <v>906828.2709</v>
      </c>
      <c r="D35">
        <f t="shared" si="0"/>
        <v>13.717708373684451</v>
      </c>
      <c r="E35">
        <f t="shared" si="1"/>
        <v>0.23477197861227417</v>
      </c>
    </row>
    <row r="36" spans="2:5" x14ac:dyDescent="0.25">
      <c r="B36">
        <v>1995</v>
      </c>
      <c r="C36">
        <v>1184424.804</v>
      </c>
      <c r="D36">
        <f t="shared" si="0"/>
        <v>13.984767817239527</v>
      </c>
      <c r="E36">
        <f t="shared" si="1"/>
        <v>0.26705944355507683</v>
      </c>
    </row>
    <row r="37" spans="2:5" x14ac:dyDescent="0.25">
      <c r="B37">
        <v>1996</v>
      </c>
      <c r="C37">
        <v>942695.89969999995</v>
      </c>
      <c r="D37">
        <f t="shared" si="0"/>
        <v>13.75649902784683</v>
      </c>
      <c r="E37">
        <f t="shared" si="1"/>
        <v>-0.2282687893926969</v>
      </c>
    </row>
    <row r="38" spans="2:5" x14ac:dyDescent="0.25">
      <c r="B38">
        <v>1997</v>
      </c>
      <c r="C38">
        <v>208758.5453</v>
      </c>
      <c r="D38">
        <f t="shared" si="0"/>
        <v>12.248933577444127</v>
      </c>
      <c r="E38">
        <f t="shared" si="1"/>
        <v>-1.5075654504027032</v>
      </c>
    </row>
    <row r="39" spans="2:5" x14ac:dyDescent="0.25">
      <c r="B39">
        <v>1998</v>
      </c>
      <c r="C39">
        <v>426033.70750000002</v>
      </c>
      <c r="D39">
        <f t="shared" si="0"/>
        <v>12.962273747708098</v>
      </c>
      <c r="E39">
        <f t="shared" si="1"/>
        <v>0.71334017026397056</v>
      </c>
    </row>
    <row r="40" spans="2:5" x14ac:dyDescent="0.25">
      <c r="B40">
        <v>1999</v>
      </c>
      <c r="C40">
        <v>859317.74529999995</v>
      </c>
      <c r="D40">
        <f t="shared" si="0"/>
        <v>13.663894033966709</v>
      </c>
      <c r="E40">
        <f t="shared" si="1"/>
        <v>0.70162028625861161</v>
      </c>
    </row>
    <row r="41" spans="2:5" x14ac:dyDescent="0.25">
      <c r="B41">
        <v>2000</v>
      </c>
      <c r="C41">
        <v>982740.228</v>
      </c>
      <c r="D41">
        <f t="shared" si="0"/>
        <v>13.798100099708849</v>
      </c>
      <c r="E41">
        <f t="shared" si="1"/>
        <v>0.13420606574213956</v>
      </c>
    </row>
    <row r="42" spans="2:5" x14ac:dyDescent="0.25">
      <c r="B42">
        <v>2001</v>
      </c>
      <c r="C42">
        <v>818733.37199999997</v>
      </c>
      <c r="D42">
        <f t="shared" si="0"/>
        <v>13.615513756717734</v>
      </c>
      <c r="E42">
        <f t="shared" si="1"/>
        <v>-0.1825863429911152</v>
      </c>
    </row>
    <row r="43" spans="2:5" x14ac:dyDescent="0.25">
      <c r="B43">
        <v>2002</v>
      </c>
      <c r="C43">
        <v>199683.67910000001</v>
      </c>
      <c r="D43">
        <f t="shared" si="0"/>
        <v>12.204489788973429</v>
      </c>
      <c r="E43">
        <f t="shared" si="1"/>
        <v>-1.4110239677443044</v>
      </c>
    </row>
    <row r="44" spans="2:5" x14ac:dyDescent="0.25">
      <c r="B44">
        <v>2003</v>
      </c>
      <c r="C44">
        <v>492184.32799999998</v>
      </c>
      <c r="D44">
        <f t="shared" si="0"/>
        <v>13.10660857571701</v>
      </c>
      <c r="E44">
        <f t="shared" si="1"/>
        <v>0.90211878674358026</v>
      </c>
    </row>
    <row r="45" spans="2:5" x14ac:dyDescent="0.25">
      <c r="B45">
        <v>2004</v>
      </c>
      <c r="C45">
        <v>268355.56069999997</v>
      </c>
      <c r="D45">
        <f t="shared" si="0"/>
        <v>12.500068099208802</v>
      </c>
      <c r="E45">
        <f t="shared" si="1"/>
        <v>-0.60654047650820786</v>
      </c>
    </row>
    <row r="46" spans="2:5" x14ac:dyDescent="0.25">
      <c r="B46">
        <v>2005</v>
      </c>
      <c r="C46">
        <v>801087.32920000004</v>
      </c>
      <c r="D46">
        <f t="shared" si="0"/>
        <v>13.593725245326157</v>
      </c>
      <c r="E46">
        <f t="shared" si="1"/>
        <v>1.093657146117355</v>
      </c>
    </row>
    <row r="47" spans="2:5" x14ac:dyDescent="0.25">
      <c r="B47">
        <v>2006</v>
      </c>
      <c r="C47">
        <v>727744.17240000004</v>
      </c>
      <c r="D47">
        <f t="shared" si="0"/>
        <v>13.497704853880858</v>
      </c>
      <c r="E47">
        <f t="shared" si="1"/>
        <v>-9.6020391445298614E-2</v>
      </c>
    </row>
    <row r="48" spans="2:5" x14ac:dyDescent="0.25">
      <c r="B48">
        <v>2007</v>
      </c>
      <c r="C48">
        <v>1022674.9620000001</v>
      </c>
      <c r="D48">
        <f t="shared" si="0"/>
        <v>13.837932264241548</v>
      </c>
      <c r="E48">
        <f t="shared" si="1"/>
        <v>0.34022741036068993</v>
      </c>
    </row>
    <row r="49" spans="2:5" x14ac:dyDescent="0.25">
      <c r="B49">
        <v>2008</v>
      </c>
      <c r="C49">
        <v>1889371.767</v>
      </c>
      <c r="D49">
        <f t="shared" si="0"/>
        <v>14.45175493336653</v>
      </c>
      <c r="E49">
        <f t="shared" si="1"/>
        <v>0.61382266912498196</v>
      </c>
    </row>
    <row r="50" spans="2:5" x14ac:dyDescent="0.25">
      <c r="B50">
        <v>2009</v>
      </c>
      <c r="C50">
        <v>1585347.9939999999</v>
      </c>
      <c r="D50">
        <f t="shared" si="0"/>
        <v>14.276314495769073</v>
      </c>
      <c r="E50">
        <f t="shared" si="1"/>
        <v>-0.17544043759745698</v>
      </c>
    </row>
    <row r="51" spans="2:5" x14ac:dyDescent="0.25">
      <c r="B51">
        <v>2010</v>
      </c>
      <c r="C51">
        <v>1407871.09</v>
      </c>
      <c r="D51">
        <f t="shared" si="0"/>
        <v>14.157589256110946</v>
      </c>
      <c r="E51">
        <f t="shared" si="1"/>
        <v>-0.11872523965812753</v>
      </c>
    </row>
    <row r="52" spans="2:5" x14ac:dyDescent="0.25">
      <c r="B52">
        <v>2011</v>
      </c>
      <c r="C52">
        <v>1015858.074</v>
      </c>
      <c r="D52">
        <f t="shared" si="0"/>
        <v>13.831244206417994</v>
      </c>
      <c r="E52">
        <f t="shared" si="1"/>
        <v>-0.32634504969295186</v>
      </c>
    </row>
    <row r="53" spans="2:5" x14ac:dyDescent="0.25">
      <c r="B53">
        <v>2012</v>
      </c>
      <c r="C53">
        <v>507189.86820000003</v>
      </c>
      <c r="D53">
        <f t="shared" si="0"/>
        <v>13.136640705959259</v>
      </c>
      <c r="E53">
        <f t="shared" si="1"/>
        <v>-0.69460350045873476</v>
      </c>
    </row>
    <row r="54" spans="2:5" x14ac:dyDescent="0.25">
      <c r="B54">
        <v>2013</v>
      </c>
      <c r="C54">
        <v>692621.21</v>
      </c>
      <c r="D54">
        <f t="shared" si="0"/>
        <v>13.448238534218206</v>
      </c>
      <c r="E54">
        <f t="shared" si="1"/>
        <v>0.31159782825894666</v>
      </c>
    </row>
    <row r="55" spans="2:5" x14ac:dyDescent="0.25">
      <c r="B55">
        <v>2014</v>
      </c>
      <c r="C55">
        <v>1436716.9180000001</v>
      </c>
      <c r="D55">
        <f t="shared" si="0"/>
        <v>14.177871150526332</v>
      </c>
      <c r="E55">
        <f t="shared" si="1"/>
        <v>0.72963261630812681</v>
      </c>
    </row>
    <row r="56" spans="2:5" x14ac:dyDescent="0.25">
      <c r="B56">
        <v>2015</v>
      </c>
      <c r="C56">
        <v>1643325.825</v>
      </c>
      <c r="D56">
        <f t="shared" si="0"/>
        <v>14.312232688374808</v>
      </c>
      <c r="E56">
        <f t="shared" si="1"/>
        <v>0.13436153784847527</v>
      </c>
    </row>
    <row r="57" spans="2:5" x14ac:dyDescent="0.25">
      <c r="B57">
        <v>2016</v>
      </c>
      <c r="C57">
        <v>1850333.703</v>
      </c>
      <c r="D57">
        <f t="shared" si="0"/>
        <v>14.430876560787992</v>
      </c>
      <c r="E57">
        <f t="shared" si="1"/>
        <v>0.11864387241318397</v>
      </c>
    </row>
    <row r="58" spans="2:5" x14ac:dyDescent="0.25">
      <c r="B58">
        <v>2017</v>
      </c>
      <c r="C58">
        <v>1230311.719</v>
      </c>
      <c r="D58">
        <f t="shared" si="0"/>
        <v>14.022778125321922</v>
      </c>
      <c r="E58">
        <f t="shared" si="1"/>
        <v>-0.40809843546606928</v>
      </c>
    </row>
    <row r="59" spans="2:5" x14ac:dyDescent="0.25">
      <c r="B59">
        <v>2018</v>
      </c>
      <c r="C59">
        <v>1920088.3219999999</v>
      </c>
      <c r="D59">
        <f t="shared" si="0"/>
        <v>14.467881743987615</v>
      </c>
      <c r="E59">
        <f t="shared" si="1"/>
        <v>0.44510361866569248</v>
      </c>
    </row>
    <row r="60" spans="2:5" x14ac:dyDescent="0.25">
      <c r="B60">
        <v>2019</v>
      </c>
      <c r="C60">
        <v>1358926.9839999999</v>
      </c>
      <c r="D60">
        <f t="shared" si="0"/>
        <v>14.122205963948907</v>
      </c>
      <c r="E60">
        <f t="shared" si="1"/>
        <v>-0.34567578003870736</v>
      </c>
    </row>
    <row r="61" spans="2:5" x14ac:dyDescent="0.25">
      <c r="B61">
        <v>2020</v>
      </c>
      <c r="C61">
        <v>1212549.007</v>
      </c>
      <c r="D61">
        <f t="shared" si="0"/>
        <v>14.008235319121313</v>
      </c>
      <c r="E61">
        <f t="shared" si="1"/>
        <v>-0.11397064482759411</v>
      </c>
    </row>
    <row r="62" spans="2:5" x14ac:dyDescent="0.25">
      <c r="B62">
        <v>2021</v>
      </c>
      <c r="C62">
        <v>2023217.774</v>
      </c>
      <c r="D62">
        <f t="shared" si="0"/>
        <v>14.520199759392225</v>
      </c>
      <c r="E62">
        <f t="shared" si="1"/>
        <v>0.51196444027091204</v>
      </c>
    </row>
    <row r="63" spans="2:5" x14ac:dyDescent="0.25">
      <c r="B63">
        <v>2022</v>
      </c>
      <c r="C63">
        <v>2986219.25</v>
      </c>
      <c r="D63">
        <f t="shared" si="0"/>
        <v>14.90951868037366</v>
      </c>
      <c r="E63">
        <f t="shared" si="1"/>
        <v>0.3893189209814345</v>
      </c>
    </row>
    <row r="64" spans="2:5" x14ac:dyDescent="0.25">
      <c r="B64">
        <v>2023</v>
      </c>
      <c r="C64">
        <v>1379859.0970000001</v>
      </c>
      <c r="D64">
        <f t="shared" si="0"/>
        <v>14.137491948297269</v>
      </c>
      <c r="E64">
        <f t="shared" si="1"/>
        <v>-0.77202673207639094</v>
      </c>
    </row>
    <row r="65" spans="2:4" x14ac:dyDescent="0.25">
      <c r="B65">
        <v>2024</v>
      </c>
      <c r="C65" s="6">
        <v>1572250.10905134</v>
      </c>
      <c r="D65">
        <f t="shared" si="0"/>
        <v>14.268018341765798</v>
      </c>
    </row>
    <row r="83" spans="1:23" x14ac:dyDescent="0.25">
      <c r="J83" t="s">
        <v>23</v>
      </c>
      <c r="K83" t="s">
        <v>24</v>
      </c>
    </row>
    <row r="84" spans="1:23" x14ac:dyDescent="0.25">
      <c r="K84" t="s">
        <v>25</v>
      </c>
      <c r="P84">
        <f>0.0595*2024-105.8</f>
        <v>14.628</v>
      </c>
      <c r="Q84" t="s">
        <v>26</v>
      </c>
      <c r="S84" s="7">
        <f>EXP(P84)</f>
        <v>2253510.9945990359</v>
      </c>
      <c r="U84" t="s">
        <v>27</v>
      </c>
      <c r="W84" s="6">
        <v>1572250.10905134</v>
      </c>
    </row>
    <row r="86" spans="1:23" x14ac:dyDescent="0.25">
      <c r="A86" t="s">
        <v>75</v>
      </c>
    </row>
    <row r="87" spans="1:23" x14ac:dyDescent="0.25">
      <c r="B87" t="s">
        <v>28</v>
      </c>
      <c r="C87" t="s">
        <v>29</v>
      </c>
      <c r="D87" t="s">
        <v>30</v>
      </c>
      <c r="E87" s="6" t="s">
        <v>31</v>
      </c>
      <c r="F87" t="s">
        <v>32</v>
      </c>
      <c r="G87" t="s">
        <v>33</v>
      </c>
      <c r="H87" t="s">
        <v>34</v>
      </c>
      <c r="I87" t="s">
        <v>35</v>
      </c>
      <c r="J87" t="s">
        <v>36</v>
      </c>
      <c r="K87" t="s">
        <v>37</v>
      </c>
      <c r="L87" t="s">
        <v>38</v>
      </c>
      <c r="M87" t="s">
        <v>39</v>
      </c>
      <c r="O87" t="s">
        <v>40</v>
      </c>
    </row>
    <row r="88" spans="1:23" x14ac:dyDescent="0.25">
      <c r="A88">
        <v>125</v>
      </c>
      <c r="B88" t="s">
        <v>41</v>
      </c>
      <c r="C88" t="s">
        <v>9</v>
      </c>
      <c r="D88">
        <v>1963</v>
      </c>
      <c r="E88" s="6">
        <v>136350.69733242301</v>
      </c>
      <c r="F88" s="6">
        <v>6.0724074551102802E-10</v>
      </c>
      <c r="G88" s="6">
        <v>75778.786872463694</v>
      </c>
      <c r="H88" s="6">
        <v>37356.730410763899</v>
      </c>
      <c r="I88" s="6">
        <v>0</v>
      </c>
      <c r="J88" s="6">
        <v>0</v>
      </c>
      <c r="K88" s="6">
        <v>6.0724074551102802E-10</v>
      </c>
      <c r="L88" s="6">
        <v>14002.1694942169</v>
      </c>
      <c r="M88" s="6">
        <v>9213.0105549766195</v>
      </c>
      <c r="N88" s="6"/>
      <c r="O88" s="6"/>
      <c r="P88" s="6"/>
      <c r="Q88" s="6"/>
      <c r="R88" s="6"/>
    </row>
    <row r="89" spans="1:23" x14ac:dyDescent="0.25">
      <c r="A89">
        <v>126</v>
      </c>
      <c r="B89" t="s">
        <v>41</v>
      </c>
      <c r="C89" t="s">
        <v>9</v>
      </c>
      <c r="D89">
        <v>1964</v>
      </c>
      <c r="E89" s="6">
        <v>191054.089682969</v>
      </c>
      <c r="F89" s="6">
        <v>0</v>
      </c>
      <c r="G89" s="6">
        <v>41541.8841299536</v>
      </c>
      <c r="H89" s="6">
        <v>90589.305145523904</v>
      </c>
      <c r="I89" s="6">
        <v>0</v>
      </c>
      <c r="J89" s="6">
        <v>0</v>
      </c>
      <c r="K89" s="6">
        <v>106.338716830564</v>
      </c>
      <c r="L89" s="6">
        <v>45064.431437394902</v>
      </c>
      <c r="M89" s="6">
        <v>13488.279684912</v>
      </c>
      <c r="N89" s="6"/>
      <c r="O89" s="8">
        <f>LN(H89/G88)</f>
        <v>0.17851776441234515</v>
      </c>
      <c r="P89" s="6"/>
      <c r="Q89" s="6"/>
      <c r="R89" s="6"/>
    </row>
    <row r="90" spans="1:23" x14ac:dyDescent="0.25">
      <c r="A90">
        <v>127</v>
      </c>
      <c r="B90" t="s">
        <v>41</v>
      </c>
      <c r="C90" t="s">
        <v>9</v>
      </c>
      <c r="D90">
        <v>1965</v>
      </c>
      <c r="E90" s="6">
        <v>297253.09476830199</v>
      </c>
      <c r="F90" s="6">
        <v>0</v>
      </c>
      <c r="G90" s="6">
        <v>28373.4417361015</v>
      </c>
      <c r="H90" s="6">
        <v>225973.2496451</v>
      </c>
      <c r="I90" s="6">
        <v>0</v>
      </c>
      <c r="J90" s="6">
        <v>0</v>
      </c>
      <c r="K90" s="6">
        <v>0</v>
      </c>
      <c r="L90" s="6">
        <v>26634.634256128302</v>
      </c>
      <c r="M90" s="6">
        <v>16193.6668770054</v>
      </c>
      <c r="N90" s="6"/>
      <c r="O90" s="8">
        <f t="shared" ref="O90:O149" si="2">LN(H90/G89)</f>
        <v>1.6937144534409074</v>
      </c>
      <c r="P90" s="6"/>
      <c r="Q90" s="6"/>
      <c r="R90" s="6"/>
    </row>
    <row r="91" spans="1:23" x14ac:dyDescent="0.25">
      <c r="A91">
        <v>128</v>
      </c>
      <c r="B91" t="s">
        <v>41</v>
      </c>
      <c r="C91" t="s">
        <v>9</v>
      </c>
      <c r="D91">
        <v>1966</v>
      </c>
      <c r="E91" s="6">
        <v>310078.42211250297</v>
      </c>
      <c r="F91" s="6">
        <v>0</v>
      </c>
      <c r="G91" s="6">
        <v>16810.872573905199</v>
      </c>
      <c r="H91" s="6">
        <v>253124.41199417599</v>
      </c>
      <c r="I91" s="6">
        <v>8.9436353237286903E-10</v>
      </c>
      <c r="J91" s="6">
        <v>0</v>
      </c>
      <c r="K91" s="6">
        <v>0</v>
      </c>
      <c r="L91" s="6">
        <v>9652.7271685505693</v>
      </c>
      <c r="M91" s="6">
        <v>29630.301828874799</v>
      </c>
      <c r="N91" s="6"/>
      <c r="O91" s="8">
        <f t="shared" si="2"/>
        <v>2.1884275573679237</v>
      </c>
      <c r="P91" s="6"/>
      <c r="Q91" s="6"/>
      <c r="R91" s="6"/>
    </row>
    <row r="92" spans="1:23" x14ac:dyDescent="0.25">
      <c r="A92">
        <v>129</v>
      </c>
      <c r="B92" t="s">
        <v>41</v>
      </c>
      <c r="C92" t="s">
        <v>9</v>
      </c>
      <c r="D92">
        <v>1967</v>
      </c>
      <c r="E92" s="6">
        <v>412373.60309748899</v>
      </c>
      <c r="F92" s="6">
        <v>0</v>
      </c>
      <c r="G92" s="6">
        <v>196557.533604264</v>
      </c>
      <c r="H92" s="6">
        <v>200761.53980283401</v>
      </c>
      <c r="I92" s="6">
        <v>210.56483405273599</v>
      </c>
      <c r="J92" s="6">
        <v>0</v>
      </c>
      <c r="K92" s="6">
        <v>0</v>
      </c>
      <c r="L92" s="6">
        <v>5143.6676018194003</v>
      </c>
      <c r="M92" s="6">
        <v>9303.3743812966295</v>
      </c>
      <c r="N92" s="6"/>
      <c r="O92" s="8">
        <f t="shared" si="2"/>
        <v>2.4800919805273449</v>
      </c>
      <c r="P92" s="6"/>
      <c r="Q92" s="6"/>
      <c r="R92" s="6"/>
    </row>
    <row r="93" spans="1:23" x14ac:dyDescent="0.25">
      <c r="A93">
        <v>130</v>
      </c>
      <c r="B93" t="s">
        <v>41</v>
      </c>
      <c r="C93" t="s">
        <v>9</v>
      </c>
      <c r="D93">
        <v>1968</v>
      </c>
      <c r="E93" s="6">
        <v>290685.71634915902</v>
      </c>
      <c r="F93" s="6">
        <v>299.10349584333397</v>
      </c>
      <c r="G93" s="6">
        <v>124313.039761216</v>
      </c>
      <c r="H93" s="6">
        <v>137345.66090369801</v>
      </c>
      <c r="I93" s="6">
        <v>1.3703135394069599E-9</v>
      </c>
      <c r="J93" s="6">
        <v>0</v>
      </c>
      <c r="K93" s="6">
        <v>261.39382006971198</v>
      </c>
      <c r="L93" s="6">
        <v>22418.4062805172</v>
      </c>
      <c r="M93" s="6">
        <v>5541.2605540949398</v>
      </c>
      <c r="N93" s="6"/>
      <c r="O93" s="8">
        <f t="shared" si="2"/>
        <v>-0.35845435981858365</v>
      </c>
      <c r="P93" s="6"/>
      <c r="Q93" s="6"/>
      <c r="R93" s="6"/>
    </row>
    <row r="94" spans="1:23" x14ac:dyDescent="0.25">
      <c r="A94">
        <v>131</v>
      </c>
      <c r="B94" t="s">
        <v>41</v>
      </c>
      <c r="C94" t="s">
        <v>9</v>
      </c>
      <c r="D94">
        <v>1969</v>
      </c>
      <c r="E94" s="6">
        <v>759994.23044126295</v>
      </c>
      <c r="F94" s="6">
        <v>3.1795026519644399E-9</v>
      </c>
      <c r="G94" s="6">
        <v>319406.42716620798</v>
      </c>
      <c r="H94" s="6">
        <v>325005.49283401697</v>
      </c>
      <c r="I94" s="6">
        <v>0</v>
      </c>
      <c r="J94" s="6">
        <v>0</v>
      </c>
      <c r="K94" s="6">
        <v>4.4513037120570099E-9</v>
      </c>
      <c r="L94" s="6">
        <v>103991.00089101</v>
      </c>
      <c r="M94" s="6">
        <v>11591.309550006999</v>
      </c>
      <c r="N94" s="6"/>
      <c r="O94" s="8">
        <f t="shared" si="2"/>
        <v>0.96103918463933058</v>
      </c>
      <c r="P94" s="6"/>
      <c r="Q94" s="6"/>
      <c r="R94" s="6"/>
    </row>
    <row r="95" spans="1:23" x14ac:dyDescent="0.25">
      <c r="A95">
        <v>132</v>
      </c>
      <c r="B95" t="s">
        <v>41</v>
      </c>
      <c r="C95" t="s">
        <v>9</v>
      </c>
      <c r="D95">
        <v>1970</v>
      </c>
      <c r="E95" s="6">
        <v>522005.61433307402</v>
      </c>
      <c r="F95" s="6">
        <v>0</v>
      </c>
      <c r="G95" s="6">
        <v>54400.734056278299</v>
      </c>
      <c r="H95" s="6">
        <v>270050.31617465097</v>
      </c>
      <c r="I95" s="6">
        <v>0</v>
      </c>
      <c r="J95" s="6">
        <v>0</v>
      </c>
      <c r="K95" s="6">
        <v>1.59283819127496E-9</v>
      </c>
      <c r="L95" s="6">
        <v>168321.36908596999</v>
      </c>
      <c r="M95" s="6">
        <v>28877.010195148599</v>
      </c>
      <c r="N95" s="6"/>
      <c r="O95" s="8">
        <f t="shared" si="2"/>
        <v>-0.16785606036414966</v>
      </c>
      <c r="P95" s="6"/>
      <c r="Q95" s="6"/>
      <c r="R95" s="6"/>
    </row>
    <row r="96" spans="1:23" x14ac:dyDescent="0.25">
      <c r="A96">
        <v>133</v>
      </c>
      <c r="B96" t="s">
        <v>41</v>
      </c>
      <c r="C96" t="s">
        <v>9</v>
      </c>
      <c r="D96">
        <v>1971</v>
      </c>
      <c r="E96" s="6">
        <v>335231.21329444402</v>
      </c>
      <c r="F96" s="6">
        <v>0</v>
      </c>
      <c r="G96" s="6">
        <v>43478.986046182603</v>
      </c>
      <c r="H96" s="6">
        <v>232636.801883326</v>
      </c>
      <c r="I96" s="6">
        <v>2.9006404612666898E-9</v>
      </c>
      <c r="J96" s="6">
        <v>0</v>
      </c>
      <c r="K96" s="6">
        <v>8.5332993031960996E-10</v>
      </c>
      <c r="L96" s="6">
        <v>5391.5921003062203</v>
      </c>
      <c r="M96" s="6">
        <v>52842.311654737103</v>
      </c>
      <c r="N96" s="6"/>
      <c r="O96" s="8">
        <f t="shared" si="2"/>
        <v>1.4531007997354863</v>
      </c>
      <c r="P96" s="6"/>
      <c r="Q96" s="6"/>
      <c r="R96" s="6"/>
    </row>
    <row r="97" spans="1:18" x14ac:dyDescent="0.25">
      <c r="A97">
        <v>134</v>
      </c>
      <c r="B97" t="s">
        <v>41</v>
      </c>
      <c r="C97" t="s">
        <v>9</v>
      </c>
      <c r="D97">
        <v>1972</v>
      </c>
      <c r="E97" s="6">
        <v>127964.89381752899</v>
      </c>
      <c r="F97" s="6">
        <v>0</v>
      </c>
      <c r="G97" s="6">
        <v>48449.768185142697</v>
      </c>
      <c r="H97" s="6">
        <v>59860.659191868697</v>
      </c>
      <c r="I97" s="6">
        <v>122.030703500649</v>
      </c>
      <c r="J97" s="6">
        <v>0</v>
      </c>
      <c r="K97" s="6">
        <v>0</v>
      </c>
      <c r="L97" s="6">
        <v>10883.8954089287</v>
      </c>
      <c r="M97" s="6">
        <v>8481.5509443513092</v>
      </c>
      <c r="N97" s="6"/>
      <c r="O97" s="8">
        <f t="shared" si="2"/>
        <v>0.31974177261416525</v>
      </c>
      <c r="P97" s="6"/>
      <c r="Q97" s="6"/>
      <c r="R97" s="6"/>
    </row>
    <row r="98" spans="1:18" x14ac:dyDescent="0.25">
      <c r="A98">
        <v>135</v>
      </c>
      <c r="B98" t="s">
        <v>41</v>
      </c>
      <c r="C98" t="s">
        <v>9</v>
      </c>
      <c r="D98">
        <v>1973</v>
      </c>
      <c r="E98" s="6">
        <v>113965.847478828</v>
      </c>
      <c r="F98" s="6">
        <v>0</v>
      </c>
      <c r="G98" s="6">
        <v>829.53338309169601</v>
      </c>
      <c r="H98" s="6">
        <v>101707.189732778</v>
      </c>
      <c r="I98" s="6">
        <v>58.986005220448099</v>
      </c>
      <c r="J98" s="6">
        <v>2.0249408973604701E-7</v>
      </c>
      <c r="K98" s="6">
        <v>0</v>
      </c>
      <c r="L98" s="6">
        <v>513.266387286797</v>
      </c>
      <c r="M98" s="6">
        <v>10676.4441893771</v>
      </c>
      <c r="N98" s="6"/>
      <c r="O98" s="8">
        <f t="shared" si="2"/>
        <v>0.74157044235496228</v>
      </c>
      <c r="P98" s="6"/>
      <c r="Q98" s="6"/>
      <c r="R98" s="6"/>
    </row>
    <row r="99" spans="1:18" x14ac:dyDescent="0.25">
      <c r="A99">
        <v>136</v>
      </c>
      <c r="B99" t="s">
        <v>41</v>
      </c>
      <c r="C99" t="s">
        <v>9</v>
      </c>
      <c r="D99">
        <v>1974</v>
      </c>
      <c r="E99" s="6">
        <v>430597.39755932399</v>
      </c>
      <c r="F99" s="6">
        <v>0</v>
      </c>
      <c r="G99" s="6">
        <v>36787.944578253198</v>
      </c>
      <c r="H99" s="6">
        <v>107254.421787998</v>
      </c>
      <c r="I99" s="6">
        <v>887.86518209608505</v>
      </c>
      <c r="J99" s="6">
        <v>0</v>
      </c>
      <c r="K99" s="6">
        <v>298.99207700385898</v>
      </c>
      <c r="L99" s="6">
        <v>278332.37557876401</v>
      </c>
      <c r="M99" s="6">
        <v>6714.5846157267597</v>
      </c>
      <c r="N99" s="6"/>
      <c r="O99" s="8">
        <f t="shared" si="2"/>
        <v>4.8620957110759226</v>
      </c>
      <c r="P99" s="6"/>
      <c r="Q99" s="6"/>
      <c r="R99" s="6"/>
    </row>
    <row r="100" spans="1:18" x14ac:dyDescent="0.25">
      <c r="A100">
        <v>137</v>
      </c>
      <c r="B100" t="s">
        <v>41</v>
      </c>
      <c r="C100" t="s">
        <v>9</v>
      </c>
      <c r="D100">
        <v>1975</v>
      </c>
      <c r="E100" s="6">
        <v>357436.71919219499</v>
      </c>
      <c r="F100" s="6">
        <v>0</v>
      </c>
      <c r="G100" s="6">
        <v>58279.222536467198</v>
      </c>
      <c r="H100" s="6">
        <v>144568.44113825401</v>
      </c>
      <c r="I100" s="6">
        <v>1386.8478488631899</v>
      </c>
      <c r="J100" s="6">
        <v>0</v>
      </c>
      <c r="K100" s="6">
        <v>0</v>
      </c>
      <c r="L100" s="6">
        <v>62987.409169174702</v>
      </c>
      <c r="M100" s="6">
        <v>88830.569250542394</v>
      </c>
      <c r="N100" s="6"/>
      <c r="O100" s="8">
        <f t="shared" si="2"/>
        <v>1.3685828379928</v>
      </c>
      <c r="P100" s="6"/>
      <c r="Q100" s="6"/>
      <c r="R100" s="6"/>
    </row>
    <row r="101" spans="1:18" x14ac:dyDescent="0.25">
      <c r="A101">
        <v>138</v>
      </c>
      <c r="B101" t="s">
        <v>41</v>
      </c>
      <c r="C101" t="s">
        <v>9</v>
      </c>
      <c r="D101">
        <v>1976</v>
      </c>
      <c r="E101" s="6">
        <v>307997.32376966102</v>
      </c>
      <c r="F101" s="6">
        <v>0</v>
      </c>
      <c r="G101" s="6">
        <v>93770.536986611405</v>
      </c>
      <c r="H101" s="6">
        <v>131521.32037843499</v>
      </c>
      <c r="I101" s="6">
        <v>8.34856092190628E-10</v>
      </c>
      <c r="J101" s="6">
        <v>0</v>
      </c>
      <c r="K101" s="6">
        <v>0</v>
      </c>
      <c r="L101" s="6">
        <v>39332.845146791697</v>
      </c>
      <c r="M101" s="6">
        <v>42459.396363027801</v>
      </c>
      <c r="N101" s="6"/>
      <c r="O101" s="8">
        <f t="shared" si="2"/>
        <v>0.81392332953617608</v>
      </c>
      <c r="P101" s="6"/>
      <c r="Q101" s="6"/>
      <c r="R101" s="6"/>
    </row>
    <row r="102" spans="1:18" x14ac:dyDescent="0.25">
      <c r="A102">
        <v>139</v>
      </c>
      <c r="B102" t="s">
        <v>41</v>
      </c>
      <c r="C102" t="s">
        <v>9</v>
      </c>
      <c r="D102">
        <v>1977</v>
      </c>
      <c r="E102" s="6">
        <v>170035.147841875</v>
      </c>
      <c r="F102" s="6">
        <v>0</v>
      </c>
      <c r="G102" s="6">
        <v>17240.561684229298</v>
      </c>
      <c r="H102" s="6">
        <v>117096.70720397899</v>
      </c>
      <c r="I102" s="6">
        <v>196.76842378487501</v>
      </c>
      <c r="J102" s="6">
        <v>0</v>
      </c>
      <c r="K102" s="6">
        <v>0</v>
      </c>
      <c r="L102" s="6">
        <v>5305.5201590056204</v>
      </c>
      <c r="M102" s="6">
        <v>28793.615351412202</v>
      </c>
      <c r="N102" s="6"/>
      <c r="O102" s="8">
        <f t="shared" si="2"/>
        <v>0.22214944863571204</v>
      </c>
      <c r="P102" s="6"/>
      <c r="Q102" s="6"/>
      <c r="R102" s="6"/>
    </row>
    <row r="103" spans="1:18" x14ac:dyDescent="0.25">
      <c r="A103">
        <v>140</v>
      </c>
      <c r="B103" t="s">
        <v>41</v>
      </c>
      <c r="C103" t="s">
        <v>9</v>
      </c>
      <c r="D103">
        <v>1978</v>
      </c>
      <c r="E103" s="6">
        <v>845205.12051774398</v>
      </c>
      <c r="F103" s="6">
        <v>7.5821132277880697E-10</v>
      </c>
      <c r="G103" s="6">
        <v>412982.63276360498</v>
      </c>
      <c r="H103" s="6">
        <v>399007.25794950302</v>
      </c>
      <c r="I103" s="6">
        <v>4097.36135736092</v>
      </c>
      <c r="J103" s="6">
        <v>0</v>
      </c>
      <c r="K103" s="6">
        <v>1369.9011822105799</v>
      </c>
      <c r="L103" s="6">
        <v>14680.6842638902</v>
      </c>
      <c r="M103" s="6">
        <v>10711.719009725901</v>
      </c>
      <c r="N103" s="6"/>
      <c r="O103" s="8">
        <f t="shared" si="2"/>
        <v>3.141714762077509</v>
      </c>
      <c r="P103" s="6"/>
      <c r="Q103" s="6"/>
      <c r="R103" s="6"/>
    </row>
    <row r="104" spans="1:18" x14ac:dyDescent="0.25">
      <c r="A104">
        <v>141</v>
      </c>
      <c r="B104" t="s">
        <v>41</v>
      </c>
      <c r="C104" t="s">
        <v>9</v>
      </c>
      <c r="D104">
        <v>1979</v>
      </c>
      <c r="E104" s="6">
        <v>1392465.72025253</v>
      </c>
      <c r="F104" s="6">
        <v>0</v>
      </c>
      <c r="G104" s="6">
        <v>543521.45772391802</v>
      </c>
      <c r="H104" s="6">
        <v>589284.88559608103</v>
      </c>
      <c r="I104" s="6">
        <v>1.7811308573934899E-9</v>
      </c>
      <c r="J104" s="6">
        <v>0</v>
      </c>
      <c r="K104" s="6">
        <v>0</v>
      </c>
      <c r="L104" s="6">
        <v>240732.70667580501</v>
      </c>
      <c r="M104" s="6">
        <v>18926.6702567137</v>
      </c>
      <c r="N104" s="6"/>
      <c r="O104" s="8">
        <f t="shared" si="2"/>
        <v>0.35550420279427908</v>
      </c>
      <c r="P104" s="6"/>
      <c r="Q104" s="6"/>
      <c r="R104" s="6"/>
    </row>
    <row r="105" spans="1:18" x14ac:dyDescent="0.25">
      <c r="A105">
        <v>142</v>
      </c>
      <c r="B105" t="s">
        <v>41</v>
      </c>
      <c r="C105" t="s">
        <v>9</v>
      </c>
      <c r="D105">
        <v>1980</v>
      </c>
      <c r="E105" s="6">
        <v>2393480.9959997102</v>
      </c>
      <c r="F105" s="6">
        <v>773.45048086625604</v>
      </c>
      <c r="G105" s="6">
        <v>412827.84096534899</v>
      </c>
      <c r="H105" s="6">
        <v>1835021.79251667</v>
      </c>
      <c r="I105" s="6">
        <v>1192.41136576914</v>
      </c>
      <c r="J105" s="6">
        <v>0</v>
      </c>
      <c r="K105" s="6">
        <v>4261.0119266887696</v>
      </c>
      <c r="L105" s="6">
        <v>119242.057999071</v>
      </c>
      <c r="M105" s="6">
        <v>20162.4307452916</v>
      </c>
      <c r="N105" s="6"/>
      <c r="O105" s="8">
        <f t="shared" si="2"/>
        <v>1.2167424500343256</v>
      </c>
      <c r="P105" s="6"/>
      <c r="Q105" s="6"/>
      <c r="R105" s="6"/>
    </row>
    <row r="106" spans="1:18" x14ac:dyDescent="0.25">
      <c r="A106">
        <v>143</v>
      </c>
      <c r="B106" t="s">
        <v>41</v>
      </c>
      <c r="C106" t="s">
        <v>9</v>
      </c>
      <c r="D106">
        <v>1981</v>
      </c>
      <c r="E106" s="6">
        <v>1338130.8047269599</v>
      </c>
      <c r="F106" s="6">
        <v>0</v>
      </c>
      <c r="G106" s="6">
        <v>174666.61115941301</v>
      </c>
      <c r="H106" s="6">
        <v>741008.26178163604</v>
      </c>
      <c r="I106" s="6">
        <v>1199.29685695643</v>
      </c>
      <c r="J106" s="6">
        <v>0</v>
      </c>
      <c r="K106" s="6">
        <v>1.20343151215038E-9</v>
      </c>
      <c r="L106" s="6">
        <v>106555.087916822</v>
      </c>
      <c r="M106" s="6">
        <v>311784.50610285299</v>
      </c>
      <c r="N106" s="6"/>
      <c r="O106" s="8">
        <f t="shared" si="2"/>
        <v>0.5849811186447148</v>
      </c>
      <c r="P106" s="6"/>
      <c r="Q106" s="6"/>
      <c r="R106" s="6"/>
    </row>
    <row r="107" spans="1:18" x14ac:dyDescent="0.25">
      <c r="A107">
        <v>144</v>
      </c>
      <c r="B107" t="s">
        <v>41</v>
      </c>
      <c r="C107" t="s">
        <v>9</v>
      </c>
      <c r="D107">
        <v>1982</v>
      </c>
      <c r="E107" s="6">
        <v>716737.27936722594</v>
      </c>
      <c r="F107" s="6">
        <v>9.4288205545500901E-10</v>
      </c>
      <c r="G107" s="6">
        <v>36010.967316940303</v>
      </c>
      <c r="H107" s="6">
        <v>585308.29028396006</v>
      </c>
      <c r="I107" s="6">
        <v>8896.9390164352208</v>
      </c>
      <c r="J107" s="6">
        <v>0</v>
      </c>
      <c r="K107" s="6">
        <v>0</v>
      </c>
      <c r="L107" s="6">
        <v>5599.9376436903303</v>
      </c>
      <c r="M107" s="6">
        <v>80921.145106193406</v>
      </c>
      <c r="N107" s="6"/>
      <c r="O107" s="8">
        <f t="shared" si="2"/>
        <v>1.2092596224955026</v>
      </c>
      <c r="P107" s="6"/>
      <c r="Q107" s="6"/>
      <c r="R107" s="6"/>
    </row>
    <row r="108" spans="1:18" x14ac:dyDescent="0.25">
      <c r="A108">
        <v>145</v>
      </c>
      <c r="B108" t="s">
        <v>41</v>
      </c>
      <c r="C108" t="s">
        <v>9</v>
      </c>
      <c r="D108">
        <v>1983</v>
      </c>
      <c r="E108" s="6">
        <v>1187356.7878020999</v>
      </c>
      <c r="F108" s="6">
        <v>0</v>
      </c>
      <c r="G108" s="6">
        <v>611311.97264879697</v>
      </c>
      <c r="H108" s="6">
        <v>368460.01524434402</v>
      </c>
      <c r="I108" s="6">
        <v>46620.896721630903</v>
      </c>
      <c r="J108" s="6">
        <v>0</v>
      </c>
      <c r="K108" s="6">
        <v>0</v>
      </c>
      <c r="L108" s="6">
        <v>146031.24100102199</v>
      </c>
      <c r="M108" s="6">
        <v>14539.930594274399</v>
      </c>
      <c r="N108" s="6"/>
      <c r="O108" s="8">
        <f t="shared" si="2"/>
        <v>2.3255086591892828</v>
      </c>
      <c r="P108" s="6"/>
      <c r="Q108" s="6"/>
      <c r="R108" s="6"/>
    </row>
    <row r="109" spans="1:18" x14ac:dyDescent="0.25">
      <c r="A109">
        <v>146</v>
      </c>
      <c r="B109" t="s">
        <v>41</v>
      </c>
      <c r="C109" t="s">
        <v>9</v>
      </c>
      <c r="D109">
        <v>1984</v>
      </c>
      <c r="E109" s="6">
        <v>299792.021404745</v>
      </c>
      <c r="F109" s="6">
        <v>0</v>
      </c>
      <c r="G109" s="6">
        <v>14270.1654453668</v>
      </c>
      <c r="H109" s="6">
        <v>263564.84942198801</v>
      </c>
      <c r="I109" s="6">
        <v>72.935043423714305</v>
      </c>
      <c r="J109" s="6">
        <v>0</v>
      </c>
      <c r="K109" s="6">
        <v>0</v>
      </c>
      <c r="L109" s="6">
        <v>10184.308465902001</v>
      </c>
      <c r="M109" s="6">
        <v>11699.763028059901</v>
      </c>
      <c r="N109" s="6"/>
      <c r="O109" s="8">
        <f t="shared" si="2"/>
        <v>-0.84130797683111425</v>
      </c>
      <c r="P109" s="6"/>
      <c r="Q109" s="6"/>
      <c r="R109" s="6"/>
    </row>
    <row r="110" spans="1:18" x14ac:dyDescent="0.25">
      <c r="A110">
        <v>147</v>
      </c>
      <c r="B110" t="s">
        <v>41</v>
      </c>
      <c r="C110" t="s">
        <v>9</v>
      </c>
      <c r="D110">
        <v>1985</v>
      </c>
      <c r="E110" s="6">
        <v>643146.42663446197</v>
      </c>
      <c r="F110" s="6">
        <v>0</v>
      </c>
      <c r="G110" s="6">
        <v>243467.37544303699</v>
      </c>
      <c r="H110" s="6">
        <v>353924.09056475898</v>
      </c>
      <c r="I110" s="6">
        <v>1.34971261714412E-9</v>
      </c>
      <c r="J110" s="6">
        <v>0</v>
      </c>
      <c r="K110" s="6">
        <v>0</v>
      </c>
      <c r="L110" s="6">
        <v>34536.661336839301</v>
      </c>
      <c r="M110" s="6">
        <v>11078.4693004255</v>
      </c>
      <c r="N110" s="6"/>
      <c r="O110" s="8">
        <f t="shared" si="2"/>
        <v>3.2109114313562208</v>
      </c>
      <c r="P110" s="6"/>
      <c r="Q110" s="6"/>
      <c r="R110" s="6"/>
    </row>
    <row r="111" spans="1:18" x14ac:dyDescent="0.25">
      <c r="A111">
        <v>148</v>
      </c>
      <c r="B111" t="s">
        <v>41</v>
      </c>
      <c r="C111" t="s">
        <v>9</v>
      </c>
      <c r="D111">
        <v>1986</v>
      </c>
      <c r="E111" s="6">
        <v>609140.88772109698</v>
      </c>
      <c r="F111" s="6">
        <v>0</v>
      </c>
      <c r="G111" s="6">
        <v>50848.099258086098</v>
      </c>
      <c r="H111" s="6">
        <v>502783.45522623003</v>
      </c>
      <c r="I111" s="6">
        <v>1.3602108876649401E-9</v>
      </c>
      <c r="J111" s="6">
        <v>0</v>
      </c>
      <c r="K111" s="6">
        <v>0</v>
      </c>
      <c r="L111" s="6">
        <v>6742.4278041348898</v>
      </c>
      <c r="M111" s="6">
        <v>41072.2493567692</v>
      </c>
      <c r="N111" s="6"/>
      <c r="O111" s="8">
        <f t="shared" si="2"/>
        <v>0.72517661910387243</v>
      </c>
      <c r="P111" s="6"/>
      <c r="Q111" s="6"/>
      <c r="R111" s="6"/>
    </row>
    <row r="112" spans="1:18" x14ac:dyDescent="0.25">
      <c r="A112">
        <v>149</v>
      </c>
      <c r="B112" t="s">
        <v>41</v>
      </c>
      <c r="C112" t="s">
        <v>9</v>
      </c>
      <c r="D112">
        <v>1987</v>
      </c>
      <c r="E112" s="6">
        <v>471444.664514473</v>
      </c>
      <c r="F112" s="6">
        <v>0</v>
      </c>
      <c r="G112" s="6">
        <v>105984.417151556</v>
      </c>
      <c r="H112" s="6">
        <v>272741.45766926301</v>
      </c>
      <c r="I112" s="6">
        <v>51416.188676923601</v>
      </c>
      <c r="J112" s="6">
        <v>0</v>
      </c>
      <c r="K112" s="6">
        <v>0</v>
      </c>
      <c r="L112" s="6">
        <v>7066.8025825546301</v>
      </c>
      <c r="M112" s="6">
        <v>34235.7984340408</v>
      </c>
      <c r="N112" s="6"/>
      <c r="O112" s="8">
        <f t="shared" si="2"/>
        <v>1.6796815625460202</v>
      </c>
      <c r="P112" s="6"/>
      <c r="Q112" s="6"/>
      <c r="R112" s="6"/>
    </row>
    <row r="113" spans="1:18" x14ac:dyDescent="0.25">
      <c r="A113">
        <v>150</v>
      </c>
      <c r="B113" t="s">
        <v>41</v>
      </c>
      <c r="C113" t="s">
        <v>9</v>
      </c>
      <c r="D113">
        <v>1988</v>
      </c>
      <c r="E113" s="6">
        <v>293251.48618322599</v>
      </c>
      <c r="F113" s="6">
        <v>0</v>
      </c>
      <c r="G113" s="6">
        <v>30298.419422975199</v>
      </c>
      <c r="H113" s="6">
        <v>247075.19937352199</v>
      </c>
      <c r="I113" s="6">
        <v>1044.65956760018</v>
      </c>
      <c r="J113" s="6">
        <v>0</v>
      </c>
      <c r="K113" s="6">
        <v>0</v>
      </c>
      <c r="L113" s="6">
        <v>6210.5613509350997</v>
      </c>
      <c r="M113" s="6">
        <v>8363.4083378756295</v>
      </c>
      <c r="N113" s="6"/>
      <c r="O113" s="8">
        <f t="shared" si="2"/>
        <v>0.84640066589600937</v>
      </c>
      <c r="P113" s="6"/>
      <c r="Q113" s="6"/>
      <c r="R113" s="6"/>
    </row>
    <row r="114" spans="1:18" x14ac:dyDescent="0.25">
      <c r="A114">
        <v>151</v>
      </c>
      <c r="B114" t="s">
        <v>41</v>
      </c>
      <c r="C114" t="s">
        <v>9</v>
      </c>
      <c r="D114">
        <v>1989</v>
      </c>
      <c r="E114" s="6">
        <v>906594.83333645703</v>
      </c>
      <c r="F114" s="6">
        <v>0</v>
      </c>
      <c r="G114" s="6">
        <v>395497.52386039501</v>
      </c>
      <c r="H114" s="6">
        <v>419160.86603014101</v>
      </c>
      <c r="I114" s="6">
        <v>1685.2292243423699</v>
      </c>
      <c r="J114" s="6">
        <v>0</v>
      </c>
      <c r="K114" s="6">
        <v>0</v>
      </c>
      <c r="L114" s="6">
        <v>52282.107114644103</v>
      </c>
      <c r="M114" s="6">
        <v>28970.9463532685</v>
      </c>
      <c r="N114" s="6"/>
      <c r="O114" s="8">
        <f t="shared" si="2"/>
        <v>2.6271592278168732</v>
      </c>
      <c r="P114" s="6"/>
      <c r="Q114" s="6"/>
      <c r="R114" s="6"/>
    </row>
    <row r="115" spans="1:18" x14ac:dyDescent="0.25">
      <c r="A115">
        <v>152</v>
      </c>
      <c r="B115" t="s">
        <v>41</v>
      </c>
      <c r="C115" t="s">
        <v>9</v>
      </c>
      <c r="D115">
        <v>1990</v>
      </c>
      <c r="E115" s="6">
        <v>876172.31409093703</v>
      </c>
      <c r="F115" s="6">
        <v>0</v>
      </c>
      <c r="G115" s="6">
        <v>157348.04496443499</v>
      </c>
      <c r="H115" s="6">
        <v>639187.66784365196</v>
      </c>
      <c r="I115" s="6">
        <v>3266.7360675354598</v>
      </c>
      <c r="J115" s="6">
        <v>0</v>
      </c>
      <c r="K115" s="6">
        <v>0</v>
      </c>
      <c r="L115" s="6">
        <v>50115.516454388002</v>
      </c>
      <c r="M115" s="6">
        <v>16033.0906515222</v>
      </c>
      <c r="N115" s="6"/>
      <c r="O115" s="8">
        <f t="shared" si="2"/>
        <v>0.48005357474997773</v>
      </c>
      <c r="P115" s="6"/>
      <c r="Q115" s="6"/>
      <c r="R115" s="6"/>
    </row>
    <row r="116" spans="1:18" x14ac:dyDescent="0.25">
      <c r="A116">
        <v>153</v>
      </c>
      <c r="B116" t="s">
        <v>41</v>
      </c>
      <c r="C116" t="s">
        <v>9</v>
      </c>
      <c r="D116">
        <v>1991</v>
      </c>
      <c r="E116" s="6">
        <v>1645838.46758343</v>
      </c>
      <c r="F116" s="6">
        <v>0</v>
      </c>
      <c r="G116" s="6">
        <v>75587.846758178901</v>
      </c>
      <c r="H116" s="6">
        <v>1497275.2420015901</v>
      </c>
      <c r="I116" s="6">
        <v>5888.64259399204</v>
      </c>
      <c r="J116" s="6">
        <v>0</v>
      </c>
      <c r="K116" s="6">
        <v>0</v>
      </c>
      <c r="L116" s="6">
        <v>9445.2779161085291</v>
      </c>
      <c r="M116" s="6">
        <v>41159.681480723899</v>
      </c>
      <c r="N116" s="6"/>
      <c r="O116" s="8">
        <f t="shared" si="2"/>
        <v>2.2529420312356185</v>
      </c>
      <c r="P116" s="6"/>
      <c r="Q116" s="6"/>
      <c r="R116" s="6"/>
    </row>
    <row r="117" spans="1:18" x14ac:dyDescent="0.25">
      <c r="A117">
        <v>154</v>
      </c>
      <c r="B117" t="s">
        <v>41</v>
      </c>
      <c r="C117" t="s">
        <v>9</v>
      </c>
      <c r="D117">
        <v>1992</v>
      </c>
      <c r="E117" s="6">
        <v>470347.57955026801</v>
      </c>
      <c r="F117" s="6">
        <v>0</v>
      </c>
      <c r="G117" s="6">
        <v>105973.281997585</v>
      </c>
      <c r="H117" s="6">
        <v>338280.67311826098</v>
      </c>
      <c r="I117" s="6">
        <v>7474.8847431719896</v>
      </c>
      <c r="J117" s="6">
        <v>0</v>
      </c>
      <c r="K117" s="6">
        <v>0</v>
      </c>
      <c r="L117" s="6">
        <v>2144.56089346305</v>
      </c>
      <c r="M117" s="6">
        <v>15520.4950934021</v>
      </c>
      <c r="N117" s="6"/>
      <c r="O117" s="8">
        <f t="shared" si="2"/>
        <v>1.498580431642087</v>
      </c>
      <c r="P117" s="6"/>
      <c r="Q117" s="6"/>
      <c r="R117" s="6"/>
    </row>
    <row r="118" spans="1:18" x14ac:dyDescent="0.25">
      <c r="A118">
        <v>155</v>
      </c>
      <c r="B118" t="s">
        <v>41</v>
      </c>
      <c r="C118" t="s">
        <v>9</v>
      </c>
      <c r="D118">
        <v>1993</v>
      </c>
      <c r="E118" s="6">
        <v>717075.48643064802</v>
      </c>
      <c r="F118" s="6">
        <v>165.67065149191799</v>
      </c>
      <c r="G118" s="6">
        <v>213200.35415143199</v>
      </c>
      <c r="H118" s="6">
        <v>479542.117997172</v>
      </c>
      <c r="I118" s="6">
        <v>5679.3533697270605</v>
      </c>
      <c r="J118" s="6">
        <v>0</v>
      </c>
      <c r="K118" s="6">
        <v>0</v>
      </c>
      <c r="L118" s="6">
        <v>5733.9405984630002</v>
      </c>
      <c r="M118" s="6">
        <v>9626.4978814391707</v>
      </c>
      <c r="N118" s="6"/>
      <c r="O118" s="8">
        <f t="shared" si="2"/>
        <v>1.5096447220767757</v>
      </c>
      <c r="P118" s="6"/>
      <c r="Q118" s="6"/>
      <c r="R118" s="6"/>
    </row>
    <row r="119" spans="1:18" x14ac:dyDescent="0.25">
      <c r="A119">
        <v>156</v>
      </c>
      <c r="B119" t="s">
        <v>41</v>
      </c>
      <c r="C119" t="s">
        <v>9</v>
      </c>
      <c r="D119">
        <v>1994</v>
      </c>
      <c r="E119" s="6">
        <v>906828.27085871203</v>
      </c>
      <c r="F119" s="6">
        <v>0</v>
      </c>
      <c r="G119" s="6">
        <v>138197.883361157</v>
      </c>
      <c r="H119" s="6">
        <v>693503.07295369799</v>
      </c>
      <c r="I119" s="6">
        <v>1658.9487691054701</v>
      </c>
      <c r="J119" s="6">
        <v>0</v>
      </c>
      <c r="K119" s="6">
        <v>0</v>
      </c>
      <c r="L119" s="6">
        <v>48454.040457218602</v>
      </c>
      <c r="M119" s="6">
        <v>21898.167473148202</v>
      </c>
      <c r="N119" s="6"/>
      <c r="O119" s="8">
        <f t="shared" si="2"/>
        <v>1.1795233174113133</v>
      </c>
      <c r="P119" s="6"/>
      <c r="Q119" s="6"/>
      <c r="R119" s="6"/>
    </row>
    <row r="120" spans="1:18" x14ac:dyDescent="0.25">
      <c r="A120">
        <v>157</v>
      </c>
      <c r="B120" t="s">
        <v>41</v>
      </c>
      <c r="C120" t="s">
        <v>9</v>
      </c>
      <c r="D120">
        <v>1995</v>
      </c>
      <c r="E120" s="6">
        <v>1184424.8037883099</v>
      </c>
      <c r="F120" s="6">
        <v>0</v>
      </c>
      <c r="G120" s="6">
        <v>170952.82365719401</v>
      </c>
      <c r="H120" s="6">
        <v>883940.86687379505</v>
      </c>
      <c r="I120" s="6">
        <v>5197.7181607995699</v>
      </c>
      <c r="J120" s="6">
        <v>0</v>
      </c>
      <c r="K120" s="6">
        <v>0</v>
      </c>
      <c r="L120" s="6">
        <v>95134.784183607102</v>
      </c>
      <c r="M120" s="6">
        <v>28293.1452415438</v>
      </c>
      <c r="N120" s="6"/>
      <c r="O120" s="8">
        <f t="shared" si="2"/>
        <v>1.8557035722731126</v>
      </c>
      <c r="P120" s="6"/>
      <c r="Q120" s="6"/>
      <c r="R120" s="6"/>
    </row>
    <row r="121" spans="1:18" x14ac:dyDescent="0.25">
      <c r="A121">
        <v>158</v>
      </c>
      <c r="B121" t="s">
        <v>41</v>
      </c>
      <c r="C121" t="s">
        <v>9</v>
      </c>
      <c r="D121">
        <v>1996</v>
      </c>
      <c r="E121" s="6">
        <v>942695.89980842301</v>
      </c>
      <c r="F121" s="6">
        <v>0</v>
      </c>
      <c r="G121" s="6">
        <v>30018.2271236571</v>
      </c>
      <c r="H121" s="6">
        <v>798731.02534040203</v>
      </c>
      <c r="I121" s="6">
        <v>2186.4981456331302</v>
      </c>
      <c r="J121" s="6">
        <v>0</v>
      </c>
      <c r="K121" s="6">
        <v>0</v>
      </c>
      <c r="L121" s="6">
        <v>2065.1176555971601</v>
      </c>
      <c r="M121" s="6">
        <v>106710.011329751</v>
      </c>
      <c r="N121" s="6"/>
      <c r="O121" s="8">
        <f t="shared" si="2"/>
        <v>1.5416366165734727</v>
      </c>
      <c r="P121" s="6"/>
      <c r="Q121" s="6"/>
      <c r="R121" s="6"/>
    </row>
    <row r="122" spans="1:18" x14ac:dyDescent="0.25">
      <c r="A122">
        <v>159</v>
      </c>
      <c r="B122" t="s">
        <v>41</v>
      </c>
      <c r="C122" t="s">
        <v>9</v>
      </c>
      <c r="D122">
        <v>1997</v>
      </c>
      <c r="E122" s="6">
        <v>208758.54528087101</v>
      </c>
      <c r="F122" s="6">
        <v>0</v>
      </c>
      <c r="G122" s="6">
        <v>100425.513591718</v>
      </c>
      <c r="H122" s="6">
        <v>91713.759986167701</v>
      </c>
      <c r="I122" s="6">
        <v>2463.8326236098401</v>
      </c>
      <c r="J122" s="6">
        <v>6.7434903651930594E-8</v>
      </c>
      <c r="K122" s="6">
        <v>0</v>
      </c>
      <c r="L122" s="6">
        <v>5334.9114125078604</v>
      </c>
      <c r="M122" s="6">
        <v>8820.5276667983399</v>
      </c>
      <c r="N122" s="6"/>
      <c r="O122" s="8">
        <f t="shared" si="2"/>
        <v>1.1168676544258518</v>
      </c>
      <c r="P122" s="6"/>
      <c r="Q122" s="6"/>
      <c r="R122" s="6"/>
    </row>
    <row r="123" spans="1:18" x14ac:dyDescent="0.25">
      <c r="A123">
        <v>160</v>
      </c>
      <c r="B123" t="s">
        <v>41</v>
      </c>
      <c r="C123" t="s">
        <v>9</v>
      </c>
      <c r="D123">
        <v>1998</v>
      </c>
      <c r="E123" s="6">
        <v>426033.70753343299</v>
      </c>
      <c r="F123" s="6">
        <v>6.0376916203581996E-10</v>
      </c>
      <c r="G123" s="6">
        <v>163636.987936597</v>
      </c>
      <c r="H123" s="6">
        <v>239150.727432154</v>
      </c>
      <c r="I123" s="6">
        <v>322.66081587638502</v>
      </c>
      <c r="J123" s="6">
        <v>0</v>
      </c>
      <c r="K123" s="6">
        <v>6.0376916203581996E-10</v>
      </c>
      <c r="L123" s="6">
        <v>13736.672207645101</v>
      </c>
      <c r="M123" s="6">
        <v>9186.6591411565296</v>
      </c>
      <c r="N123" s="6"/>
      <c r="O123" s="8">
        <f t="shared" si="2"/>
        <v>0.86767771744764244</v>
      </c>
      <c r="P123" s="6"/>
      <c r="Q123" s="6"/>
      <c r="R123" s="6"/>
    </row>
    <row r="124" spans="1:18" x14ac:dyDescent="0.25">
      <c r="A124">
        <v>161</v>
      </c>
      <c r="B124" t="s">
        <v>41</v>
      </c>
      <c r="C124" t="s">
        <v>9</v>
      </c>
      <c r="D124">
        <v>1999</v>
      </c>
      <c r="E124" s="6">
        <v>859317.74534080003</v>
      </c>
      <c r="F124" s="6">
        <v>0</v>
      </c>
      <c r="G124" s="6">
        <v>376061.83222164703</v>
      </c>
      <c r="H124" s="6">
        <v>435418.54579152202</v>
      </c>
      <c r="I124" s="6">
        <v>1.0757112752089301E-9</v>
      </c>
      <c r="J124" s="6">
        <v>0</v>
      </c>
      <c r="K124" s="6">
        <v>0</v>
      </c>
      <c r="L124" s="6">
        <v>42975.861743723501</v>
      </c>
      <c r="M124" s="6">
        <v>4861.5055839044098</v>
      </c>
      <c r="N124" s="6"/>
      <c r="O124" s="8">
        <f t="shared" si="2"/>
        <v>0.97865725648244606</v>
      </c>
      <c r="P124" s="6"/>
      <c r="Q124" s="6"/>
      <c r="R124" s="6"/>
    </row>
    <row r="125" spans="1:18" x14ac:dyDescent="0.25">
      <c r="A125">
        <v>162</v>
      </c>
      <c r="B125" t="s">
        <v>41</v>
      </c>
      <c r="C125" t="s">
        <v>9</v>
      </c>
      <c r="D125">
        <v>2000</v>
      </c>
      <c r="E125" s="6">
        <v>982740.22802559903</v>
      </c>
      <c r="F125" s="6">
        <v>0</v>
      </c>
      <c r="G125" s="6">
        <v>77031.8964232781</v>
      </c>
      <c r="H125" s="6">
        <v>881255.91411635897</v>
      </c>
      <c r="I125" s="6">
        <v>1000.86348956776</v>
      </c>
      <c r="J125" s="6">
        <v>0</v>
      </c>
      <c r="K125" s="6">
        <v>0</v>
      </c>
      <c r="L125" s="6">
        <v>6531.07891277216</v>
      </c>
      <c r="M125" s="6">
        <v>16920.475083621601</v>
      </c>
      <c r="N125" s="6"/>
      <c r="O125" s="8">
        <f t="shared" si="2"/>
        <v>0.85159448789008296</v>
      </c>
      <c r="P125" s="6"/>
      <c r="Q125" s="6"/>
      <c r="R125" s="6"/>
    </row>
    <row r="126" spans="1:18" x14ac:dyDescent="0.25">
      <c r="A126">
        <v>163</v>
      </c>
      <c r="B126" t="s">
        <v>41</v>
      </c>
      <c r="C126" t="s">
        <v>9</v>
      </c>
      <c r="D126">
        <v>2001</v>
      </c>
      <c r="E126" s="6">
        <v>818733.372017471</v>
      </c>
      <c r="F126" s="6">
        <v>1.22305197534631E-9</v>
      </c>
      <c r="G126" s="6">
        <v>1926.56180904292</v>
      </c>
      <c r="H126" s="6">
        <v>800392.98863216105</v>
      </c>
      <c r="I126" s="6">
        <v>5961.0301602224799</v>
      </c>
      <c r="J126" s="6">
        <v>0</v>
      </c>
      <c r="K126" s="6">
        <v>0</v>
      </c>
      <c r="L126" s="6">
        <v>807.34114715333703</v>
      </c>
      <c r="M126" s="6">
        <v>8446.2984434938298</v>
      </c>
      <c r="N126" s="6"/>
      <c r="O126" s="8">
        <f t="shared" si="2"/>
        <v>2.3408832674976887</v>
      </c>
      <c r="P126" s="6"/>
      <c r="Q126" s="6"/>
      <c r="R126" s="6"/>
    </row>
    <row r="127" spans="1:18" x14ac:dyDescent="0.25">
      <c r="A127">
        <v>164</v>
      </c>
      <c r="B127" t="s">
        <v>41</v>
      </c>
      <c r="C127" t="s">
        <v>9</v>
      </c>
      <c r="D127">
        <v>2002</v>
      </c>
      <c r="E127" s="6">
        <v>199683.679011514</v>
      </c>
      <c r="F127" s="6">
        <v>0</v>
      </c>
      <c r="G127" s="6">
        <v>130362.45726089099</v>
      </c>
      <c r="H127" s="6">
        <v>51668.329870169902</v>
      </c>
      <c r="I127" s="6">
        <v>2786.90965686564</v>
      </c>
      <c r="J127" s="6">
        <v>0</v>
      </c>
      <c r="K127" s="6">
        <v>4.6097948996003203E-10</v>
      </c>
      <c r="L127" s="6">
        <v>9522.0118785234208</v>
      </c>
      <c r="M127" s="6">
        <v>5343.9703450638999</v>
      </c>
      <c r="N127" s="6"/>
      <c r="O127" s="8">
        <f t="shared" si="2"/>
        <v>3.2891080506056336</v>
      </c>
      <c r="P127" s="6"/>
      <c r="Q127" s="6"/>
      <c r="R127" s="6"/>
    </row>
    <row r="128" spans="1:18" x14ac:dyDescent="0.25">
      <c r="A128">
        <v>165</v>
      </c>
      <c r="B128" t="s">
        <v>41</v>
      </c>
      <c r="C128" t="s">
        <v>9</v>
      </c>
      <c r="D128">
        <v>2003</v>
      </c>
      <c r="E128" s="6">
        <v>492184.32800190197</v>
      </c>
      <c r="F128" s="6">
        <v>9.9439067514751807E-10</v>
      </c>
      <c r="G128" s="6">
        <v>60852.4275762939</v>
      </c>
      <c r="H128" s="6">
        <v>393266.121615957</v>
      </c>
      <c r="I128" s="6">
        <v>1857.4052581144899</v>
      </c>
      <c r="J128" s="6">
        <v>0</v>
      </c>
      <c r="K128" s="6">
        <v>66.969735363568802</v>
      </c>
      <c r="L128" s="6">
        <v>2906.7897645037801</v>
      </c>
      <c r="M128" s="6">
        <v>33171.483441447803</v>
      </c>
      <c r="N128" s="6"/>
      <c r="O128" s="8">
        <f t="shared" si="2"/>
        <v>1.104167833343761</v>
      </c>
      <c r="P128" s="6"/>
      <c r="Q128" s="6"/>
      <c r="R128" s="6"/>
    </row>
    <row r="129" spans="1:18" x14ac:dyDescent="0.25">
      <c r="A129">
        <v>166</v>
      </c>
      <c r="B129" t="s">
        <v>41</v>
      </c>
      <c r="C129" t="s">
        <v>9</v>
      </c>
      <c r="D129">
        <v>2004</v>
      </c>
      <c r="E129" s="6">
        <v>268355.56074726197</v>
      </c>
      <c r="F129" s="6">
        <v>0</v>
      </c>
      <c r="G129" s="6">
        <v>53303.013631896203</v>
      </c>
      <c r="H129" s="6">
        <v>146840.91924530899</v>
      </c>
      <c r="I129" s="6">
        <v>2298.2242143241701</v>
      </c>
      <c r="J129" s="6">
        <v>9.5540665578738206E-10</v>
      </c>
      <c r="K129" s="6">
        <v>0</v>
      </c>
      <c r="L129" s="6">
        <v>58392.842060118099</v>
      </c>
      <c r="M129" s="6">
        <v>7520.5615956116399</v>
      </c>
      <c r="N129" s="6"/>
      <c r="O129" s="8">
        <f t="shared" si="2"/>
        <v>0.88089810572076455</v>
      </c>
      <c r="P129" s="6"/>
      <c r="Q129" s="6"/>
      <c r="R129" s="6"/>
    </row>
    <row r="130" spans="1:18" x14ac:dyDescent="0.25">
      <c r="A130">
        <v>167</v>
      </c>
      <c r="B130" t="s">
        <v>41</v>
      </c>
      <c r="C130" t="s">
        <v>9</v>
      </c>
      <c r="D130">
        <v>2005</v>
      </c>
      <c r="E130" s="6">
        <v>801087.32919925102</v>
      </c>
      <c r="F130" s="6">
        <v>1.1284739664543999E-9</v>
      </c>
      <c r="G130" s="6">
        <v>31827.318254720001</v>
      </c>
      <c r="H130" s="6">
        <v>660546.34147636394</v>
      </c>
      <c r="I130" s="6">
        <v>1.1286724787681501E-9</v>
      </c>
      <c r="J130" s="6">
        <v>0</v>
      </c>
      <c r="K130" s="6">
        <v>0</v>
      </c>
      <c r="L130" s="6">
        <v>12377.290428821399</v>
      </c>
      <c r="M130" s="6">
        <v>96336.379039342093</v>
      </c>
      <c r="N130" s="6"/>
      <c r="O130" s="8">
        <f t="shared" si="2"/>
        <v>2.5170744121973372</v>
      </c>
      <c r="P130" s="6"/>
      <c r="Q130" s="6"/>
      <c r="R130" s="6"/>
    </row>
    <row r="131" spans="1:18" x14ac:dyDescent="0.25">
      <c r="A131">
        <v>168</v>
      </c>
      <c r="B131" t="s">
        <v>41</v>
      </c>
      <c r="C131" t="s">
        <v>9</v>
      </c>
      <c r="D131">
        <v>2006</v>
      </c>
      <c r="E131" s="6">
        <v>727744.17240243498</v>
      </c>
      <c r="F131" s="6">
        <v>1.75764811589342E-9</v>
      </c>
      <c r="G131" s="6">
        <v>235172.32722564999</v>
      </c>
      <c r="H131" s="6">
        <v>442819.63447487302</v>
      </c>
      <c r="I131" s="6">
        <v>3390.7399737794699</v>
      </c>
      <c r="J131" s="6">
        <v>0</v>
      </c>
      <c r="K131" s="6">
        <v>0</v>
      </c>
      <c r="L131" s="6">
        <v>7801.6181037199503</v>
      </c>
      <c r="M131" s="6">
        <v>38168.156025753196</v>
      </c>
      <c r="N131" s="6"/>
      <c r="O131" s="8">
        <f t="shared" si="2"/>
        <v>2.6328375558687713</v>
      </c>
      <c r="P131" s="6"/>
      <c r="Q131" s="6"/>
      <c r="R131" s="6"/>
    </row>
    <row r="132" spans="1:18" x14ac:dyDescent="0.25">
      <c r="A132">
        <v>169</v>
      </c>
      <c r="B132" t="s">
        <v>41</v>
      </c>
      <c r="C132" t="s">
        <v>9</v>
      </c>
      <c r="D132">
        <v>2007</v>
      </c>
      <c r="E132" s="6">
        <v>1022674.96220155</v>
      </c>
      <c r="F132" s="6">
        <v>1.2148017328529801E-9</v>
      </c>
      <c r="G132" s="6">
        <v>772529.87511468504</v>
      </c>
      <c r="H132" s="6">
        <v>202313.46825446599</v>
      </c>
      <c r="I132" s="6">
        <v>2902.6971840651299</v>
      </c>
      <c r="J132" s="6">
        <v>2.8973058081211298E-7</v>
      </c>
      <c r="K132" s="6">
        <v>0</v>
      </c>
      <c r="L132" s="6">
        <v>40568.435526666901</v>
      </c>
      <c r="M132" s="6">
        <v>4360.4861213702097</v>
      </c>
      <c r="N132" s="6"/>
      <c r="O132" s="8">
        <f t="shared" si="2"/>
        <v>-0.15050023513892358</v>
      </c>
      <c r="P132" s="6"/>
      <c r="Q132" s="6"/>
      <c r="R132" s="6"/>
    </row>
    <row r="133" spans="1:18" x14ac:dyDescent="0.25">
      <c r="A133">
        <v>170</v>
      </c>
      <c r="B133" t="s">
        <v>41</v>
      </c>
      <c r="C133" t="s">
        <v>9</v>
      </c>
      <c r="D133">
        <v>2008</v>
      </c>
      <c r="E133" s="6">
        <v>1889371.76755295</v>
      </c>
      <c r="F133" s="6">
        <v>1.69679526550604E-9</v>
      </c>
      <c r="G133" s="6">
        <v>596355.80592048704</v>
      </c>
      <c r="H133" s="6">
        <v>1273848.23723212</v>
      </c>
      <c r="I133" s="6">
        <v>5339.89007832264</v>
      </c>
      <c r="J133" s="6">
        <v>0</v>
      </c>
      <c r="K133" s="6">
        <v>0</v>
      </c>
      <c r="L133" s="6">
        <v>2016.9471417929699</v>
      </c>
      <c r="M133" s="6">
        <v>11810.887180224599</v>
      </c>
      <c r="N133" s="6"/>
      <c r="O133" s="8">
        <f t="shared" si="2"/>
        <v>0.50012702467295689</v>
      </c>
      <c r="P133" s="6"/>
      <c r="Q133" s="6"/>
      <c r="R133" s="6"/>
    </row>
    <row r="134" spans="1:18" x14ac:dyDescent="0.25">
      <c r="A134">
        <v>171</v>
      </c>
      <c r="B134" t="s">
        <v>41</v>
      </c>
      <c r="C134" t="s">
        <v>9</v>
      </c>
      <c r="D134">
        <v>2009</v>
      </c>
      <c r="E134" s="6">
        <v>1585347.9934336999</v>
      </c>
      <c r="F134" s="6">
        <v>1.10618233898646E-9</v>
      </c>
      <c r="G134" s="6">
        <v>326356.12800936698</v>
      </c>
      <c r="H134" s="6">
        <v>1202309.4157886901</v>
      </c>
      <c r="I134" s="6">
        <v>755.91906013502705</v>
      </c>
      <c r="J134" s="6">
        <v>0</v>
      </c>
      <c r="K134" s="6">
        <v>0</v>
      </c>
      <c r="L134" s="6">
        <v>16999.244441108101</v>
      </c>
      <c r="M134" s="6">
        <v>38927.286134399998</v>
      </c>
      <c r="N134" s="6"/>
      <c r="O134" s="8">
        <f t="shared" si="2"/>
        <v>0.70116202069313127</v>
      </c>
      <c r="P134" s="6"/>
      <c r="Q134" s="6"/>
      <c r="R134" s="6"/>
    </row>
    <row r="135" spans="1:18" x14ac:dyDescent="0.25">
      <c r="A135">
        <v>172</v>
      </c>
      <c r="B135" t="s">
        <v>41</v>
      </c>
      <c r="C135" t="s">
        <v>9</v>
      </c>
      <c r="D135">
        <v>2010</v>
      </c>
      <c r="E135" s="6">
        <v>1407871.0900071899</v>
      </c>
      <c r="F135" s="6">
        <v>0</v>
      </c>
      <c r="G135" s="6">
        <v>187979.07779181399</v>
      </c>
      <c r="H135" s="6">
        <v>1169822.40676128</v>
      </c>
      <c r="I135" s="6">
        <v>1105.8794948386001</v>
      </c>
      <c r="J135" s="6">
        <v>0</v>
      </c>
      <c r="K135" s="6">
        <v>0</v>
      </c>
      <c r="L135" s="6">
        <v>28673.866372149001</v>
      </c>
      <c r="M135" s="6">
        <v>18650.016305910402</v>
      </c>
      <c r="N135" s="6"/>
      <c r="O135" s="8">
        <f t="shared" si="2"/>
        <v>1.2766180248578716</v>
      </c>
      <c r="P135" s="6"/>
      <c r="Q135" s="6"/>
      <c r="R135" s="6"/>
    </row>
    <row r="136" spans="1:18" x14ac:dyDescent="0.25">
      <c r="A136">
        <v>173</v>
      </c>
      <c r="B136" t="s">
        <v>41</v>
      </c>
      <c r="C136" t="s">
        <v>9</v>
      </c>
      <c r="D136">
        <v>2011</v>
      </c>
      <c r="E136" s="6">
        <v>1015858.07373291</v>
      </c>
      <c r="F136" s="6">
        <v>1.15979149481922E-7</v>
      </c>
      <c r="G136" s="6">
        <v>160642.145531697</v>
      </c>
      <c r="H136" s="6">
        <v>782302.54939995299</v>
      </c>
      <c r="I136" s="6">
        <v>2298.4286782612799</v>
      </c>
      <c r="J136" s="6">
        <v>0</v>
      </c>
      <c r="K136" s="6">
        <v>0</v>
      </c>
      <c r="L136" s="6">
        <v>18501.216883356999</v>
      </c>
      <c r="M136" s="6">
        <v>51682.826731065099</v>
      </c>
      <c r="N136" s="6"/>
      <c r="O136" s="8">
        <f t="shared" si="2"/>
        <v>1.4259108892422403</v>
      </c>
      <c r="P136" s="6"/>
      <c r="Q136" s="6"/>
      <c r="R136" s="6"/>
    </row>
    <row r="137" spans="1:18" x14ac:dyDescent="0.25">
      <c r="A137">
        <v>174</v>
      </c>
      <c r="B137" t="s">
        <v>41</v>
      </c>
      <c r="C137" t="s">
        <v>9</v>
      </c>
      <c r="D137">
        <v>2012</v>
      </c>
      <c r="E137" s="6">
        <v>507189.86817208398</v>
      </c>
      <c r="F137" s="6">
        <v>0</v>
      </c>
      <c r="G137" s="6">
        <v>52686.860932136697</v>
      </c>
      <c r="H137" s="6">
        <v>422953.075313434</v>
      </c>
      <c r="I137" s="6">
        <v>2195.83484509148</v>
      </c>
      <c r="J137" s="6">
        <v>0</v>
      </c>
      <c r="K137" s="6">
        <v>0</v>
      </c>
      <c r="L137" s="6">
        <v>16132.629716044001</v>
      </c>
      <c r="M137" s="6">
        <v>13221.467365374399</v>
      </c>
      <c r="N137" s="6"/>
      <c r="O137" s="8">
        <f t="shared" si="2"/>
        <v>0.96808204726489866</v>
      </c>
      <c r="P137" s="6"/>
      <c r="Q137" s="6"/>
      <c r="R137" s="6"/>
    </row>
    <row r="138" spans="1:18" x14ac:dyDescent="0.25">
      <c r="A138">
        <v>175</v>
      </c>
      <c r="B138" t="s">
        <v>41</v>
      </c>
      <c r="C138" t="s">
        <v>9</v>
      </c>
      <c r="D138">
        <v>2013</v>
      </c>
      <c r="E138" s="6">
        <v>692621.20999494405</v>
      </c>
      <c r="F138" s="6">
        <v>6.3902256634939905E-10</v>
      </c>
      <c r="G138" s="6">
        <v>132117.47571310701</v>
      </c>
      <c r="H138" s="6">
        <v>513178.23321781401</v>
      </c>
      <c r="I138" s="6">
        <v>969.74461713266305</v>
      </c>
      <c r="J138" s="6">
        <v>0</v>
      </c>
      <c r="K138" s="6">
        <v>0</v>
      </c>
      <c r="L138" s="6">
        <v>38404.991747177002</v>
      </c>
      <c r="M138" s="6">
        <v>7950.7646997113698</v>
      </c>
      <c r="N138" s="6"/>
      <c r="O138" s="8">
        <f t="shared" si="2"/>
        <v>2.2762571117163679</v>
      </c>
      <c r="P138" s="6"/>
      <c r="Q138" s="6"/>
      <c r="R138" s="6"/>
    </row>
    <row r="139" spans="1:18" x14ac:dyDescent="0.25">
      <c r="A139">
        <v>176</v>
      </c>
      <c r="B139" t="s">
        <v>41</v>
      </c>
      <c r="C139" t="s">
        <v>9</v>
      </c>
      <c r="D139">
        <v>2014</v>
      </c>
      <c r="E139" s="6">
        <v>1436716.9179933199</v>
      </c>
      <c r="F139" s="6">
        <v>1.0393048640769901E-9</v>
      </c>
      <c r="G139" s="9">
        <v>567822.62424548005</v>
      </c>
      <c r="H139" s="6">
        <v>752041.38114587904</v>
      </c>
      <c r="I139" s="9">
        <v>2844.02109371285</v>
      </c>
      <c r="J139" s="6">
        <v>0</v>
      </c>
      <c r="K139" s="6">
        <v>1.0393048640769901E-9</v>
      </c>
      <c r="L139" s="9">
        <v>56133.877080153499</v>
      </c>
      <c r="M139" s="9">
        <v>56731.612785297002</v>
      </c>
      <c r="N139" s="6"/>
      <c r="O139" s="8">
        <f t="shared" si="2"/>
        <v>1.7390998562317488</v>
      </c>
      <c r="P139" s="6"/>
      <c r="Q139" s="6"/>
      <c r="R139" s="6"/>
    </row>
    <row r="140" spans="1:18" x14ac:dyDescent="0.25">
      <c r="A140">
        <v>177</v>
      </c>
      <c r="B140" t="s">
        <v>41</v>
      </c>
      <c r="C140" t="s">
        <v>9</v>
      </c>
      <c r="D140">
        <v>2015</v>
      </c>
      <c r="E140" s="6">
        <v>1643325.8240680899</v>
      </c>
      <c r="F140" s="6">
        <v>9.4266257459176395E-10</v>
      </c>
      <c r="G140" s="9">
        <v>507823.43792208802</v>
      </c>
      <c r="H140" s="6">
        <v>1132808.3925214801</v>
      </c>
      <c r="I140" s="9">
        <v>1.4139116580661099E-9</v>
      </c>
      <c r="J140" s="6">
        <v>0</v>
      </c>
      <c r="K140" s="6">
        <v>0</v>
      </c>
      <c r="L140" s="9">
        <v>500.24219540009301</v>
      </c>
      <c r="M140" s="9">
        <v>1804.5669538816301</v>
      </c>
      <c r="N140" s="6"/>
      <c r="O140" s="8">
        <f t="shared" si="2"/>
        <v>0.69064604287119979</v>
      </c>
      <c r="P140" s="6"/>
      <c r="Q140" s="6"/>
      <c r="R140" s="6"/>
    </row>
    <row r="141" spans="1:18" x14ac:dyDescent="0.25">
      <c r="A141">
        <v>178</v>
      </c>
      <c r="B141" t="s">
        <v>41</v>
      </c>
      <c r="C141" t="s">
        <v>9</v>
      </c>
      <c r="D141">
        <v>2016</v>
      </c>
      <c r="E141" s="6">
        <v>1850333.7032025</v>
      </c>
      <c r="F141" s="6">
        <v>1.0962000837043E-9</v>
      </c>
      <c r="G141" s="9">
        <v>364111.88217706798</v>
      </c>
      <c r="H141" s="6">
        <v>1460187.56497842</v>
      </c>
      <c r="I141" s="9">
        <v>1.0961987943400299E-9</v>
      </c>
      <c r="J141" s="6">
        <v>0</v>
      </c>
      <c r="K141" s="6">
        <v>0</v>
      </c>
      <c r="L141" s="9">
        <v>11164.5868371735</v>
      </c>
      <c r="M141" s="9">
        <v>13439.103545231201</v>
      </c>
      <c r="N141" s="6"/>
      <c r="O141" s="8">
        <f t="shared" si="2"/>
        <v>1.0561863515953103</v>
      </c>
      <c r="P141" s="6"/>
      <c r="Q141" s="6"/>
      <c r="R141" s="6"/>
    </row>
    <row r="142" spans="1:18" x14ac:dyDescent="0.25">
      <c r="A142">
        <v>179</v>
      </c>
      <c r="B142" t="s">
        <v>41</v>
      </c>
      <c r="C142" t="s">
        <v>9</v>
      </c>
      <c r="D142">
        <v>2017</v>
      </c>
      <c r="E142" s="6">
        <v>1230311.71896919</v>
      </c>
      <c r="F142" s="6">
        <v>1765.7712404928</v>
      </c>
      <c r="G142" s="9">
        <v>906912.97392453603</v>
      </c>
      <c r="H142" s="6">
        <v>312467.76612623897</v>
      </c>
      <c r="I142" s="9">
        <v>2026.7761024347101</v>
      </c>
      <c r="J142" s="6">
        <v>0</v>
      </c>
      <c r="K142" s="6">
        <v>0</v>
      </c>
      <c r="L142" s="9">
        <v>4050.3140145634702</v>
      </c>
      <c r="M142" s="9">
        <v>3088.1175609206398</v>
      </c>
      <c r="N142" s="6"/>
      <c r="O142" s="8">
        <f t="shared" si="2"/>
        <v>-0.15295987356674368</v>
      </c>
      <c r="P142" s="6"/>
      <c r="Q142" s="6"/>
      <c r="R142" s="6"/>
    </row>
    <row r="143" spans="1:18" x14ac:dyDescent="0.25">
      <c r="A143">
        <v>180</v>
      </c>
      <c r="B143" t="s">
        <v>41</v>
      </c>
      <c r="C143" t="s">
        <v>9</v>
      </c>
      <c r="D143">
        <v>2018</v>
      </c>
      <c r="E143" s="6">
        <v>1920088.3223160801</v>
      </c>
      <c r="F143" s="6">
        <v>3.62428400563028E-9</v>
      </c>
      <c r="G143" s="9">
        <v>734903.92010756605</v>
      </c>
      <c r="H143" s="6">
        <v>1180877.04111048</v>
      </c>
      <c r="I143" s="9">
        <v>3629.0931841087699</v>
      </c>
      <c r="J143" s="6">
        <v>0</v>
      </c>
      <c r="K143" s="6">
        <v>3.62428400563028E-9</v>
      </c>
      <c r="L143" s="9">
        <v>678.26791390728897</v>
      </c>
      <c r="M143" s="9">
        <v>3.62428248124125E-9</v>
      </c>
      <c r="N143" s="6"/>
      <c r="O143" s="8">
        <f t="shared" si="2"/>
        <v>0.26396620041559377</v>
      </c>
      <c r="P143" s="6"/>
      <c r="Q143" s="6"/>
      <c r="R143" s="6"/>
    </row>
    <row r="144" spans="1:18" x14ac:dyDescent="0.25">
      <c r="A144">
        <v>181</v>
      </c>
      <c r="B144" t="s">
        <v>41</v>
      </c>
      <c r="C144" t="s">
        <v>9</v>
      </c>
      <c r="D144">
        <v>2019</v>
      </c>
      <c r="E144" s="6">
        <v>1358926.9841471701</v>
      </c>
      <c r="F144" s="6">
        <v>850.61116604901702</v>
      </c>
      <c r="G144" s="9">
        <v>233249.00495741001</v>
      </c>
      <c r="H144" s="6">
        <v>1115187.1057021499</v>
      </c>
      <c r="I144" s="9">
        <v>1039.130466997</v>
      </c>
      <c r="J144" s="6">
        <v>0</v>
      </c>
      <c r="K144" s="6">
        <v>1.39057706007834</v>
      </c>
      <c r="L144" s="9">
        <v>5345.2674509050803</v>
      </c>
      <c r="M144" s="9">
        <v>3254.47382660217</v>
      </c>
      <c r="N144" s="6"/>
      <c r="O144" s="8">
        <f t="shared" si="2"/>
        <v>0.41703770789466055</v>
      </c>
      <c r="P144" s="6"/>
      <c r="Q144" s="6"/>
      <c r="R144" s="6"/>
    </row>
    <row r="145" spans="1:18" x14ac:dyDescent="0.25">
      <c r="A145">
        <v>182</v>
      </c>
      <c r="B145" t="s">
        <v>41</v>
      </c>
      <c r="C145" t="s">
        <v>9</v>
      </c>
      <c r="D145">
        <v>2020</v>
      </c>
      <c r="E145" s="6">
        <v>1212549.00741251</v>
      </c>
      <c r="F145" s="6">
        <v>2072.5511778948699</v>
      </c>
      <c r="G145" s="9">
        <v>555164.64748541499</v>
      </c>
      <c r="H145" s="6">
        <v>647132.74691131106</v>
      </c>
      <c r="I145" s="9">
        <v>2.2105405632950399</v>
      </c>
      <c r="J145" s="6">
        <v>0</v>
      </c>
      <c r="K145" s="6">
        <v>0</v>
      </c>
      <c r="L145" s="9">
        <v>8176.8512973245297</v>
      </c>
      <c r="M145" s="9">
        <v>1.3610164565051599E-9</v>
      </c>
      <c r="N145" s="6"/>
      <c r="O145" s="8">
        <f t="shared" si="2"/>
        <v>1.0204448726988318</v>
      </c>
      <c r="P145" s="6"/>
      <c r="Q145" s="6"/>
      <c r="R145" s="6"/>
    </row>
    <row r="146" spans="1:18" x14ac:dyDescent="0.25">
      <c r="A146">
        <v>183</v>
      </c>
      <c r="B146" t="s">
        <v>41</v>
      </c>
      <c r="C146" t="s">
        <v>9</v>
      </c>
      <c r="D146">
        <v>2021</v>
      </c>
      <c r="E146" s="6">
        <v>2023217.77431973</v>
      </c>
      <c r="F146" s="6">
        <v>8.58195416868708E-5</v>
      </c>
      <c r="G146" s="9">
        <v>1014243.61805022</v>
      </c>
      <c r="H146" s="6">
        <v>931969.38452431804</v>
      </c>
      <c r="I146" s="9">
        <v>6322.3256006983802</v>
      </c>
      <c r="J146" s="6">
        <v>1.0410415961264099E-6</v>
      </c>
      <c r="K146" s="6">
        <v>1.04103517230535E-6</v>
      </c>
      <c r="L146" s="9">
        <v>11615.2305944871</v>
      </c>
      <c r="M146" s="9">
        <v>59067.215451693402</v>
      </c>
      <c r="N146" s="6"/>
      <c r="O146" s="8">
        <f t="shared" si="2"/>
        <v>0.51803523303640209</v>
      </c>
      <c r="P146" s="6"/>
      <c r="Q146" s="6"/>
      <c r="R146" s="6"/>
    </row>
    <row r="147" spans="1:18" x14ac:dyDescent="0.25">
      <c r="A147">
        <v>184</v>
      </c>
      <c r="B147" t="s">
        <v>41</v>
      </c>
      <c r="C147" t="s">
        <v>9</v>
      </c>
      <c r="D147">
        <v>2022</v>
      </c>
      <c r="E147" s="6">
        <v>2986219.25045997</v>
      </c>
      <c r="F147" s="6">
        <v>668.48741115445898</v>
      </c>
      <c r="G147" s="9">
        <v>664431.29480654898</v>
      </c>
      <c r="H147" s="6">
        <v>2305767.1513433401</v>
      </c>
      <c r="I147" s="9">
        <v>2190.7673735461999</v>
      </c>
      <c r="J147" s="6">
        <v>1.0407268774439399E-6</v>
      </c>
      <c r="K147" s="6">
        <v>1.0407454463118201E-6</v>
      </c>
      <c r="L147" s="9">
        <v>4485.7411401872196</v>
      </c>
      <c r="M147" s="9">
        <v>8675.8081739038807</v>
      </c>
      <c r="N147" s="6"/>
      <c r="O147" s="8">
        <f t="shared" si="2"/>
        <v>0.82127031081565138</v>
      </c>
      <c r="P147" s="6"/>
      <c r="Q147" s="6"/>
      <c r="R147" s="6"/>
    </row>
    <row r="148" spans="1:18" x14ac:dyDescent="0.25">
      <c r="A148">
        <v>185</v>
      </c>
      <c r="B148" t="s">
        <v>41</v>
      </c>
      <c r="C148" t="s">
        <v>9</v>
      </c>
      <c r="D148">
        <v>2023</v>
      </c>
      <c r="E148" s="6">
        <v>1379859.0970236601</v>
      </c>
      <c r="F148" s="6">
        <v>5.0372687193977698E-5</v>
      </c>
      <c r="G148" s="9">
        <v>303697.42386520701</v>
      </c>
      <c r="H148" s="6">
        <v>1022200.03103132</v>
      </c>
      <c r="I148" s="9">
        <v>7047.3033858425397</v>
      </c>
      <c r="J148" s="6">
        <v>1.01130813668353E-6</v>
      </c>
      <c r="K148" s="6">
        <v>1.01130726325766E-6</v>
      </c>
      <c r="L148" s="9">
        <v>24611.453802038701</v>
      </c>
      <c r="M148" s="9">
        <v>22302.884876740802</v>
      </c>
      <c r="N148" s="6"/>
      <c r="O148" s="8">
        <f t="shared" si="2"/>
        <v>0.43078099770386608</v>
      </c>
      <c r="P148" s="6"/>
      <c r="Q148" s="6"/>
      <c r="R148" s="6"/>
    </row>
    <row r="149" spans="1:18" x14ac:dyDescent="0.25">
      <c r="A149">
        <v>186</v>
      </c>
      <c r="B149" t="s">
        <v>41</v>
      </c>
      <c r="C149" t="s">
        <v>9</v>
      </c>
      <c r="D149">
        <v>2024</v>
      </c>
      <c r="E149" s="6">
        <v>1572250.10905134</v>
      </c>
      <c r="F149" s="6">
        <v>2390.5981300195999</v>
      </c>
      <c r="G149" s="9">
        <v>1132855.6844387101</v>
      </c>
      <c r="H149" s="6">
        <v>393200.04603762098</v>
      </c>
      <c r="I149" s="9">
        <v>1483.12369191168</v>
      </c>
      <c r="J149" s="6">
        <v>1.01489006107838E-6</v>
      </c>
      <c r="K149" s="6">
        <v>1.01488979521396E-6</v>
      </c>
      <c r="L149" s="9">
        <v>31470.441873588901</v>
      </c>
      <c r="M149" s="9">
        <v>10850.214785763999</v>
      </c>
      <c r="N149" s="6"/>
      <c r="O149" s="8">
        <f t="shared" si="2"/>
        <v>0.25828661584026213</v>
      </c>
      <c r="P149" s="6"/>
      <c r="Q149" s="6"/>
      <c r="R149" s="6"/>
    </row>
    <row r="150" spans="1:18" x14ac:dyDescent="0.25"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</row>
    <row r="151" spans="1:18" x14ac:dyDescent="0.25">
      <c r="B151" t="s">
        <v>42</v>
      </c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</row>
    <row r="153" spans="1:18" x14ac:dyDescent="0.25">
      <c r="B153" t="s">
        <v>43</v>
      </c>
    </row>
    <row r="170" spans="2:25" x14ac:dyDescent="0.25">
      <c r="B170" t="s">
        <v>44</v>
      </c>
      <c r="R170" t="s">
        <v>45</v>
      </c>
      <c r="S170">
        <v>2024</v>
      </c>
      <c r="T170" t="s">
        <v>46</v>
      </c>
    </row>
    <row r="171" spans="2:25" x14ac:dyDescent="0.25">
      <c r="B171" t="s">
        <v>47</v>
      </c>
      <c r="C171" s="6">
        <v>1132855.6844387101</v>
      </c>
      <c r="D171" t="s">
        <v>48</v>
      </c>
      <c r="E171">
        <v>1.8153999999999999</v>
      </c>
      <c r="F171" t="s">
        <v>49</v>
      </c>
      <c r="G171" s="7">
        <f>C171*E171</f>
        <v>2056586.2095300341</v>
      </c>
      <c r="H171" t="s">
        <v>50</v>
      </c>
      <c r="I171" t="s">
        <v>51</v>
      </c>
      <c r="N171" t="s">
        <v>52</v>
      </c>
      <c r="R171">
        <v>4.5</v>
      </c>
      <c r="S171" s="6">
        <f>C171</f>
        <v>1132855.6844387101</v>
      </c>
      <c r="T171" s="7">
        <f>S171*R171</f>
        <v>5097850.579974195</v>
      </c>
    </row>
    <row r="172" spans="2:25" x14ac:dyDescent="0.25">
      <c r="O172" t="s">
        <v>53</v>
      </c>
    </row>
    <row r="173" spans="2:25" ht="15.75" thickBot="1" x14ac:dyDescent="0.3">
      <c r="B173" t="s">
        <v>54</v>
      </c>
      <c r="J173" t="s">
        <v>55</v>
      </c>
      <c r="O173" t="s">
        <v>56</v>
      </c>
    </row>
    <row r="174" spans="2:25" x14ac:dyDescent="0.25">
      <c r="B174" t="s">
        <v>57</v>
      </c>
      <c r="F174" s="10">
        <v>1.2</v>
      </c>
      <c r="G174" s="11">
        <v>635020</v>
      </c>
      <c r="H174" s="12" t="s">
        <v>58</v>
      </c>
      <c r="I174" s="13"/>
      <c r="J174">
        <v>0.73</v>
      </c>
      <c r="P174" t="s">
        <v>59</v>
      </c>
      <c r="Q174" t="s">
        <v>60</v>
      </c>
      <c r="T174" t="s">
        <v>61</v>
      </c>
    </row>
    <row r="175" spans="2:25" x14ac:dyDescent="0.25">
      <c r="F175" s="14">
        <v>1.3</v>
      </c>
      <c r="G175" s="7">
        <v>2305767.1513433401</v>
      </c>
      <c r="H175" t="s">
        <v>62</v>
      </c>
      <c r="I175" s="15"/>
      <c r="J175">
        <v>2.02</v>
      </c>
      <c r="K175" s="7">
        <v>2056586.2095300341</v>
      </c>
      <c r="L175" t="s">
        <v>63</v>
      </c>
      <c r="O175">
        <v>2013.375</v>
      </c>
      <c r="P175">
        <v>2.2762571117163679</v>
      </c>
      <c r="Q175">
        <f>EXP(P175)</f>
        <v>9.7401557834089427</v>
      </c>
      <c r="T175" t="s">
        <v>64</v>
      </c>
      <c r="Y175" s="7">
        <f>AVERAGE(T171,K175)</f>
        <v>3577218.3947521145</v>
      </c>
    </row>
    <row r="176" spans="2:25" x14ac:dyDescent="0.25">
      <c r="F176" s="14">
        <v>1.4</v>
      </c>
      <c r="G176" s="7">
        <v>2417</v>
      </c>
      <c r="H176" t="s">
        <v>58</v>
      </c>
      <c r="I176" s="15"/>
      <c r="O176">
        <v>2014.375</v>
      </c>
      <c r="P176">
        <v>1.7390998562317488</v>
      </c>
      <c r="Q176">
        <f t="shared" ref="Q176:Q178" si="3">EXP(P176)</f>
        <v>5.6922173019634155</v>
      </c>
    </row>
    <row r="177" spans="6:28" ht="15.75" thickBot="1" x14ac:dyDescent="0.3">
      <c r="F177" s="14">
        <v>2.2000000000000002</v>
      </c>
      <c r="G177" s="7">
        <v>14385</v>
      </c>
      <c r="H177" t="s">
        <v>58</v>
      </c>
      <c r="I177" s="15"/>
      <c r="J177">
        <v>0.02</v>
      </c>
      <c r="O177">
        <v>2015.375</v>
      </c>
      <c r="P177">
        <v>0.69064604287119979</v>
      </c>
      <c r="Q177">
        <f t="shared" si="3"/>
        <v>1.9950039751000594</v>
      </c>
      <c r="T177" t="s">
        <v>65</v>
      </c>
    </row>
    <row r="178" spans="6:28" x14ac:dyDescent="0.25">
      <c r="F178" s="14">
        <v>2.2999999999999998</v>
      </c>
      <c r="G178" s="7">
        <v>16292</v>
      </c>
      <c r="H178" t="s">
        <v>58</v>
      </c>
      <c r="I178" s="15"/>
      <c r="J178">
        <v>0.01</v>
      </c>
      <c r="O178">
        <v>2016.375</v>
      </c>
      <c r="P178">
        <v>1.0561863515953103</v>
      </c>
      <c r="Q178">
        <f t="shared" si="3"/>
        <v>2.875384348058482</v>
      </c>
      <c r="T178" s="10" t="s">
        <v>66</v>
      </c>
      <c r="U178" s="12"/>
      <c r="V178" s="12"/>
      <c r="W178" s="12"/>
      <c r="X178" s="12"/>
      <c r="Y178" s="11">
        <v>2305767.1513433401</v>
      </c>
      <c r="Z178" s="12" t="s">
        <v>67</v>
      </c>
      <c r="AA178" s="12"/>
      <c r="AB178" s="13"/>
    </row>
    <row r="179" spans="6:28" ht="15.75" thickBot="1" x14ac:dyDescent="0.3">
      <c r="F179" s="16" t="s">
        <v>68</v>
      </c>
      <c r="G179" s="17">
        <f>SUM(G174:G178)</f>
        <v>2973881.1513433401</v>
      </c>
      <c r="H179" s="4"/>
      <c r="I179" s="18"/>
      <c r="J179">
        <v>2.79</v>
      </c>
      <c r="L179" t="s">
        <v>69</v>
      </c>
      <c r="O179" t="s">
        <v>70</v>
      </c>
      <c r="Q179">
        <f>AVERAGE(Q175:Q178)</f>
        <v>5.0756903521327246</v>
      </c>
      <c r="T179" s="16" t="s">
        <v>71</v>
      </c>
      <c r="U179" s="4"/>
      <c r="V179" s="4"/>
      <c r="W179" s="4"/>
      <c r="X179" s="4"/>
      <c r="Y179" s="4"/>
      <c r="Z179" s="4"/>
      <c r="AA179" s="4"/>
      <c r="AB179" s="18"/>
    </row>
    <row r="180" spans="6:28" x14ac:dyDescent="0.25">
      <c r="L180" t="s">
        <v>72</v>
      </c>
      <c r="O180" t="s">
        <v>73</v>
      </c>
    </row>
    <row r="181" spans="6:28" x14ac:dyDescent="0.25">
      <c r="L181" t="s">
        <v>74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Cors</vt:lpstr>
      <vt:lpstr>ENV</vt:lpstr>
      <vt:lpstr>MAINPRED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Alec MacCall</dc:creator>
  <cp:lastModifiedBy>Alec MacCall</cp:lastModifiedBy>
  <dcterms:created xsi:type="dcterms:W3CDTF">2025-04-29T14:45:27Z</dcterms:created>
  <dcterms:modified xsi:type="dcterms:W3CDTF">2025-05-20T15:40:07Z</dcterms:modified>
</cp:coreProperties>
</file>