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ec&amp;BarbsFiles\Alec\AlecScience\SalmonPrize\2025Prize\ORG2025spreadsheets\"/>
    </mc:Choice>
  </mc:AlternateContent>
  <xr:revisionPtr revIDLastSave="0" documentId="8_{40E7293F-3991-478F-95A2-9092C573C91D}" xr6:coauthVersionLast="47" xr6:coauthVersionMax="47" xr10:uidLastSave="{00000000-0000-0000-0000-000000000000}"/>
  <bookViews>
    <workbookView xWindow="-120" yWindow="-120" windowWidth="29040" windowHeight="15720" activeTab="2" xr2:uid="{F2506C93-5B32-4D82-B9C1-43481305A108}"/>
  </bookViews>
  <sheets>
    <sheet name="Cors" sheetId="5" r:id="rId1"/>
    <sheet name="ENVIRO" sheetId="9" r:id="rId2"/>
    <sheet name="MAINPRED" sheetId="10" r:id="rId3"/>
  </sheets>
  <externalReferences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3" i="10" l="1"/>
  <c r="D203" i="10"/>
  <c r="O200" i="10"/>
  <c r="F194" i="10"/>
  <c r="M174" i="10"/>
  <c r="K155" i="10"/>
  <c r="H155" i="10"/>
  <c r="G155" i="10"/>
  <c r="F155" i="10"/>
  <c r="P154" i="10"/>
  <c r="L154" i="10"/>
  <c r="L155" i="10" s="1"/>
  <c r="K154" i="10"/>
  <c r="J154" i="10"/>
  <c r="J155" i="10" s="1"/>
  <c r="I154" i="10"/>
  <c r="I155" i="10" s="1"/>
  <c r="H154" i="10"/>
  <c r="G154" i="10"/>
  <c r="F154" i="10"/>
  <c r="E154" i="10"/>
  <c r="S153" i="10"/>
  <c r="Q153" i="10"/>
  <c r="U152" i="10"/>
  <c r="S152" i="10"/>
  <c r="R152" i="10"/>
  <c r="Q152" i="10"/>
  <c r="U151" i="10"/>
  <c r="S151" i="10"/>
  <c r="R151" i="10"/>
  <c r="Q151" i="10"/>
  <c r="U150" i="10"/>
  <c r="S150" i="10"/>
  <c r="R150" i="10"/>
  <c r="Q150" i="10"/>
  <c r="U149" i="10"/>
  <c r="S149" i="10"/>
  <c r="R149" i="10"/>
  <c r="Q149" i="10"/>
  <c r="U148" i="10"/>
  <c r="S148" i="10"/>
  <c r="R148" i="10"/>
  <c r="Q148" i="10"/>
  <c r="U147" i="10"/>
  <c r="S147" i="10"/>
  <c r="R147" i="10"/>
  <c r="Q147" i="10"/>
  <c r="U146" i="10"/>
  <c r="S146" i="10"/>
  <c r="R146" i="10"/>
  <c r="Q146" i="10"/>
  <c r="U145" i="10"/>
  <c r="S145" i="10"/>
  <c r="R145" i="10"/>
  <c r="Q145" i="10"/>
  <c r="U144" i="10"/>
  <c r="S144" i="10"/>
  <c r="R144" i="10"/>
  <c r="Q144" i="10"/>
  <c r="U143" i="10"/>
  <c r="S143" i="10"/>
  <c r="R143" i="10"/>
  <c r="Q143" i="10"/>
  <c r="U142" i="10"/>
  <c r="S142" i="10"/>
  <c r="R142" i="10"/>
  <c r="Q142" i="10"/>
  <c r="U141" i="10"/>
  <c r="S141" i="10"/>
  <c r="R141" i="10"/>
  <c r="Q141" i="10"/>
  <c r="U140" i="10"/>
  <c r="S140" i="10"/>
  <c r="R140" i="10"/>
  <c r="Q140" i="10"/>
  <c r="U139" i="10"/>
  <c r="S139" i="10"/>
  <c r="R139" i="10"/>
  <c r="Q139" i="10"/>
  <c r="U138" i="10"/>
  <c r="S138" i="10"/>
  <c r="R138" i="10"/>
  <c r="Q138" i="10"/>
  <c r="U137" i="10"/>
  <c r="S137" i="10"/>
  <c r="R137" i="10"/>
  <c r="Q137" i="10"/>
  <c r="U136" i="10"/>
  <c r="S136" i="10"/>
  <c r="R136" i="10"/>
  <c r="Q136" i="10"/>
  <c r="U135" i="10"/>
  <c r="S135" i="10"/>
  <c r="R135" i="10"/>
  <c r="Q135" i="10"/>
  <c r="U134" i="10"/>
  <c r="S134" i="10"/>
  <c r="R134" i="10"/>
  <c r="Q134" i="10"/>
  <c r="U133" i="10"/>
  <c r="S133" i="10"/>
  <c r="R133" i="10"/>
  <c r="Q133" i="10"/>
  <c r="U132" i="10"/>
  <c r="S132" i="10"/>
  <c r="R132" i="10"/>
  <c r="Q132" i="10"/>
  <c r="U131" i="10"/>
  <c r="S131" i="10"/>
  <c r="R131" i="10"/>
  <c r="Q131" i="10"/>
  <c r="U130" i="10"/>
  <c r="S130" i="10"/>
  <c r="R130" i="10"/>
  <c r="Q130" i="10"/>
  <c r="U129" i="10"/>
  <c r="S129" i="10"/>
  <c r="R129" i="10"/>
  <c r="Q129" i="10"/>
  <c r="U128" i="10"/>
  <c r="S128" i="10"/>
  <c r="R128" i="10"/>
  <c r="Q128" i="10"/>
  <c r="U127" i="10"/>
  <c r="S127" i="10"/>
  <c r="R127" i="10"/>
  <c r="Q127" i="10"/>
  <c r="P85" i="10"/>
  <c r="S85" i="10" s="1"/>
  <c r="D66" i="10"/>
  <c r="E66" i="10" s="1"/>
  <c r="D65" i="10"/>
  <c r="E65" i="10" s="1"/>
  <c r="D64" i="10"/>
  <c r="D63" i="10"/>
  <c r="D62" i="10"/>
  <c r="D61" i="10"/>
  <c r="D60" i="10"/>
  <c r="D59" i="10"/>
  <c r="D58" i="10"/>
  <c r="E57" i="10"/>
  <c r="D57" i="10"/>
  <c r="D56" i="10"/>
  <c r="D55" i="10"/>
  <c r="D54" i="10"/>
  <c r="D53" i="10"/>
  <c r="E53" i="10" s="1"/>
  <c r="D52" i="10"/>
  <c r="D51" i="10"/>
  <c r="D50" i="10"/>
  <c r="D49" i="10"/>
  <c r="D48" i="10"/>
  <c r="E48" i="10" s="1"/>
  <c r="D47" i="10"/>
  <c r="D46" i="10"/>
  <c r="D45" i="10"/>
  <c r="D44" i="10"/>
  <c r="D43" i="10"/>
  <c r="E42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E23" i="10" s="1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E9" i="10" s="1"/>
  <c r="E8" i="10"/>
  <c r="D8" i="10"/>
  <c r="E7" i="10"/>
  <c r="D7" i="10"/>
  <c r="D6" i="10"/>
  <c r="E6" i="10" s="1"/>
  <c r="D5" i="10"/>
  <c r="Z86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60" i="9"/>
  <c r="P76" i="9"/>
  <c r="Q76" i="9" s="1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Z39" i="9" s="1"/>
  <c r="Y17" i="9"/>
  <c r="E15" i="10" l="1"/>
  <c r="E14" i="10"/>
  <c r="E18" i="10"/>
  <c r="E29" i="10"/>
  <c r="E44" i="10"/>
  <c r="E24" i="10"/>
  <c r="E47" i="10"/>
  <c r="E46" i="10"/>
  <c r="E37" i="10"/>
  <c r="E30" i="10"/>
  <c r="E39" i="10"/>
  <c r="E58" i="10"/>
  <c r="E11" i="10"/>
  <c r="E20" i="10"/>
  <c r="E32" i="10"/>
  <c r="E26" i="10"/>
  <c r="E21" i="10"/>
  <c r="E12" i="10"/>
  <c r="E27" i="10"/>
  <c r="E54" i="10"/>
  <c r="E60" i="10"/>
  <c r="E34" i="10"/>
  <c r="E17" i="10"/>
  <c r="E43" i="10"/>
  <c r="E35" i="10"/>
  <c r="E52" i="10"/>
  <c r="E10" i="10"/>
  <c r="E13" i="10"/>
  <c r="E61" i="10"/>
  <c r="E16" i="10"/>
  <c r="E19" i="10"/>
  <c r="E22" i="10"/>
  <c r="E25" i="10"/>
  <c r="E31" i="10"/>
  <c r="E40" i="10"/>
  <c r="E28" i="10"/>
  <c r="E36" i="10"/>
  <c r="E45" i="10"/>
  <c r="E50" i="10"/>
  <c r="E49" i="10"/>
  <c r="E41" i="10"/>
  <c r="E33" i="10"/>
  <c r="E63" i="10"/>
  <c r="E38" i="10"/>
  <c r="E59" i="10"/>
  <c r="E64" i="10"/>
  <c r="E55" i="10"/>
  <c r="E51" i="10"/>
  <c r="E62" i="10"/>
  <c r="E56" i="10"/>
  <c r="Q39" i="9"/>
  <c r="R39" i="9" s="1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G4" i="5"/>
  <c r="H5" i="5" l="1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G5" i="5"/>
  <c r="AU6" i="5" l="1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</calcChain>
</file>

<file path=xl/sharedStrings.xml><?xml version="1.0" encoding="utf-8"?>
<sst xmlns="http://schemas.openxmlformats.org/spreadsheetml/2006/main" count="285" uniqueCount="118">
  <si>
    <t>INSERT</t>
  </si>
  <si>
    <t>TIME SERIES</t>
  </si>
  <si>
    <t>DATE</t>
  </si>
  <si>
    <t>MONTH</t>
  </si>
  <si>
    <t>PRCOMP1</t>
  </si>
  <si>
    <t>DATA</t>
  </si>
  <si>
    <t>CORR-&gt;</t>
  </si>
  <si>
    <t>TIME</t>
  </si>
  <si>
    <t>PRC1 for MONTHS PREVIOUS</t>
  </si>
  <si>
    <t>Wood</t>
  </si>
  <si>
    <t>ln run vs PC1 lags--again we see a big difference between early (blue) and recent(red) patterns</t>
  </si>
  <si>
    <t>There is a weakly useful correlation of -0.44at T-24</t>
  </si>
  <si>
    <t>ln AC1.2 since 1999 shows some promise for predicition, cor is -0.53 at T-24</t>
  </si>
  <si>
    <t>The value pf PC1(-24) for 2025 is 2.532--right in the middle of the cloud, seems ordinary</t>
  </si>
  <si>
    <t>Regression is good except at extreme high PC! Where it becomes uncertain</t>
  </si>
  <si>
    <t>gives 2025 pred 1.2s</t>
  </si>
  <si>
    <t>prev1.1s</t>
  </si>
  <si>
    <t>ln 1.2s</t>
  </si>
  <si>
    <t>prev 1.2s</t>
  </si>
  <si>
    <t>PC1-24</t>
  </si>
  <si>
    <t>data for multiple regression for 1.2s</t>
  </si>
  <si>
    <t>year</t>
  </si>
  <si>
    <t>needed to delete a few years where there were zero 1.1s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</si>
  <si>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</si>
  <si>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</si>
  <si>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</si>
  <si>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</si>
  <si>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</si>
  <si>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</si>
  <si>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</si>
  <si>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</si>
  <si>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</si>
  <si>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</si>
  <si>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</si>
  <si>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</si>
  <si>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</si>
  <si>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</si>
  <si>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</si>
  <si>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</si>
  <si>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</si>
  <si>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</si>
  <si>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</si>
  <si>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</si>
  <si>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</si>
  <si>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</si>
  <si>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</si>
  <si>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</si>
  <si>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</si>
  <si>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</si>
  <si>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both X variates look informative</t>
  </si>
  <si>
    <t>decent prediction, as they go</t>
  </si>
  <si>
    <t>pred</t>
  </si>
  <si>
    <t>ln 1.3 vs PC1 lags</t>
  </si>
  <si>
    <t>There is a possible cor of -0.40 at T-36</t>
  </si>
  <si>
    <t>PC1(T-36) is 4.384 for 2025, at the extreme right side--not reliable</t>
  </si>
  <si>
    <t>one previous case gave much less fish than usual for the regression</t>
  </si>
  <si>
    <t>gives</t>
  </si>
  <si>
    <t>data for multiple regression for 1.3s</t>
  </si>
  <si>
    <t>ln 1.3s</t>
  </si>
  <si>
    <t>PC1-36</t>
  </si>
  <si>
    <t>fair regression, as they go</t>
  </si>
  <si>
    <t>pretty much discounts PC1</t>
  </si>
  <si>
    <t>trusts previous 1.2s</t>
  </si>
  <si>
    <t>Case:</t>
  </si>
  <si>
    <t>observations</t>
  </si>
  <si>
    <t>Year</t>
  </si>
  <si>
    <t>Xt</t>
  </si>
  <si>
    <t>ln Rects</t>
  </si>
  <si>
    <t>deltaLnR</t>
  </si>
  <si>
    <t>Comments</t>
  </si>
  <si>
    <t>2015 and 2016 seems to show no special relationship, suggesting no substantial El Nino effect.</t>
  </si>
  <si>
    <t>Trend since 2006 (linearized logs) gives 2024 value of</t>
  </si>
  <si>
    <t>which antilogs to</t>
  </si>
  <si>
    <t>actual was</t>
  </si>
  <si>
    <t>mine was pretty close</t>
  </si>
  <si>
    <t>official pred was</t>
  </si>
  <si>
    <t>quite a bit lower</t>
  </si>
  <si>
    <t>System</t>
  </si>
  <si>
    <t>River</t>
  </si>
  <si>
    <t>ReturnYear</t>
  </si>
  <si>
    <t>Total_Returns</t>
  </si>
  <si>
    <t>AC_1.1</t>
  </si>
  <si>
    <t>AC_1.2</t>
  </si>
  <si>
    <t>AC_1.3</t>
  </si>
  <si>
    <t>AC_1.4</t>
  </si>
  <si>
    <t>AC_2.1</t>
  </si>
  <si>
    <t>AC_2.2</t>
  </si>
  <si>
    <t>AC_2.3</t>
  </si>
  <si>
    <t>Bristol Bay</t>
  </si>
  <si>
    <t>using data since 1999</t>
  </si>
  <si>
    <t>average</t>
  </si>
  <si>
    <t>average other</t>
  </si>
  <si>
    <t>percent</t>
  </si>
  <si>
    <t>almost entirely two classes</t>
  </si>
  <si>
    <t>2025 1.2s</t>
  </si>
  <si>
    <t>give</t>
  </si>
  <si>
    <t>1.2s</t>
  </si>
  <si>
    <t>compare with off</t>
  </si>
  <si>
    <t>3.24m</t>
  </si>
  <si>
    <t>about the same</t>
  </si>
  <si>
    <t>moderately useful relationship, linear is as good as anything</t>
  </si>
  <si>
    <t>(very low) gives</t>
  </si>
  <si>
    <t>3.95m</t>
  </si>
  <si>
    <t>similar</t>
  </si>
  <si>
    <t>official preds are similar</t>
  </si>
  <si>
    <t>Alternative predictions from PC1</t>
  </si>
  <si>
    <t>Multiple regression</t>
  </si>
  <si>
    <t>from regression</t>
  </si>
  <si>
    <t>smaller, but regression looks good</t>
  </si>
  <si>
    <t>almost the same as Off</t>
  </si>
  <si>
    <t>much smaller, regression is unreliable</t>
  </si>
  <si>
    <t>similar to Off</t>
  </si>
  <si>
    <t>other</t>
  </si>
  <si>
    <t>avg</t>
  </si>
  <si>
    <t>but unlikely to be above 15 max or</t>
  </si>
  <si>
    <t>total</t>
  </si>
  <si>
    <t>7.63m</t>
  </si>
  <si>
    <t>just a little small than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</si>
</sst>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%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1" fillId="0" borderId="1" xfId="0" applyFont="1" applyBorder="1"/>
    <xf numFmtId="0" fontId="4" fillId="0" borderId="0" xfId="0" applyFont="1"/>
    <xf numFmtId="0" fontId="5" fillId="0" borderId="0" xfId="0" applyFont="1"/>
    <xf numFmtId="3" fontId="6" fillId="0" borderId="0" xfId="0" applyNumberFormat="1" applyFont="1"/>
    <xf numFmtId="1" fontId="5" fillId="0" borderId="0" xfId="0" applyNumberFormat="1" applyFont="1"/>
    <xf numFmtId="1" fontId="0" fillId="0" borderId="0" xfId="0" applyNumberFormat="1"/>
    <xf numFmtId="1" fontId="0" fillId="0" borderId="0" xfId="0" quotePrefix="1" applyNumberFormat="1"/>
    <xf numFmtId="0" fontId="0" fillId="0" borderId="3" xfId="0" applyBorder="1"/>
    <xf numFmtId="1" fontId="0" fillId="0" borderId="3" xfId="0" applyNumberFormat="1" applyBorder="1"/>
    <xf numFmtId="1" fontId="0" fillId="0" borderId="3" xfId="0" quotePrefix="1" applyNumberFormat="1" applyBorder="1"/>
    <xf numFmtId="165" fontId="0" fillId="0" borderId="0" xfId="0" applyNumberFormat="1"/>
    <xf numFmtId="1" fontId="1" fillId="0" borderId="0" xfId="0" applyNumberFormat="1" applyFont="1"/>
    <xf numFmtId="166" fontId="0" fillId="0" borderId="0" xfId="1" applyNumberFormat="1" applyFont="1"/>
    <xf numFmtId="166" fontId="0" fillId="2" borderId="0" xfId="1" applyNumberFormat="1" applyFont="1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1" fontId="1" fillId="0" borderId="7" xfId="0" applyNumberFormat="1" applyFont="1" applyBorder="1"/>
    <xf numFmtId="0" fontId="0" fillId="0" borderId="8" xfId="0" applyBorder="1"/>
    <xf numFmtId="0" fontId="0" fillId="0" borderId="7" xfId="0" applyBorder="1"/>
    <xf numFmtId="1" fontId="1" fillId="0" borderId="9" xfId="0" applyNumberFormat="1" applyFont="1" applyBorder="1"/>
    <xf numFmtId="0" fontId="0" fillId="0" borderId="10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[1]CorTemplate!$G$7:$AU$7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[1]CorTemplate!$G$5:$AU$5</c:f>
              <c:numCache>
                <c:formatCode>General</c:formatCode>
                <c:ptCount val="41"/>
                <c:pt idx="0">
                  <c:v>0.23250220767595539</c:v>
                </c:pt>
                <c:pt idx="1">
                  <c:v>0.19418495737894026</c:v>
                </c:pt>
                <c:pt idx="2">
                  <c:v>0.24480962492282948</c:v>
                </c:pt>
                <c:pt idx="3">
                  <c:v>0.17223421523244936</c:v>
                </c:pt>
                <c:pt idx="4">
                  <c:v>0.11419906818918081</c:v>
                </c:pt>
                <c:pt idx="5">
                  <c:v>0.2579026753096561</c:v>
                </c:pt>
                <c:pt idx="6">
                  <c:v>0.26056933640280466</c:v>
                </c:pt>
                <c:pt idx="7">
                  <c:v>0.24317859814811771</c:v>
                </c:pt>
                <c:pt idx="8">
                  <c:v>0.23271882222679649</c:v>
                </c:pt>
                <c:pt idx="9">
                  <c:v>0.17939586977624172</c:v>
                </c:pt>
                <c:pt idx="10">
                  <c:v>0.27123117035787181</c:v>
                </c:pt>
                <c:pt idx="11">
                  <c:v>0.3469047226065855</c:v>
                </c:pt>
                <c:pt idx="12">
                  <c:v>0.45182068630319128</c:v>
                </c:pt>
                <c:pt idx="13">
                  <c:v>0.3543722913029112</c:v>
                </c:pt>
                <c:pt idx="14">
                  <c:v>0.31166290284756998</c:v>
                </c:pt>
                <c:pt idx="15">
                  <c:v>0.33848075225612756</c:v>
                </c:pt>
                <c:pt idx="16">
                  <c:v>0.24207065961206078</c:v>
                </c:pt>
                <c:pt idx="17">
                  <c:v>0.31421534896795322</c:v>
                </c:pt>
                <c:pt idx="18">
                  <c:v>0.30173361634459944</c:v>
                </c:pt>
                <c:pt idx="19">
                  <c:v>0.34342066892694806</c:v>
                </c:pt>
                <c:pt idx="20">
                  <c:v>0.42605006226399789</c:v>
                </c:pt>
                <c:pt idx="21">
                  <c:v>0.39924915484704404</c:v>
                </c:pt>
                <c:pt idx="22">
                  <c:v>0.43677137512519842</c:v>
                </c:pt>
                <c:pt idx="23">
                  <c:v>0.4903756416006595</c:v>
                </c:pt>
                <c:pt idx="24">
                  <c:v>0.50357718221028069</c:v>
                </c:pt>
                <c:pt idx="25">
                  <c:v>0.43642354299234865</c:v>
                </c:pt>
                <c:pt idx="26">
                  <c:v>0.39491334064319572</c:v>
                </c:pt>
                <c:pt idx="27">
                  <c:v>0.29168503619934993</c:v>
                </c:pt>
                <c:pt idx="28">
                  <c:v>0.18503545015297554</c:v>
                </c:pt>
                <c:pt idx="29">
                  <c:v>0.18322866013093492</c:v>
                </c:pt>
                <c:pt idx="30">
                  <c:v>0.25986778197339788</c:v>
                </c:pt>
                <c:pt idx="31">
                  <c:v>0.25351675175491994</c:v>
                </c:pt>
                <c:pt idx="32">
                  <c:v>0.26279699201785972</c:v>
                </c:pt>
                <c:pt idx="33">
                  <c:v>0.17064659271504912</c:v>
                </c:pt>
                <c:pt idx="34">
                  <c:v>0.20698505503636089</c:v>
                </c:pt>
                <c:pt idx="35">
                  <c:v>0.24515131019009903</c:v>
                </c:pt>
                <c:pt idx="36">
                  <c:v>0.29944273231912383</c:v>
                </c:pt>
                <c:pt idx="37">
                  <c:v>0.33275297769843593</c:v>
                </c:pt>
                <c:pt idx="38">
                  <c:v>0.34778786657765137</c:v>
                </c:pt>
                <c:pt idx="39">
                  <c:v>0.40682254126251965</c:v>
                </c:pt>
                <c:pt idx="40">
                  <c:v>0.27106768349346116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5A-4058-8E06-DC110C642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592303"/>
        <c:axId val="427594223"/>
      </c:scatterChart>
      <c:valAx>
        <c:axId val="427592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94223"/>
        <c:crosses val="autoZero"/>
        <c:crossBetween val="midCat"/>
      </c:valAx>
      <c:valAx>
        <c:axId val="42759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92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Cors!$G$7:$AU$7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Cors!$G$5:$AU$5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1B-464D-8D48-6B9340721D4C}"/>
            </c:ext>
          </c:extLst>
        </c:ser>
        <c:ser>
          <c:idx val="0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Cors!$G$7:$AU$7</c:f>
              <c:numCache>
                <c:formatCode>General</c:formatCode>
                <c:ptCount val="41"/>
                <c:pt idx="0">
                  <c:v>0</c:v>
                </c:pt>
                <c:pt idx="1">
                  <c:v>-1</c:v>
                </c:pt>
                <c:pt idx="2">
                  <c:v>-2</c:v>
                </c:pt>
                <c:pt idx="3">
                  <c:v>-3</c:v>
                </c:pt>
                <c:pt idx="4">
                  <c:v>-4</c:v>
                </c:pt>
                <c:pt idx="5">
                  <c:v>-5</c:v>
                </c:pt>
                <c:pt idx="6">
                  <c:v>-6</c:v>
                </c:pt>
                <c:pt idx="7">
                  <c:v>-7</c:v>
                </c:pt>
                <c:pt idx="8">
                  <c:v>-8</c:v>
                </c:pt>
                <c:pt idx="9">
                  <c:v>-9</c:v>
                </c:pt>
                <c:pt idx="10">
                  <c:v>-10</c:v>
                </c:pt>
                <c:pt idx="11">
                  <c:v>-11</c:v>
                </c:pt>
                <c:pt idx="12">
                  <c:v>-12</c:v>
                </c:pt>
                <c:pt idx="13">
                  <c:v>-13</c:v>
                </c:pt>
                <c:pt idx="14">
                  <c:v>-14</c:v>
                </c:pt>
                <c:pt idx="15">
                  <c:v>-15</c:v>
                </c:pt>
                <c:pt idx="16">
                  <c:v>-16</c:v>
                </c:pt>
                <c:pt idx="17">
                  <c:v>-17</c:v>
                </c:pt>
                <c:pt idx="18">
                  <c:v>-18</c:v>
                </c:pt>
                <c:pt idx="19">
                  <c:v>-19</c:v>
                </c:pt>
                <c:pt idx="20">
                  <c:v>-20</c:v>
                </c:pt>
                <c:pt idx="21">
                  <c:v>-21</c:v>
                </c:pt>
                <c:pt idx="22">
                  <c:v>-22</c:v>
                </c:pt>
                <c:pt idx="23">
                  <c:v>-23</c:v>
                </c:pt>
                <c:pt idx="24">
                  <c:v>-24</c:v>
                </c:pt>
                <c:pt idx="25">
                  <c:v>-25</c:v>
                </c:pt>
                <c:pt idx="26">
                  <c:v>-26</c:v>
                </c:pt>
                <c:pt idx="27">
                  <c:v>-27</c:v>
                </c:pt>
                <c:pt idx="28">
                  <c:v>-28</c:v>
                </c:pt>
                <c:pt idx="29">
                  <c:v>-29</c:v>
                </c:pt>
                <c:pt idx="30">
                  <c:v>-30</c:v>
                </c:pt>
                <c:pt idx="31">
                  <c:v>-31</c:v>
                </c:pt>
                <c:pt idx="32">
                  <c:v>-32</c:v>
                </c:pt>
                <c:pt idx="33">
                  <c:v>-33</c:v>
                </c:pt>
                <c:pt idx="34">
                  <c:v>-34</c:v>
                </c:pt>
                <c:pt idx="35">
                  <c:v>-35</c:v>
                </c:pt>
                <c:pt idx="36">
                  <c:v>-36</c:v>
                </c:pt>
                <c:pt idx="37">
                  <c:v>-37</c:v>
                </c:pt>
                <c:pt idx="38">
                  <c:v>-38</c:v>
                </c:pt>
                <c:pt idx="39">
                  <c:v>-39</c:v>
                </c:pt>
                <c:pt idx="40">
                  <c:v>-40</c:v>
                </c:pt>
              </c:numCache>
            </c:numRef>
          </c:xVal>
          <c:yVal>
            <c:numRef>
              <c:f>Cors!$G$4:$AU$4</c:f>
              <c:numCache>
                <c:formatCode>General</c:formatCode>
                <c:ptCount val="41"/>
                <c:pt idx="0">
                  <c:v>4.4269629177009183E-2</c:v>
                </c:pt>
                <c:pt idx="1">
                  <c:v>-4.5796218184349542E-2</c:v>
                </c:pt>
                <c:pt idx="2">
                  <c:v>-0.20111606717889105</c:v>
                </c:pt>
                <c:pt idx="3">
                  <c:v>-2.2232898100937259E-2</c:v>
                </c:pt>
                <c:pt idx="4">
                  <c:v>-0.1513880828091978</c:v>
                </c:pt>
                <c:pt idx="5">
                  <c:v>-9.3308283686797402E-2</c:v>
                </c:pt>
                <c:pt idx="6">
                  <c:v>1.5556849519593614E-2</c:v>
                </c:pt>
                <c:pt idx="7">
                  <c:v>-2.8202681637419916E-2</c:v>
                </c:pt>
                <c:pt idx="8">
                  <c:v>-7.1159509544435576E-2</c:v>
                </c:pt>
                <c:pt idx="9">
                  <c:v>-5.8456396560134426E-2</c:v>
                </c:pt>
                <c:pt idx="10">
                  <c:v>-4.9488225696902503E-4</c:v>
                </c:pt>
                <c:pt idx="11">
                  <c:v>-4.2005592331248592E-2</c:v>
                </c:pt>
                <c:pt idx="12">
                  <c:v>0.11002437289736629</c:v>
                </c:pt>
                <c:pt idx="13">
                  <c:v>0.1267093156740618</c:v>
                </c:pt>
                <c:pt idx="14">
                  <c:v>1.2788927807128942E-2</c:v>
                </c:pt>
                <c:pt idx="15">
                  <c:v>-6.2741435157098763E-2</c:v>
                </c:pt>
                <c:pt idx="16">
                  <c:v>0.17620285681564429</c:v>
                </c:pt>
                <c:pt idx="17">
                  <c:v>0.2021620552716101</c:v>
                </c:pt>
                <c:pt idx="18">
                  <c:v>7.4618089308263788E-2</c:v>
                </c:pt>
                <c:pt idx="19">
                  <c:v>0.11946199019104786</c:v>
                </c:pt>
                <c:pt idx="20">
                  <c:v>8.0534189925374922E-2</c:v>
                </c:pt>
                <c:pt idx="21">
                  <c:v>-6.2766755986388395E-2</c:v>
                </c:pt>
                <c:pt idx="22">
                  <c:v>1.583896168658145E-2</c:v>
                </c:pt>
                <c:pt idx="23">
                  <c:v>7.1174152434799659E-2</c:v>
                </c:pt>
                <c:pt idx="24">
                  <c:v>2.4567957786711454E-2</c:v>
                </c:pt>
                <c:pt idx="25">
                  <c:v>7.5780592328324139E-2</c:v>
                </c:pt>
                <c:pt idx="26">
                  <c:v>0.26389287200213069</c:v>
                </c:pt>
                <c:pt idx="27">
                  <c:v>3.409520187284111E-2</c:v>
                </c:pt>
                <c:pt idx="28">
                  <c:v>-4.0997859145053391E-2</c:v>
                </c:pt>
                <c:pt idx="29">
                  <c:v>-0.13109445746814069</c:v>
                </c:pt>
                <c:pt idx="30">
                  <c:v>-8.690729497513161E-2</c:v>
                </c:pt>
                <c:pt idx="31">
                  <c:v>-3.2122319231139049E-2</c:v>
                </c:pt>
                <c:pt idx="32">
                  <c:v>-8.050917720233175E-2</c:v>
                </c:pt>
                <c:pt idx="33">
                  <c:v>-4.2615041221489854E-2</c:v>
                </c:pt>
                <c:pt idx="34">
                  <c:v>-0.20448733090451182</c:v>
                </c:pt>
                <c:pt idx="35">
                  <c:v>-0.19371289257154539</c:v>
                </c:pt>
                <c:pt idx="36">
                  <c:v>-0.40094889993820831</c:v>
                </c:pt>
                <c:pt idx="37">
                  <c:v>-0.38720935695350839</c:v>
                </c:pt>
                <c:pt idx="38">
                  <c:v>-0.38081647391693835</c:v>
                </c:pt>
                <c:pt idx="39">
                  <c:v>-0.41051966160898495</c:v>
                </c:pt>
                <c:pt idx="40">
                  <c:v>-0.34468933838344684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2E-4B16-9AA6-1221DB6CC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392207"/>
        <c:axId val="354392687"/>
      </c:scatterChart>
      <c:valAx>
        <c:axId val="35439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92687"/>
        <c:crosses val="autoZero"/>
        <c:crossBetween val="midCat"/>
      </c:valAx>
      <c:valAx>
        <c:axId val="35439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392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 AC1.3 vs PC1(T-24) since 1999</a:t>
            </a:r>
          </a:p>
        </c:rich>
      </c:tx>
      <c:layout>
        <c:manualLayout>
          <c:xMode val="edge"/>
          <c:yMode val="edge"/>
          <c:x val="0.29334711286089238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646981627296583E-2"/>
                  <c:y val="-0.311138451443569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Cors!$AQ$27:$AQ$52</c:f>
              <c:numCache>
                <c:formatCode>0.000</c:formatCode>
                <c:ptCount val="26"/>
                <c:pt idx="0">
                  <c:v>0.93481068946924495</c:v>
                </c:pt>
                <c:pt idx="1">
                  <c:v>-1.0207669603507683</c:v>
                </c:pt>
                <c:pt idx="2">
                  <c:v>0.36530161782924503</c:v>
                </c:pt>
                <c:pt idx="3">
                  <c:v>4.2896200438692365</c:v>
                </c:pt>
                <c:pt idx="4">
                  <c:v>3.5373226747692317</c:v>
                </c:pt>
                <c:pt idx="5">
                  <c:v>2.8748315578692294</c:v>
                </c:pt>
                <c:pt idx="6">
                  <c:v>1.9076068417692387</c:v>
                </c:pt>
                <c:pt idx="7">
                  <c:v>2.2880968023692252</c:v>
                </c:pt>
                <c:pt idx="8">
                  <c:v>1.3046613783592229</c:v>
                </c:pt>
                <c:pt idx="9">
                  <c:v>-0.5079246517307725</c:v>
                </c:pt>
                <c:pt idx="10">
                  <c:v>2.1628221249392339</c:v>
                </c:pt>
                <c:pt idx="11">
                  <c:v>2.2741382218892316</c:v>
                </c:pt>
                <c:pt idx="12">
                  <c:v>3.1445083440692292</c:v>
                </c:pt>
                <c:pt idx="13">
                  <c:v>2.8559780762592273</c:v>
                </c:pt>
                <c:pt idx="14">
                  <c:v>2.1367981933692386</c:v>
                </c:pt>
                <c:pt idx="15">
                  <c:v>2.994733051169236</c:v>
                </c:pt>
                <c:pt idx="16">
                  <c:v>3.3148665312692316</c:v>
                </c:pt>
                <c:pt idx="17">
                  <c:v>2.6100064923692252</c:v>
                </c:pt>
                <c:pt idx="18">
                  <c:v>1.4034630548992453</c:v>
                </c:pt>
                <c:pt idx="19">
                  <c:v>-3.0684870940772491E-2</c:v>
                </c:pt>
                <c:pt idx="20">
                  <c:v>-3.6238594620772724E-2</c:v>
                </c:pt>
                <c:pt idx="21">
                  <c:v>0.6355308827592252</c:v>
                </c:pt>
                <c:pt idx="22">
                  <c:v>2.0574152523692271</c:v>
                </c:pt>
                <c:pt idx="23">
                  <c:v>0.16846339816923617</c:v>
                </c:pt>
                <c:pt idx="24">
                  <c:v>0.94188844476923839</c:v>
                </c:pt>
                <c:pt idx="25">
                  <c:v>3.013470621229243</c:v>
                </c:pt>
              </c:numCache>
            </c:numRef>
          </c:xVal>
          <c:yVal>
            <c:numRef>
              <c:f>Cors!$D$27:$D$52</c:f>
              <c:numCache>
                <c:formatCode>General</c:formatCode>
                <c:ptCount val="26"/>
                <c:pt idx="0">
                  <c:v>14.684027671861875</c:v>
                </c:pt>
                <c:pt idx="1">
                  <c:v>14.983986858366556</c:v>
                </c:pt>
                <c:pt idx="2">
                  <c:v>15.293414041875831</c:v>
                </c:pt>
                <c:pt idx="3">
                  <c:v>13.278387238609071</c:v>
                </c:pt>
                <c:pt idx="4">
                  <c:v>15.078416909319417</c:v>
                </c:pt>
                <c:pt idx="5">
                  <c:v>14.774668710874913</c:v>
                </c:pt>
                <c:pt idx="6">
                  <c:v>14.98802186525956</c:v>
                </c:pt>
                <c:pt idx="7">
                  <c:v>15.519494936736582</c:v>
                </c:pt>
                <c:pt idx="8">
                  <c:v>14.567427915489649</c:v>
                </c:pt>
                <c:pt idx="9">
                  <c:v>14.849109295036406</c:v>
                </c:pt>
                <c:pt idx="10">
                  <c:v>15.168145402305552</c:v>
                </c:pt>
                <c:pt idx="11">
                  <c:v>15.166198285306617</c:v>
                </c:pt>
                <c:pt idx="12">
                  <c:v>14.975003932395133</c:v>
                </c:pt>
                <c:pt idx="13">
                  <c:v>13.951146531019287</c:v>
                </c:pt>
                <c:pt idx="14">
                  <c:v>14.39027944349535</c:v>
                </c:pt>
                <c:pt idx="15">
                  <c:v>14.536801254755606</c:v>
                </c:pt>
                <c:pt idx="16">
                  <c:v>14.503184461684716</c:v>
                </c:pt>
                <c:pt idx="17">
                  <c:v>14.866240131843483</c:v>
                </c:pt>
                <c:pt idx="18">
                  <c:v>14.140651550457862</c:v>
                </c:pt>
                <c:pt idx="19">
                  <c:v>14.677801713987265</c:v>
                </c:pt>
                <c:pt idx="20">
                  <c:v>15.148034485601434</c:v>
                </c:pt>
                <c:pt idx="21">
                  <c:v>14.60086271289838</c:v>
                </c:pt>
                <c:pt idx="22">
                  <c:v>13.828692022815048</c:v>
                </c:pt>
                <c:pt idx="23">
                  <c:v>15.061213444351052</c:v>
                </c:pt>
                <c:pt idx="24">
                  <c:v>15.529660937542186</c:v>
                </c:pt>
                <c:pt idx="25">
                  <c:v>14.192982220000403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E2-496F-BDF9-6D3B504FB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50143"/>
        <c:axId val="48548223"/>
      </c:scatterChart>
      <c:valAx>
        <c:axId val="4855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48223"/>
        <c:crosses val="autoZero"/>
        <c:crossBetween val="midCat"/>
      </c:valAx>
      <c:valAx>
        <c:axId val="48548223"/>
        <c:scaling>
          <c:orientation val="minMax"/>
          <c:min val="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50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 run vs PC1(T-24) since 1999</a:t>
            </a:r>
          </a:p>
        </c:rich>
      </c:tx>
      <c:layout>
        <c:manualLayout>
          <c:xMode val="edge"/>
          <c:yMode val="edge"/>
          <c:x val="0.29334711286089238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8459755030621169E-2"/>
                  <c:y val="-0.33464967920676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Cors!$AE$27:$AE$52</c:f>
              <c:numCache>
                <c:formatCode>0.000</c:formatCode>
                <c:ptCount val="26"/>
                <c:pt idx="0">
                  <c:v>-1.0207669603507683</c:v>
                </c:pt>
                <c:pt idx="1">
                  <c:v>0.36530161782924503</c:v>
                </c:pt>
                <c:pt idx="2">
                  <c:v>4.2896200438692365</c:v>
                </c:pt>
                <c:pt idx="3">
                  <c:v>3.5373226747692317</c:v>
                </c:pt>
                <c:pt idx="4">
                  <c:v>2.8748315578692294</c:v>
                </c:pt>
                <c:pt idx="5">
                  <c:v>1.9076068417692387</c:v>
                </c:pt>
                <c:pt idx="6">
                  <c:v>2.2880968023692252</c:v>
                </c:pt>
                <c:pt idx="7">
                  <c:v>1.3046613783592229</c:v>
                </c:pt>
                <c:pt idx="8">
                  <c:v>-0.5079246517307725</c:v>
                </c:pt>
                <c:pt idx="9">
                  <c:v>2.1628221249392339</c:v>
                </c:pt>
                <c:pt idx="10">
                  <c:v>2.2741382218892316</c:v>
                </c:pt>
                <c:pt idx="11">
                  <c:v>3.1445083440692292</c:v>
                </c:pt>
                <c:pt idx="12">
                  <c:v>2.8559780762592273</c:v>
                </c:pt>
                <c:pt idx="13">
                  <c:v>2.1367981933692386</c:v>
                </c:pt>
                <c:pt idx="14">
                  <c:v>2.994733051169236</c:v>
                </c:pt>
                <c:pt idx="15">
                  <c:v>3.3148665312692316</c:v>
                </c:pt>
                <c:pt idx="16">
                  <c:v>2.6100064923692252</c:v>
                </c:pt>
                <c:pt idx="17">
                  <c:v>1.4034630548992453</c:v>
                </c:pt>
                <c:pt idx="18">
                  <c:v>-3.0684870940772491E-2</c:v>
                </c:pt>
                <c:pt idx="19">
                  <c:v>-3.6238594620772724E-2</c:v>
                </c:pt>
                <c:pt idx="20">
                  <c:v>0.6355308827592252</c:v>
                </c:pt>
                <c:pt idx="21">
                  <c:v>2.0574152523692271</c:v>
                </c:pt>
                <c:pt idx="22">
                  <c:v>0.16846339816923617</c:v>
                </c:pt>
                <c:pt idx="23">
                  <c:v>0.94188844476923839</c:v>
                </c:pt>
                <c:pt idx="24">
                  <c:v>3.013470621229243</c:v>
                </c:pt>
                <c:pt idx="25">
                  <c:v>4.3843827266992443</c:v>
                </c:pt>
              </c:numCache>
            </c:numRef>
          </c:xVal>
          <c:yVal>
            <c:numRef>
              <c:f>Cors!$D$27:$D$52</c:f>
              <c:numCache>
                <c:formatCode>General</c:formatCode>
                <c:ptCount val="26"/>
                <c:pt idx="0">
                  <c:v>14.684027671861875</c:v>
                </c:pt>
                <c:pt idx="1">
                  <c:v>14.983986858366556</c:v>
                </c:pt>
                <c:pt idx="2">
                  <c:v>15.293414041875831</c:v>
                </c:pt>
                <c:pt idx="3">
                  <c:v>13.278387238609071</c:v>
                </c:pt>
                <c:pt idx="4">
                  <c:v>15.078416909319417</c:v>
                </c:pt>
                <c:pt idx="5">
                  <c:v>14.774668710874913</c:v>
                </c:pt>
                <c:pt idx="6">
                  <c:v>14.98802186525956</c:v>
                </c:pt>
                <c:pt idx="7">
                  <c:v>15.519494936736582</c:v>
                </c:pt>
                <c:pt idx="8">
                  <c:v>14.567427915489649</c:v>
                </c:pt>
                <c:pt idx="9">
                  <c:v>14.849109295036406</c:v>
                </c:pt>
                <c:pt idx="10">
                  <c:v>15.168145402305552</c:v>
                </c:pt>
                <c:pt idx="11">
                  <c:v>15.166198285306617</c:v>
                </c:pt>
                <c:pt idx="12">
                  <c:v>14.975003932395133</c:v>
                </c:pt>
                <c:pt idx="13">
                  <c:v>13.951146531019287</c:v>
                </c:pt>
                <c:pt idx="14">
                  <c:v>14.39027944349535</c:v>
                </c:pt>
                <c:pt idx="15">
                  <c:v>14.536801254755606</c:v>
                </c:pt>
                <c:pt idx="16">
                  <c:v>14.503184461684716</c:v>
                </c:pt>
                <c:pt idx="17">
                  <c:v>14.866240131843483</c:v>
                </c:pt>
                <c:pt idx="18">
                  <c:v>14.140651550457862</c:v>
                </c:pt>
                <c:pt idx="19">
                  <c:v>14.677801713987265</c:v>
                </c:pt>
                <c:pt idx="20">
                  <c:v>15.148034485601434</c:v>
                </c:pt>
                <c:pt idx="21">
                  <c:v>14.60086271289838</c:v>
                </c:pt>
                <c:pt idx="22">
                  <c:v>13.828692022815048</c:v>
                </c:pt>
                <c:pt idx="23">
                  <c:v>15.061213444351052</c:v>
                </c:pt>
                <c:pt idx="24">
                  <c:v>15.529660937542186</c:v>
                </c:pt>
                <c:pt idx="25">
                  <c:v>14.192982220000403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86-48DF-B003-379300882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50143"/>
        <c:axId val="48548223"/>
      </c:scatterChart>
      <c:valAx>
        <c:axId val="4855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48223"/>
        <c:crosses val="autoZero"/>
        <c:crossBetween val="midCat"/>
      </c:valAx>
      <c:valAx>
        <c:axId val="48548223"/>
        <c:scaling>
          <c:orientation val="minMax"/>
          <c:min val="1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50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 1.2 vs mult reg pred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ENVIRO!$Y$17:$Y$38</c:f>
              <c:numCache>
                <c:formatCode>General</c:formatCode>
                <c:ptCount val="22"/>
                <c:pt idx="0">
                  <c:v>14.870837784247703</c:v>
                </c:pt>
                <c:pt idx="1">
                  <c:v>15.029509667232183</c:v>
                </c:pt>
                <c:pt idx="2">
                  <c:v>15.346891424241024</c:v>
                </c:pt>
                <c:pt idx="3">
                  <c:v>15.572847265181379</c:v>
                </c:pt>
                <c:pt idx="4">
                  <c:v>16.036794462765702</c:v>
                </c:pt>
                <c:pt idx="5">
                  <c:v>15.295006495867938</c:v>
                </c:pt>
                <c:pt idx="6">
                  <c:v>14.644433292226335</c:v>
                </c:pt>
                <c:pt idx="7">
                  <c:v>15.044715256163878</c:v>
                </c:pt>
                <c:pt idx="8">
                  <c:v>15.063325716048645</c:v>
                </c:pt>
                <c:pt idx="9">
                  <c:v>14.738796231633319</c:v>
                </c:pt>
                <c:pt idx="10">
                  <c:v>15.015941715114979</c:v>
                </c:pt>
                <c:pt idx="11">
                  <c:v>14.996637478366477</c:v>
                </c:pt>
                <c:pt idx="12">
                  <c:v>15.166322363129858</c:v>
                </c:pt>
                <c:pt idx="13">
                  <c:v>15.557287480618283</c:v>
                </c:pt>
                <c:pt idx="14">
                  <c:v>15.990102915969892</c:v>
                </c:pt>
                <c:pt idx="15">
                  <c:v>15.986166392131555</c:v>
                </c:pt>
                <c:pt idx="16">
                  <c:v>15.073348274215665</c:v>
                </c:pt>
                <c:pt idx="17">
                  <c:v>15.37315158390656</c:v>
                </c:pt>
                <c:pt idx="18">
                  <c:v>15.893142415390935</c:v>
                </c:pt>
                <c:pt idx="19">
                  <c:v>15.638765845128205</c:v>
                </c:pt>
                <c:pt idx="20">
                  <c:v>15.042513674288461</c:v>
                </c:pt>
                <c:pt idx="21">
                  <c:v>14.699816207994493</c:v>
                </c:pt>
              </c:numCache>
            </c:numRef>
          </c:xVal>
          <c:yVal>
            <c:numRef>
              <c:f>ENVIRO!$X$17:$X$38</c:f>
              <c:numCache>
                <c:formatCode>General</c:formatCode>
                <c:ptCount val="22"/>
                <c:pt idx="0">
                  <c:v>14.926819746523048</c:v>
                </c:pt>
                <c:pt idx="1">
                  <c:v>14.644804343685616</c:v>
                </c:pt>
                <c:pt idx="2">
                  <c:v>15.003569008913368</c:v>
                </c:pt>
                <c:pt idx="3">
                  <c:v>15.5967623282573</c:v>
                </c:pt>
                <c:pt idx="4">
                  <c:v>15.492653026518825</c:v>
                </c:pt>
                <c:pt idx="5">
                  <c:v>15.180089978239778</c:v>
                </c:pt>
                <c:pt idx="6">
                  <c:v>14.738078736023924</c:v>
                </c:pt>
                <c:pt idx="7">
                  <c:v>15.329736197973364</c:v>
                </c:pt>
                <c:pt idx="8">
                  <c:v>14.198612242700044</c:v>
                </c:pt>
                <c:pt idx="9">
                  <c:v>14.083356508767</c:v>
                </c:pt>
                <c:pt idx="10">
                  <c:v>14.13976834956668</c:v>
                </c:pt>
                <c:pt idx="11">
                  <c:v>15.383719474223113</c:v>
                </c:pt>
                <c:pt idx="12">
                  <c:v>14.796262439780037</c:v>
                </c:pt>
                <c:pt idx="13">
                  <c:v>14.957636606044085</c:v>
                </c:pt>
                <c:pt idx="14">
                  <c:v>16.085304860763262</c:v>
                </c:pt>
                <c:pt idx="15">
                  <c:v>16.823492100535002</c:v>
                </c:pt>
                <c:pt idx="16">
                  <c:v>15.903020339639326</c:v>
                </c:pt>
                <c:pt idx="17">
                  <c:v>15.560191762708127</c:v>
                </c:pt>
                <c:pt idx="18">
                  <c:v>16.226037730658476</c:v>
                </c:pt>
                <c:pt idx="19">
                  <c:v>15.831021983021971</c:v>
                </c:pt>
                <c:pt idx="20">
                  <c:v>15.032462346574873</c:v>
                </c:pt>
                <c:pt idx="21">
                  <c:v>16.142953830746173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79-4FC3-A9DF-8E6E874DD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3886383"/>
        <c:axId val="483890223"/>
      </c:scatterChart>
      <c:valAx>
        <c:axId val="48388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890223"/>
        <c:crosses val="autoZero"/>
        <c:crossBetween val="midCat"/>
      </c:valAx>
      <c:valAx>
        <c:axId val="48389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886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 1.3 vs mult reg pred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ENVIRO!$Y$60:$Y$85</c:f>
              <c:numCache>
                <c:formatCode>General</c:formatCode>
                <c:ptCount val="26"/>
                <c:pt idx="0">
                  <c:v>14.713318093161678</c:v>
                </c:pt>
                <c:pt idx="1">
                  <c:v>14.902742442822031</c:v>
                </c:pt>
                <c:pt idx="2">
                  <c:v>14.747697877738059</c:v>
                </c:pt>
                <c:pt idx="3">
                  <c:v>13.858694630650863</c:v>
                </c:pt>
                <c:pt idx="4">
                  <c:v>14.605755627320075</c:v>
                </c:pt>
                <c:pt idx="5">
                  <c:v>14.559493038427197</c:v>
                </c:pt>
                <c:pt idx="6">
                  <c:v>14.69607674546117</c:v>
                </c:pt>
                <c:pt idx="7">
                  <c:v>14.570997308170233</c:v>
                </c:pt>
                <c:pt idx="8">
                  <c:v>14.87912278158071</c:v>
                </c:pt>
                <c:pt idx="9">
                  <c:v>14.929383076800127</c:v>
                </c:pt>
                <c:pt idx="10">
                  <c:v>14.731881562445201</c:v>
                </c:pt>
                <c:pt idx="11">
                  <c:v>14.610000681048438</c:v>
                </c:pt>
                <c:pt idx="12">
                  <c:v>14.729368224372873</c:v>
                </c:pt>
                <c:pt idx="13">
                  <c:v>14.442094675928374</c:v>
                </c:pt>
                <c:pt idx="14">
                  <c:v>14.442445612085741</c:v>
                </c:pt>
                <c:pt idx="15">
                  <c:v>14.420546541946193</c:v>
                </c:pt>
                <c:pt idx="16">
                  <c:v>14.736353774485943</c:v>
                </c:pt>
                <c:pt idx="17">
                  <c:v>14.610991196979764</c:v>
                </c:pt>
                <c:pt idx="18">
                  <c:v>14.705558521028772</c:v>
                </c:pt>
                <c:pt idx="19">
                  <c:v>15.065897055612391</c:v>
                </c:pt>
                <c:pt idx="20">
                  <c:v>15.261700780797375</c:v>
                </c:pt>
                <c:pt idx="21">
                  <c:v>14.988994425008308</c:v>
                </c:pt>
                <c:pt idx="22">
                  <c:v>14.837107227846071</c:v>
                </c:pt>
                <c:pt idx="23">
                  <c:v>15.094628463960989</c:v>
                </c:pt>
                <c:pt idx="24">
                  <c:v>14.956763626973009</c:v>
                </c:pt>
                <c:pt idx="25">
                  <c:v>14.65623998123762</c:v>
                </c:pt>
              </c:numCache>
            </c:numRef>
          </c:xVal>
          <c:yVal>
            <c:numRef>
              <c:f>ENVIRO!$X$60:$X$85</c:f>
              <c:numCache>
                <c:formatCode>General</c:formatCode>
                <c:ptCount val="26"/>
                <c:pt idx="0">
                  <c:v>14.684027671861875</c:v>
                </c:pt>
                <c:pt idx="1">
                  <c:v>14.983986858366556</c:v>
                </c:pt>
                <c:pt idx="2">
                  <c:v>15.293414041875831</c:v>
                </c:pt>
                <c:pt idx="3">
                  <c:v>13.278387238609071</c:v>
                </c:pt>
                <c:pt idx="4">
                  <c:v>15.078416909319417</c:v>
                </c:pt>
                <c:pt idx="5">
                  <c:v>14.774668710874913</c:v>
                </c:pt>
                <c:pt idx="6">
                  <c:v>14.98802186525956</c:v>
                </c:pt>
                <c:pt idx="7">
                  <c:v>15.519494936736582</c:v>
                </c:pt>
                <c:pt idx="8">
                  <c:v>14.567427915489649</c:v>
                </c:pt>
                <c:pt idx="9">
                  <c:v>14.849109295036406</c:v>
                </c:pt>
                <c:pt idx="10">
                  <c:v>15.168145402305552</c:v>
                </c:pt>
                <c:pt idx="11">
                  <c:v>15.166198285306617</c:v>
                </c:pt>
                <c:pt idx="12">
                  <c:v>14.975003932395133</c:v>
                </c:pt>
                <c:pt idx="13">
                  <c:v>13.951146531019287</c:v>
                </c:pt>
                <c:pt idx="14">
                  <c:v>14.39027944349535</c:v>
                </c:pt>
                <c:pt idx="15">
                  <c:v>14.536801254755606</c:v>
                </c:pt>
                <c:pt idx="16">
                  <c:v>14.503184461684716</c:v>
                </c:pt>
                <c:pt idx="17">
                  <c:v>14.866240131843483</c:v>
                </c:pt>
                <c:pt idx="18">
                  <c:v>14.140651550457862</c:v>
                </c:pt>
                <c:pt idx="19">
                  <c:v>14.677801713987265</c:v>
                </c:pt>
                <c:pt idx="20">
                  <c:v>15.148034485601434</c:v>
                </c:pt>
                <c:pt idx="21">
                  <c:v>14.60086271289838</c:v>
                </c:pt>
                <c:pt idx="22">
                  <c:v>13.828692022815048</c:v>
                </c:pt>
                <c:pt idx="23">
                  <c:v>15.061213444351052</c:v>
                </c:pt>
                <c:pt idx="24">
                  <c:v>15.529660937542186</c:v>
                </c:pt>
                <c:pt idx="25">
                  <c:v>14.192982220000403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D1-4DEE-B65A-1F070835E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3886383"/>
        <c:axId val="483890223"/>
      </c:scatterChart>
      <c:valAx>
        <c:axId val="48388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890223"/>
        <c:crosses val="autoZero"/>
        <c:crossBetween val="midCat"/>
      </c:valAx>
      <c:valAx>
        <c:axId val="48389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886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[2]Wood!$B$5:$B$66</c:f>
              <c:numCache>
                <c:formatCode>General</c:formatCode>
                <c:ptCount val="62"/>
                <c:pt idx="0">
                  <c:v>1963</c:v>
                </c:pt>
                <c:pt idx="1">
                  <c:v>1964</c:v>
                </c:pt>
                <c:pt idx="2">
                  <c:v>1965</c:v>
                </c:pt>
                <c:pt idx="3">
                  <c:v>1966</c:v>
                </c:pt>
                <c:pt idx="4">
                  <c:v>1967</c:v>
                </c:pt>
                <c:pt idx="5">
                  <c:v>1968</c:v>
                </c:pt>
                <c:pt idx="6">
                  <c:v>1969</c:v>
                </c:pt>
                <c:pt idx="7">
                  <c:v>1970</c:v>
                </c:pt>
                <c:pt idx="8">
                  <c:v>1971</c:v>
                </c:pt>
                <c:pt idx="9">
                  <c:v>1972</c:v>
                </c:pt>
                <c:pt idx="10">
                  <c:v>1973</c:v>
                </c:pt>
                <c:pt idx="11">
                  <c:v>1974</c:v>
                </c:pt>
                <c:pt idx="12">
                  <c:v>1975</c:v>
                </c:pt>
                <c:pt idx="13">
                  <c:v>1976</c:v>
                </c:pt>
                <c:pt idx="14">
                  <c:v>1977</c:v>
                </c:pt>
                <c:pt idx="15">
                  <c:v>1978</c:v>
                </c:pt>
                <c:pt idx="16">
                  <c:v>1979</c:v>
                </c:pt>
                <c:pt idx="17">
                  <c:v>1980</c:v>
                </c:pt>
                <c:pt idx="18">
                  <c:v>1981</c:v>
                </c:pt>
                <c:pt idx="19">
                  <c:v>1982</c:v>
                </c:pt>
                <c:pt idx="20">
                  <c:v>1983</c:v>
                </c:pt>
                <c:pt idx="21">
                  <c:v>1984</c:v>
                </c:pt>
                <c:pt idx="22">
                  <c:v>1985</c:v>
                </c:pt>
                <c:pt idx="23">
                  <c:v>1986</c:v>
                </c:pt>
                <c:pt idx="24">
                  <c:v>1987</c:v>
                </c:pt>
                <c:pt idx="25">
                  <c:v>1988</c:v>
                </c:pt>
                <c:pt idx="26">
                  <c:v>1989</c:v>
                </c:pt>
                <c:pt idx="27">
                  <c:v>1990</c:v>
                </c:pt>
                <c:pt idx="28">
                  <c:v>1991</c:v>
                </c:pt>
                <c:pt idx="29">
                  <c:v>1992</c:v>
                </c:pt>
                <c:pt idx="30">
                  <c:v>1993</c:v>
                </c:pt>
                <c:pt idx="31">
                  <c:v>1994</c:v>
                </c:pt>
                <c:pt idx="32">
                  <c:v>1995</c:v>
                </c:pt>
                <c:pt idx="33">
                  <c:v>1996</c:v>
                </c:pt>
                <c:pt idx="34">
                  <c:v>1997</c:v>
                </c:pt>
                <c:pt idx="35">
                  <c:v>1998</c:v>
                </c:pt>
                <c:pt idx="36">
                  <c:v>1999</c:v>
                </c:pt>
                <c:pt idx="37">
                  <c:v>2000</c:v>
                </c:pt>
                <c:pt idx="38">
                  <c:v>2001</c:v>
                </c:pt>
                <c:pt idx="39">
                  <c:v>2002</c:v>
                </c:pt>
                <c:pt idx="40">
                  <c:v>2003</c:v>
                </c:pt>
                <c:pt idx="41">
                  <c:v>2004</c:v>
                </c:pt>
                <c:pt idx="42">
                  <c:v>2005</c:v>
                </c:pt>
                <c:pt idx="43">
                  <c:v>2006</c:v>
                </c:pt>
                <c:pt idx="44">
                  <c:v>2007</c:v>
                </c:pt>
                <c:pt idx="45">
                  <c:v>2008</c:v>
                </c:pt>
                <c:pt idx="46">
                  <c:v>2009</c:v>
                </c:pt>
                <c:pt idx="47">
                  <c:v>2010</c:v>
                </c:pt>
                <c:pt idx="48">
                  <c:v>2011</c:v>
                </c:pt>
                <c:pt idx="49">
                  <c:v>2012</c:v>
                </c:pt>
                <c:pt idx="50">
                  <c:v>2013</c:v>
                </c:pt>
                <c:pt idx="51">
                  <c:v>2014</c:v>
                </c:pt>
                <c:pt idx="52">
                  <c:v>2015</c:v>
                </c:pt>
                <c:pt idx="53">
                  <c:v>2016</c:v>
                </c:pt>
                <c:pt idx="54">
                  <c:v>2017</c:v>
                </c:pt>
                <c:pt idx="55">
                  <c:v>2018</c:v>
                </c:pt>
                <c:pt idx="56">
                  <c:v>2019</c:v>
                </c:pt>
                <c:pt idx="57">
                  <c:v>2020</c:v>
                </c:pt>
                <c:pt idx="58">
                  <c:v>2021</c:v>
                </c:pt>
                <c:pt idx="59">
                  <c:v>2022</c:v>
                </c:pt>
                <c:pt idx="60">
                  <c:v>2023</c:v>
                </c:pt>
                <c:pt idx="61">
                  <c:v>2024</c:v>
                </c:pt>
              </c:numCache>
            </c:numRef>
          </c:xVal>
          <c:yVal>
            <c:numRef>
              <c:f>[2]Wood!$C$5:$C$66</c:f>
              <c:numCache>
                <c:formatCode>General</c:formatCode>
                <c:ptCount val="62"/>
                <c:pt idx="0">
                  <c:v>1597997.2654610099</c:v>
                </c:pt>
                <c:pt idx="1">
                  <c:v>2413804.47874837</c:v>
                </c:pt>
                <c:pt idx="2">
                  <c:v>1302507.0925453999</c:v>
                </c:pt>
                <c:pt idx="3">
                  <c:v>2500620.8895489201</c:v>
                </c:pt>
                <c:pt idx="4">
                  <c:v>1150410.2061982199</c:v>
                </c:pt>
                <c:pt idx="5">
                  <c:v>1547964.8904021999</c:v>
                </c:pt>
                <c:pt idx="6">
                  <c:v>1351285.1733454</c:v>
                </c:pt>
                <c:pt idx="7">
                  <c:v>2238536.8513556099</c:v>
                </c:pt>
                <c:pt idx="8">
                  <c:v>2063662.4618698</c:v>
                </c:pt>
                <c:pt idx="9">
                  <c:v>998549.90867300006</c:v>
                </c:pt>
                <c:pt idx="10">
                  <c:v>735060.42099890695</c:v>
                </c:pt>
                <c:pt idx="11">
                  <c:v>2244579.1680520098</c:v>
                </c:pt>
                <c:pt idx="12">
                  <c:v>1773846.772266</c:v>
                </c:pt>
                <c:pt idx="13">
                  <c:v>1711906.9725213</c:v>
                </c:pt>
                <c:pt idx="14">
                  <c:v>812891.66831901402</c:v>
                </c:pt>
                <c:pt idx="15">
                  <c:v>4706520.4887718698</c:v>
                </c:pt>
                <c:pt idx="16">
                  <c:v>4185627.68964103</c:v>
                </c:pt>
                <c:pt idx="17">
                  <c:v>6143341.6075489996</c:v>
                </c:pt>
                <c:pt idx="18">
                  <c:v>6009033.2819340099</c:v>
                </c:pt>
                <c:pt idx="19">
                  <c:v>4093669.8102682801</c:v>
                </c:pt>
                <c:pt idx="20">
                  <c:v>4106631.4812741098</c:v>
                </c:pt>
                <c:pt idx="21">
                  <c:v>2349711.6499100099</c:v>
                </c:pt>
                <c:pt idx="22">
                  <c:v>1527764.2240860099</c:v>
                </c:pt>
                <c:pt idx="23">
                  <c:v>2106059.9511315101</c:v>
                </c:pt>
                <c:pt idx="24">
                  <c:v>3517784.9190218099</c:v>
                </c:pt>
                <c:pt idx="25">
                  <c:v>2000001.5174030201</c:v>
                </c:pt>
                <c:pt idx="26">
                  <c:v>3099741.6348600001</c:v>
                </c:pt>
                <c:pt idx="27">
                  <c:v>3195122.8660048</c:v>
                </c:pt>
                <c:pt idx="28">
                  <c:v>4506270.8089567004</c:v>
                </c:pt>
                <c:pt idx="29">
                  <c:v>3071689.7788077001</c:v>
                </c:pt>
                <c:pt idx="30">
                  <c:v>4748131.8766660001</c:v>
                </c:pt>
                <c:pt idx="31">
                  <c:v>3696594.3995041</c:v>
                </c:pt>
                <c:pt idx="32">
                  <c:v>4938613.2223370997</c:v>
                </c:pt>
                <c:pt idx="33">
                  <c:v>5959843.7347010104</c:v>
                </c:pt>
                <c:pt idx="34">
                  <c:v>3879033.8960746098</c:v>
                </c:pt>
                <c:pt idx="35">
                  <c:v>4421017.6579492697</c:v>
                </c:pt>
                <c:pt idx="36">
                  <c:v>7403081.0158050004</c:v>
                </c:pt>
                <c:pt idx="37">
                  <c:v>6541118.444344</c:v>
                </c:pt>
                <c:pt idx="38">
                  <c:v>4644098.5774400001</c:v>
                </c:pt>
                <c:pt idx="39">
                  <c:v>3859721.5446231999</c:v>
                </c:pt>
                <c:pt idx="40">
                  <c:v>6233372.1852422003</c:v>
                </c:pt>
                <c:pt idx="41">
                  <c:v>6430474.9702239102</c:v>
                </c:pt>
                <c:pt idx="42">
                  <c:v>5881534.4264180996</c:v>
                </c:pt>
                <c:pt idx="43">
                  <c:v>12640215.190229001</c:v>
                </c:pt>
                <c:pt idx="44">
                  <c:v>7794243.4668660099</c:v>
                </c:pt>
                <c:pt idx="45">
                  <c:v>6804843.2400100604</c:v>
                </c:pt>
                <c:pt idx="46">
                  <c:v>6673678.5115900002</c:v>
                </c:pt>
                <c:pt idx="47">
                  <c:v>8809666.8735792991</c:v>
                </c:pt>
                <c:pt idx="48">
                  <c:v>4949205.89158093</c:v>
                </c:pt>
                <c:pt idx="49">
                  <c:v>2699118.6580611798</c:v>
                </c:pt>
                <c:pt idx="50">
                  <c:v>3286868.2634390001</c:v>
                </c:pt>
                <c:pt idx="51">
                  <c:v>7169894.7591530103</c:v>
                </c:pt>
                <c:pt idx="52">
                  <c:v>5019585.2252090201</c:v>
                </c:pt>
                <c:pt idx="53">
                  <c:v>6384574.6288096001</c:v>
                </c:pt>
                <c:pt idx="54">
                  <c:v>11287413.550995</c:v>
                </c:pt>
                <c:pt idx="55">
                  <c:v>22680172.710960101</c:v>
                </c:pt>
                <c:pt idx="56">
                  <c:v>12340740.140092099</c:v>
                </c:pt>
                <c:pt idx="57">
                  <c:v>8004914.9433829999</c:v>
                </c:pt>
                <c:pt idx="58">
                  <c:v>12670319.950875301</c:v>
                </c:pt>
                <c:pt idx="59">
                  <c:v>12410175.8702737</c:v>
                </c:pt>
                <c:pt idx="60">
                  <c:v>10418936.252577201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E0-46EC-A007-69AFAE4BED38}"/>
            </c:ext>
          </c:extLst>
        </c:ser>
        <c:ser>
          <c:idx val="1"/>
          <c:order val="1"/>
          <c:xVal>
            <c:numRef>
              <c:f>[3]Wood!$B$66</c:f>
              <c:numCache>
                <c:formatCode>General</c:formatCode>
                <c:ptCount val="1"/>
                <c:pt idx="0">
                  <c:v>2024</c:v>
                </c:pt>
              </c:numCache>
            </c:numRef>
          </c:xVal>
          <c:yVal>
            <c:numRef>
              <c:f>[3]Wood!$C$66</c:f>
              <c:numCache>
                <c:formatCode>General</c:formatCode>
                <c:ptCount val="1"/>
                <c:pt idx="0">
                  <c:v>12276225.3959476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E0-46EC-A007-69AFAE4BE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33568"/>
        <c:axId val="230277504"/>
      </c:scatterChart>
      <c:valAx>
        <c:axId val="209533568"/>
        <c:scaling>
          <c:orientation val="minMax"/>
          <c:min val="1960"/>
        </c:scaling>
        <c:delete val="0"/>
        <c:axPos val="b"/>
        <c:numFmt formatCode="General" sourceLinked="1"/>
        <c:majorTickMark val="out"/>
        <c:minorTickMark val="none"/>
        <c:tickLblPos val="nextTo"/>
        <c:crossAx val="230277504"/>
        <c:crosses val="autoZero"/>
        <c:crossBetween val="midCat"/>
      </c:valAx>
      <c:valAx>
        <c:axId val="230277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5335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[2]Wood!$B$5:$B$66</c:f>
              <c:numCache>
                <c:formatCode>General</c:formatCode>
                <c:ptCount val="62"/>
                <c:pt idx="0">
                  <c:v>1963</c:v>
                </c:pt>
                <c:pt idx="1">
                  <c:v>1964</c:v>
                </c:pt>
                <c:pt idx="2">
                  <c:v>1965</c:v>
                </c:pt>
                <c:pt idx="3">
                  <c:v>1966</c:v>
                </c:pt>
                <c:pt idx="4">
                  <c:v>1967</c:v>
                </c:pt>
                <c:pt idx="5">
                  <c:v>1968</c:v>
                </c:pt>
                <c:pt idx="6">
                  <c:v>1969</c:v>
                </c:pt>
                <c:pt idx="7">
                  <c:v>1970</c:v>
                </c:pt>
                <c:pt idx="8">
                  <c:v>1971</c:v>
                </c:pt>
                <c:pt idx="9">
                  <c:v>1972</c:v>
                </c:pt>
                <c:pt idx="10">
                  <c:v>1973</c:v>
                </c:pt>
                <c:pt idx="11">
                  <c:v>1974</c:v>
                </c:pt>
                <c:pt idx="12">
                  <c:v>1975</c:v>
                </c:pt>
                <c:pt idx="13">
                  <c:v>1976</c:v>
                </c:pt>
                <c:pt idx="14">
                  <c:v>1977</c:v>
                </c:pt>
                <c:pt idx="15">
                  <c:v>1978</c:v>
                </c:pt>
                <c:pt idx="16">
                  <c:v>1979</c:v>
                </c:pt>
                <c:pt idx="17">
                  <c:v>1980</c:v>
                </c:pt>
                <c:pt idx="18">
                  <c:v>1981</c:v>
                </c:pt>
                <c:pt idx="19">
                  <c:v>1982</c:v>
                </c:pt>
                <c:pt idx="20">
                  <c:v>1983</c:v>
                </c:pt>
                <c:pt idx="21">
                  <c:v>1984</c:v>
                </c:pt>
                <c:pt idx="22">
                  <c:v>1985</c:v>
                </c:pt>
                <c:pt idx="23">
                  <c:v>1986</c:v>
                </c:pt>
                <c:pt idx="24">
                  <c:v>1987</c:v>
                </c:pt>
                <c:pt idx="25">
                  <c:v>1988</c:v>
                </c:pt>
                <c:pt idx="26">
                  <c:v>1989</c:v>
                </c:pt>
                <c:pt idx="27">
                  <c:v>1990</c:v>
                </c:pt>
                <c:pt idx="28">
                  <c:v>1991</c:v>
                </c:pt>
                <c:pt idx="29">
                  <c:v>1992</c:v>
                </c:pt>
                <c:pt idx="30">
                  <c:v>1993</c:v>
                </c:pt>
                <c:pt idx="31">
                  <c:v>1994</c:v>
                </c:pt>
                <c:pt idx="32">
                  <c:v>1995</c:v>
                </c:pt>
                <c:pt idx="33">
                  <c:v>1996</c:v>
                </c:pt>
                <c:pt idx="34">
                  <c:v>1997</c:v>
                </c:pt>
                <c:pt idx="35">
                  <c:v>1998</c:v>
                </c:pt>
                <c:pt idx="36">
                  <c:v>1999</c:v>
                </c:pt>
                <c:pt idx="37">
                  <c:v>2000</c:v>
                </c:pt>
                <c:pt idx="38">
                  <c:v>2001</c:v>
                </c:pt>
                <c:pt idx="39">
                  <c:v>2002</c:v>
                </c:pt>
                <c:pt idx="40">
                  <c:v>2003</c:v>
                </c:pt>
                <c:pt idx="41">
                  <c:v>2004</c:v>
                </c:pt>
                <c:pt idx="42">
                  <c:v>2005</c:v>
                </c:pt>
                <c:pt idx="43">
                  <c:v>2006</c:v>
                </c:pt>
                <c:pt idx="44">
                  <c:v>2007</c:v>
                </c:pt>
                <c:pt idx="45">
                  <c:v>2008</c:v>
                </c:pt>
                <c:pt idx="46">
                  <c:v>2009</c:v>
                </c:pt>
                <c:pt idx="47">
                  <c:v>2010</c:v>
                </c:pt>
                <c:pt idx="48">
                  <c:v>2011</c:v>
                </c:pt>
                <c:pt idx="49">
                  <c:v>2012</c:v>
                </c:pt>
                <c:pt idx="50">
                  <c:v>2013</c:v>
                </c:pt>
                <c:pt idx="51">
                  <c:v>2014</c:v>
                </c:pt>
                <c:pt idx="52">
                  <c:v>2015</c:v>
                </c:pt>
                <c:pt idx="53">
                  <c:v>2016</c:v>
                </c:pt>
                <c:pt idx="54">
                  <c:v>2017</c:v>
                </c:pt>
                <c:pt idx="55">
                  <c:v>2018</c:v>
                </c:pt>
                <c:pt idx="56">
                  <c:v>2019</c:v>
                </c:pt>
                <c:pt idx="57">
                  <c:v>2020</c:v>
                </c:pt>
                <c:pt idx="58">
                  <c:v>2021</c:v>
                </c:pt>
                <c:pt idx="59">
                  <c:v>2022</c:v>
                </c:pt>
                <c:pt idx="60">
                  <c:v>2023</c:v>
                </c:pt>
                <c:pt idx="61">
                  <c:v>2024</c:v>
                </c:pt>
              </c:numCache>
            </c:numRef>
          </c:xVal>
          <c:yVal>
            <c:numRef>
              <c:f>[2]Wood!$C$5:$C$66</c:f>
              <c:numCache>
                <c:formatCode>General</c:formatCode>
                <c:ptCount val="62"/>
                <c:pt idx="0">
                  <c:v>1597997.2654610099</c:v>
                </c:pt>
                <c:pt idx="1">
                  <c:v>2413804.47874837</c:v>
                </c:pt>
                <c:pt idx="2">
                  <c:v>1302507.0925453999</c:v>
                </c:pt>
                <c:pt idx="3">
                  <c:v>2500620.8895489201</c:v>
                </c:pt>
                <c:pt idx="4">
                  <c:v>1150410.2061982199</c:v>
                </c:pt>
                <c:pt idx="5">
                  <c:v>1547964.8904021999</c:v>
                </c:pt>
                <c:pt idx="6">
                  <c:v>1351285.1733454</c:v>
                </c:pt>
                <c:pt idx="7">
                  <c:v>2238536.8513556099</c:v>
                </c:pt>
                <c:pt idx="8">
                  <c:v>2063662.4618698</c:v>
                </c:pt>
                <c:pt idx="9">
                  <c:v>998549.90867300006</c:v>
                </c:pt>
                <c:pt idx="10">
                  <c:v>735060.42099890695</c:v>
                </c:pt>
                <c:pt idx="11">
                  <c:v>2244579.1680520098</c:v>
                </c:pt>
                <c:pt idx="12">
                  <c:v>1773846.772266</c:v>
                </c:pt>
                <c:pt idx="13">
                  <c:v>1711906.9725213</c:v>
                </c:pt>
                <c:pt idx="14">
                  <c:v>812891.66831901402</c:v>
                </c:pt>
                <c:pt idx="15">
                  <c:v>4706520.4887718698</c:v>
                </c:pt>
                <c:pt idx="16">
                  <c:v>4185627.68964103</c:v>
                </c:pt>
                <c:pt idx="17">
                  <c:v>6143341.6075489996</c:v>
                </c:pt>
                <c:pt idx="18">
                  <c:v>6009033.2819340099</c:v>
                </c:pt>
                <c:pt idx="19">
                  <c:v>4093669.8102682801</c:v>
                </c:pt>
                <c:pt idx="20">
                  <c:v>4106631.4812741098</c:v>
                </c:pt>
                <c:pt idx="21">
                  <c:v>2349711.6499100099</c:v>
                </c:pt>
                <c:pt idx="22">
                  <c:v>1527764.2240860099</c:v>
                </c:pt>
                <c:pt idx="23">
                  <c:v>2106059.9511315101</c:v>
                </c:pt>
                <c:pt idx="24">
                  <c:v>3517784.9190218099</c:v>
                </c:pt>
                <c:pt idx="25">
                  <c:v>2000001.5174030201</c:v>
                </c:pt>
                <c:pt idx="26">
                  <c:v>3099741.6348600001</c:v>
                </c:pt>
                <c:pt idx="27">
                  <c:v>3195122.8660048</c:v>
                </c:pt>
                <c:pt idx="28">
                  <c:v>4506270.8089567004</c:v>
                </c:pt>
                <c:pt idx="29">
                  <c:v>3071689.7788077001</c:v>
                </c:pt>
                <c:pt idx="30">
                  <c:v>4748131.8766660001</c:v>
                </c:pt>
                <c:pt idx="31">
                  <c:v>3696594.3995041</c:v>
                </c:pt>
                <c:pt idx="32">
                  <c:v>4938613.2223370997</c:v>
                </c:pt>
                <c:pt idx="33">
                  <c:v>5959843.7347010104</c:v>
                </c:pt>
                <c:pt idx="34">
                  <c:v>3879033.8960746098</c:v>
                </c:pt>
                <c:pt idx="35">
                  <c:v>4421017.6579492697</c:v>
                </c:pt>
                <c:pt idx="36">
                  <c:v>7403081.0158050004</c:v>
                </c:pt>
                <c:pt idx="37">
                  <c:v>6541118.444344</c:v>
                </c:pt>
                <c:pt idx="38">
                  <c:v>4644098.5774400001</c:v>
                </c:pt>
                <c:pt idx="39">
                  <c:v>3859721.5446231999</c:v>
                </c:pt>
                <c:pt idx="40">
                  <c:v>6233372.1852422003</c:v>
                </c:pt>
                <c:pt idx="41">
                  <c:v>6430474.9702239102</c:v>
                </c:pt>
                <c:pt idx="42">
                  <c:v>5881534.4264180996</c:v>
                </c:pt>
                <c:pt idx="43">
                  <c:v>12640215.190229001</c:v>
                </c:pt>
                <c:pt idx="44">
                  <c:v>7794243.4668660099</c:v>
                </c:pt>
                <c:pt idx="45">
                  <c:v>6804843.2400100604</c:v>
                </c:pt>
                <c:pt idx="46">
                  <c:v>6673678.5115900002</c:v>
                </c:pt>
                <c:pt idx="47">
                  <c:v>8809666.8735792991</c:v>
                </c:pt>
                <c:pt idx="48">
                  <c:v>4949205.89158093</c:v>
                </c:pt>
                <c:pt idx="49">
                  <c:v>2699118.6580611798</c:v>
                </c:pt>
                <c:pt idx="50">
                  <c:v>3286868.2634390001</c:v>
                </c:pt>
                <c:pt idx="51">
                  <c:v>7169894.7591530103</c:v>
                </c:pt>
                <c:pt idx="52">
                  <c:v>5019585.2252090201</c:v>
                </c:pt>
                <c:pt idx="53">
                  <c:v>6384574.6288096001</c:v>
                </c:pt>
                <c:pt idx="54">
                  <c:v>11287413.550995</c:v>
                </c:pt>
                <c:pt idx="55">
                  <c:v>22680172.710960101</c:v>
                </c:pt>
                <c:pt idx="56">
                  <c:v>12340740.140092099</c:v>
                </c:pt>
                <c:pt idx="57">
                  <c:v>8004914.9433829999</c:v>
                </c:pt>
                <c:pt idx="58">
                  <c:v>12670319.950875301</c:v>
                </c:pt>
                <c:pt idx="59">
                  <c:v>12410175.8702737</c:v>
                </c:pt>
                <c:pt idx="60">
                  <c:v>10418936.252577201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24-49D1-94E1-02F1C8C33FD1}"/>
            </c:ext>
          </c:extLst>
        </c:ser>
        <c:ser>
          <c:idx val="1"/>
          <c:order val="1"/>
          <c:xVal>
            <c:numRef>
              <c:f>[3]Wood!$B$66</c:f>
              <c:numCache>
                <c:formatCode>General</c:formatCode>
                <c:ptCount val="1"/>
                <c:pt idx="0">
                  <c:v>2024</c:v>
                </c:pt>
              </c:numCache>
            </c:numRef>
          </c:xVal>
          <c:yVal>
            <c:numRef>
              <c:f>[3]Wood!$C$66</c:f>
              <c:numCache>
                <c:formatCode>General</c:formatCode>
                <c:ptCount val="1"/>
                <c:pt idx="0">
                  <c:v>12276225.3959476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24-49D1-94E1-02F1C8C33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138624"/>
        <c:axId val="230140160"/>
      </c:scatterChart>
      <c:valAx>
        <c:axId val="230138624"/>
        <c:scaling>
          <c:orientation val="minMax"/>
          <c:min val="1960"/>
        </c:scaling>
        <c:delete val="0"/>
        <c:axPos val="b"/>
        <c:numFmt formatCode="General" sourceLinked="1"/>
        <c:majorTickMark val="out"/>
        <c:minorTickMark val="none"/>
        <c:tickLblPos val="nextTo"/>
        <c:crossAx val="230140160"/>
        <c:crosses val="autoZero"/>
        <c:crossBetween val="midCat"/>
      </c:valAx>
      <c:valAx>
        <c:axId val="230140160"/>
        <c:scaling>
          <c:logBase val="10"/>
          <c:orientation val="minMax"/>
          <c:min val="1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01386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Wood (Bristol Bay)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0"/>
            <c:dispEq val="1"/>
            <c:trendlineLbl>
              <c:layout>
                <c:manualLayout>
                  <c:x val="-0.27841945801790852"/>
                  <c:y val="0.28767174103237098"/>
                </c:manualLayout>
              </c:layout>
              <c:numFmt formatCode="General" sourceLinked="0"/>
            </c:trendlineLbl>
          </c:trendline>
          <c:xVal>
            <c:numRef>
              <c:f>[2]Wood!$B$41:$B$65</c:f>
              <c:numCache>
                <c:formatCode>General</c:formatCode>
                <c:ptCount val="25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</c:numCache>
            </c:numRef>
          </c:xVal>
          <c:yVal>
            <c:numRef>
              <c:f>[2]Wood!$D$41:$D$66</c:f>
              <c:numCache>
                <c:formatCode>General</c:formatCode>
                <c:ptCount val="26"/>
                <c:pt idx="0">
                  <c:v>15.817406825010497</c:v>
                </c:pt>
                <c:pt idx="1">
                  <c:v>15.69361872476656</c:v>
                </c:pt>
                <c:pt idx="2">
                  <c:v>15.351107848413564</c:v>
                </c:pt>
                <c:pt idx="3">
                  <c:v>15.16610560014024</c:v>
                </c:pt>
                <c:pt idx="4">
                  <c:v>15.645428026063836</c:v>
                </c:pt>
                <c:pt idx="5">
                  <c:v>15.676558961327684</c:v>
                </c:pt>
                <c:pt idx="6">
                  <c:v>15.587328242705313</c:v>
                </c:pt>
                <c:pt idx="7">
                  <c:v>16.352393971081504</c:v>
                </c:pt>
                <c:pt idx="8">
                  <c:v>15.868896002122698</c:v>
                </c:pt>
                <c:pt idx="9">
                  <c:v>15.73314515780091</c:v>
                </c:pt>
                <c:pt idx="10">
                  <c:v>15.713681766859033</c:v>
                </c:pt>
                <c:pt idx="11">
                  <c:v>15.99136018489091</c:v>
                </c:pt>
                <c:pt idx="12">
                  <c:v>15.414737695732008</c:v>
                </c:pt>
                <c:pt idx="13">
                  <c:v>14.808435854746689</c:v>
                </c:pt>
                <c:pt idx="14">
                  <c:v>15.005445773789971</c:v>
                </c:pt>
                <c:pt idx="15">
                  <c:v>15.785401534525684</c:v>
                </c:pt>
                <c:pt idx="16">
                  <c:v>15.428857863793969</c:v>
                </c:pt>
                <c:pt idx="17">
                  <c:v>15.6693954248395</c:v>
                </c:pt>
                <c:pt idx="18">
                  <c:v>16.23919881785147</c:v>
                </c:pt>
                <c:pt idx="19">
                  <c:v>16.937001651916528</c:v>
                </c:pt>
                <c:pt idx="20">
                  <c:v>16.328416553580624</c:v>
                </c:pt>
                <c:pt idx="21">
                  <c:v>15.895566278920274</c:v>
                </c:pt>
                <c:pt idx="22">
                  <c:v>16.354772804612679</c:v>
                </c:pt>
                <c:pt idx="23">
                  <c:v>16.334027328738205</c:v>
                </c:pt>
                <c:pt idx="24">
                  <c:v>16.159135501993532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5F-41B5-AB0A-43CDC3834489}"/>
            </c:ext>
          </c:extLst>
        </c:ser>
        <c:ser>
          <c:idx val="1"/>
          <c:order val="1"/>
          <c:tx>
            <c:v>Predicted</c:v>
          </c:tx>
          <c:marker>
            <c:symbol val="x"/>
            <c:size val="10"/>
            <c:spPr>
              <a:ln w="28575"/>
            </c:spPr>
          </c:marker>
          <c:xVal>
            <c:numRef>
              <c:f>[2]Wood!$B$67</c:f>
              <c:numCache>
                <c:formatCode>General</c:formatCode>
                <c:ptCount val="1"/>
                <c:pt idx="0">
                  <c:v>2025</c:v>
                </c:pt>
              </c:numCache>
            </c:numRef>
          </c:xVal>
          <c:yVal>
            <c:numRef>
              <c:f>[2]Wood!$D$67</c:f>
              <c:numCache>
                <c:formatCode>General</c:formatCode>
                <c:ptCount val="1"/>
                <c:pt idx="0">
                  <c:v>16.216999999999999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5F-41B5-AB0A-43CDC3834489}"/>
            </c:ext>
          </c:extLst>
        </c:ser>
        <c:ser>
          <c:idx val="2"/>
          <c:order val="2"/>
          <c:xVal>
            <c:numRef>
              <c:f>[3]Wood!$B$66</c:f>
              <c:numCache>
                <c:formatCode>General</c:formatCode>
                <c:ptCount val="1"/>
                <c:pt idx="0">
                  <c:v>2024</c:v>
                </c:pt>
              </c:numCache>
            </c:numRef>
          </c:xVal>
          <c:yVal>
            <c:numRef>
              <c:f>[3]Wood!$D$66</c:f>
              <c:numCache>
                <c:formatCode>General</c:formatCode>
                <c:ptCount val="1"/>
                <c:pt idx="0">
                  <c:v>16.323175055252751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5F-41B5-AB0A-43CDC3834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318464"/>
        <c:axId val="230320000"/>
      </c:scatterChart>
      <c:valAx>
        <c:axId val="230318464"/>
        <c:scaling>
          <c:orientation val="minMax"/>
          <c:min val="1995"/>
        </c:scaling>
        <c:delete val="0"/>
        <c:axPos val="b"/>
        <c:numFmt formatCode="General" sourceLinked="1"/>
        <c:majorTickMark val="out"/>
        <c:minorTickMark val="none"/>
        <c:tickLblPos val="nextTo"/>
        <c:crossAx val="230320000"/>
        <c:crosses val="autoZero"/>
        <c:crossBetween val="midCat"/>
      </c:valAx>
      <c:valAx>
        <c:axId val="230320000"/>
        <c:scaling>
          <c:orientation val="minMax"/>
          <c:min val="14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ln run 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03184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1.3s</a:t>
            </a:r>
            <a:r>
              <a:rPr lang="en-US" baseline="0"/>
              <a:t> from 1.2s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[3]Wood!$G$126:$G$151</c:f>
              <c:numCache>
                <c:formatCode>0</c:formatCode>
                <c:ptCount val="26"/>
                <c:pt idx="0">
                  <c:v>2990516.69954421</c:v>
                </c:pt>
                <c:pt idx="1">
                  <c:v>4452434.9381490601</c:v>
                </c:pt>
                <c:pt idx="2">
                  <c:v>3104643.3031303301</c:v>
                </c:pt>
                <c:pt idx="3">
                  <c:v>204615.171809202</c:v>
                </c:pt>
                <c:pt idx="4">
                  <c:v>3038333.5432707998</c:v>
                </c:pt>
                <c:pt idx="5">
                  <c:v>2291699.7375729899</c:v>
                </c:pt>
                <c:pt idx="6">
                  <c:v>3280705.3694885499</c:v>
                </c:pt>
                <c:pt idx="7">
                  <c:v>2176259.1366582098</c:v>
                </c:pt>
                <c:pt idx="8">
                  <c:v>5937283.8844685601</c:v>
                </c:pt>
                <c:pt idx="9">
                  <c:v>5350245.6115471805</c:v>
                </c:pt>
                <c:pt idx="10">
                  <c:v>3914076.5245426102</c:v>
                </c:pt>
                <c:pt idx="11">
                  <c:v>2515742.9766102601</c:v>
                </c:pt>
                <c:pt idx="12">
                  <c:v>4545899.6007836303</c:v>
                </c:pt>
                <c:pt idx="13">
                  <c:v>1466827.1764191701</c:v>
                </c:pt>
                <c:pt idx="14">
                  <c:v>1307145.7597490901</c:v>
                </c:pt>
                <c:pt idx="15">
                  <c:v>1383003.7879312499</c:v>
                </c:pt>
                <c:pt idx="16">
                  <c:v>4798046.7895628698</c:v>
                </c:pt>
                <c:pt idx="17">
                  <c:v>2666460.3514589602</c:v>
                </c:pt>
                <c:pt idx="18">
                  <c:v>3133423.0966978902</c:v>
                </c:pt>
                <c:pt idx="19">
                  <c:v>9677409.9931780808</c:v>
                </c:pt>
                <c:pt idx="20">
                  <c:v>20246491.971511599</c:v>
                </c:pt>
                <c:pt idx="21">
                  <c:v>8064807.00764855</c:v>
                </c:pt>
                <c:pt idx="22">
                  <c:v>5724076.3761257296</c:v>
                </c:pt>
                <c:pt idx="23">
                  <c:v>11139832.2127566</c:v>
                </c:pt>
                <c:pt idx="24">
                  <c:v>7504564.42223249</c:v>
                </c:pt>
                <c:pt idx="25">
                  <c:v>3376878.58960114</c:v>
                </c:pt>
              </c:numCache>
            </c:numRef>
          </c:xVal>
          <c:yVal>
            <c:numRef>
              <c:f>[3]Wood!$H$127:$H$152</c:f>
              <c:numCache>
                <c:formatCode>0</c:formatCode>
                <c:ptCount val="26"/>
                <c:pt idx="0">
                  <c:v>2383373.9596454301</c:v>
                </c:pt>
                <c:pt idx="1">
                  <c:v>3217087.0279288702</c:v>
                </c:pt>
                <c:pt idx="2">
                  <c:v>4383745.4472119203</c:v>
                </c:pt>
                <c:pt idx="3">
                  <c:v>584427.04651197605</c:v>
                </c:pt>
                <c:pt idx="4">
                  <c:v>3535682.5047206902</c:v>
                </c:pt>
                <c:pt idx="5">
                  <c:v>2609498.7495521898</c:v>
                </c:pt>
                <c:pt idx="6">
                  <c:v>3230094.2206703299</c:v>
                </c:pt>
                <c:pt idx="7">
                  <c:v>5495801.1794883199</c:v>
                </c:pt>
                <c:pt idx="8">
                  <c:v>2121062.9563350701</c:v>
                </c:pt>
                <c:pt idx="9">
                  <c:v>2811164.2941113398</c:v>
                </c:pt>
                <c:pt idx="10">
                  <c:v>3867602.6482008598</c:v>
                </c:pt>
                <c:pt idx="11">
                  <c:v>3860079.3001357899</c:v>
                </c:pt>
                <c:pt idx="12">
                  <c:v>3188317.58366476</c:v>
                </c:pt>
                <c:pt idx="13">
                  <c:v>1145264.91041637</c:v>
                </c:pt>
                <c:pt idx="14">
                  <c:v>1776719.8537941801</c:v>
                </c:pt>
                <c:pt idx="15">
                  <c:v>2057086.5729716399</c:v>
                </c:pt>
                <c:pt idx="16">
                  <c:v>1989083.3485011801</c:v>
                </c:pt>
                <c:pt idx="17">
                  <c:v>2859736.7463922598</c:v>
                </c:pt>
                <c:pt idx="18">
                  <c:v>1384225.7976698701</c:v>
                </c:pt>
                <c:pt idx="19">
                  <c:v>2368581.2708852701</c:v>
                </c:pt>
                <c:pt idx="20">
                  <c:v>3790598.52063182</c:v>
                </c:pt>
                <c:pt idx="21">
                  <c:v>2193179.1436145101</c:v>
                </c:pt>
                <c:pt idx="22">
                  <c:v>1013268.72333528</c:v>
                </c:pt>
                <c:pt idx="23">
                  <c:v>3475376.73603094</c:v>
                </c:pt>
                <c:pt idx="24">
                  <c:v>5551956.4523559501</c:v>
                </c:pt>
                <c:pt idx="25">
                  <c:v>1458592.1096781599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FC-49CF-B806-7F614BC21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919551"/>
        <c:axId val="1522931071"/>
      </c:scatterChart>
      <c:valAx>
        <c:axId val="152291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31071"/>
        <c:crosses val="autoZero"/>
        <c:crossBetween val="midCat"/>
      </c:valAx>
      <c:valAx>
        <c:axId val="152293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1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1.3s</a:t>
            </a:r>
            <a:r>
              <a:rPr lang="en-US" baseline="0"/>
              <a:t> from 1.2s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35701049868766405"/>
                  <c:y val="1.38888888888888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[3]Wood!$G$126:$G$151</c:f>
              <c:numCache>
                <c:formatCode>0</c:formatCode>
                <c:ptCount val="26"/>
                <c:pt idx="0">
                  <c:v>2990516.69954421</c:v>
                </c:pt>
                <c:pt idx="1">
                  <c:v>4452434.9381490601</c:v>
                </c:pt>
                <c:pt idx="2">
                  <c:v>3104643.3031303301</c:v>
                </c:pt>
                <c:pt idx="3">
                  <c:v>204615.171809202</c:v>
                </c:pt>
                <c:pt idx="4">
                  <c:v>3038333.5432707998</c:v>
                </c:pt>
                <c:pt idx="5">
                  <c:v>2291699.7375729899</c:v>
                </c:pt>
                <c:pt idx="6">
                  <c:v>3280705.3694885499</c:v>
                </c:pt>
                <c:pt idx="7">
                  <c:v>2176259.1366582098</c:v>
                </c:pt>
                <c:pt idx="8">
                  <c:v>5937283.8844685601</c:v>
                </c:pt>
                <c:pt idx="9">
                  <c:v>5350245.6115471805</c:v>
                </c:pt>
                <c:pt idx="10">
                  <c:v>3914076.5245426102</c:v>
                </c:pt>
                <c:pt idx="11">
                  <c:v>2515742.9766102601</c:v>
                </c:pt>
                <c:pt idx="12">
                  <c:v>4545899.6007836303</c:v>
                </c:pt>
                <c:pt idx="13">
                  <c:v>1466827.1764191701</c:v>
                </c:pt>
                <c:pt idx="14">
                  <c:v>1307145.7597490901</c:v>
                </c:pt>
                <c:pt idx="15">
                  <c:v>1383003.7879312499</c:v>
                </c:pt>
                <c:pt idx="16">
                  <c:v>4798046.7895628698</c:v>
                </c:pt>
                <c:pt idx="17">
                  <c:v>2666460.3514589602</c:v>
                </c:pt>
                <c:pt idx="18">
                  <c:v>3133423.0966978902</c:v>
                </c:pt>
                <c:pt idx="19">
                  <c:v>9677409.9931780808</c:v>
                </c:pt>
                <c:pt idx="20">
                  <c:v>20246491.971511599</c:v>
                </c:pt>
                <c:pt idx="21">
                  <c:v>8064807.00764855</c:v>
                </c:pt>
                <c:pt idx="22">
                  <c:v>5724076.3761257296</c:v>
                </c:pt>
                <c:pt idx="23">
                  <c:v>11139832.2127566</c:v>
                </c:pt>
                <c:pt idx="24">
                  <c:v>7504564.42223249</c:v>
                </c:pt>
                <c:pt idx="25">
                  <c:v>3376878.58960114</c:v>
                </c:pt>
              </c:numCache>
            </c:numRef>
          </c:xVal>
          <c:yVal>
            <c:numRef>
              <c:f>[3]Wood!$H$127:$H$152</c:f>
              <c:numCache>
                <c:formatCode>0</c:formatCode>
                <c:ptCount val="26"/>
                <c:pt idx="0">
                  <c:v>2383373.9596454301</c:v>
                </c:pt>
                <c:pt idx="1">
                  <c:v>3217087.0279288702</c:v>
                </c:pt>
                <c:pt idx="2">
                  <c:v>4383745.4472119203</c:v>
                </c:pt>
                <c:pt idx="3">
                  <c:v>584427.04651197605</c:v>
                </c:pt>
                <c:pt idx="4">
                  <c:v>3535682.5047206902</c:v>
                </c:pt>
                <c:pt idx="5">
                  <c:v>2609498.7495521898</c:v>
                </c:pt>
                <c:pt idx="6">
                  <c:v>3230094.2206703299</c:v>
                </c:pt>
                <c:pt idx="7">
                  <c:v>5495801.1794883199</c:v>
                </c:pt>
                <c:pt idx="8">
                  <c:v>2121062.9563350701</c:v>
                </c:pt>
                <c:pt idx="9">
                  <c:v>2811164.2941113398</c:v>
                </c:pt>
                <c:pt idx="10">
                  <c:v>3867602.6482008598</c:v>
                </c:pt>
                <c:pt idx="11">
                  <c:v>3860079.3001357899</c:v>
                </c:pt>
                <c:pt idx="12">
                  <c:v>3188317.58366476</c:v>
                </c:pt>
                <c:pt idx="13">
                  <c:v>1145264.91041637</c:v>
                </c:pt>
                <c:pt idx="14">
                  <c:v>1776719.8537941801</c:v>
                </c:pt>
                <c:pt idx="15">
                  <c:v>2057086.5729716399</c:v>
                </c:pt>
                <c:pt idx="16">
                  <c:v>1989083.3485011801</c:v>
                </c:pt>
                <c:pt idx="17">
                  <c:v>2859736.7463922598</c:v>
                </c:pt>
                <c:pt idx="18">
                  <c:v>1384225.7976698701</c:v>
                </c:pt>
                <c:pt idx="19">
                  <c:v>2368581.2708852701</c:v>
                </c:pt>
                <c:pt idx="20">
                  <c:v>3790598.52063182</c:v>
                </c:pt>
                <c:pt idx="21">
                  <c:v>2193179.1436145101</c:v>
                </c:pt>
                <c:pt idx="22">
                  <c:v>1013268.72333528</c:v>
                </c:pt>
                <c:pt idx="23">
                  <c:v>3475376.73603094</c:v>
                </c:pt>
                <c:pt idx="24">
                  <c:v>5551956.4523559501</c:v>
                </c:pt>
                <c:pt idx="25">
                  <c:v>1458592.1096781599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65-4BD1-A4C3-8D5DA8AEC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919551"/>
        <c:axId val="1522931071"/>
      </c:scatterChart>
      <c:valAx>
        <c:axId val="1522919551"/>
        <c:scaling>
          <c:logBase val="10"/>
          <c:orientation val="minMax"/>
          <c:min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31071"/>
        <c:crosses val="autoZero"/>
        <c:crossBetween val="midCat"/>
      </c:valAx>
      <c:valAx>
        <c:axId val="1522931071"/>
        <c:scaling>
          <c:logBase val="10"/>
          <c:orientation val="minMax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1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1.2s</a:t>
            </a:r>
            <a:r>
              <a:rPr lang="en-US" baseline="0"/>
              <a:t> from 1.1s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1722856517935257"/>
                  <c:y val="-6.8238188976377914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[3]Wood!$F$129:$F$151</c:f>
              <c:numCache>
                <c:formatCode>0</c:formatCode>
                <c:ptCount val="23"/>
                <c:pt idx="0">
                  <c:v>2776.4690439871601</c:v>
                </c:pt>
                <c:pt idx="1">
                  <c:v>725.24908437512602</c:v>
                </c:pt>
                <c:pt idx="2">
                  <c:v>4296.8636813708999</c:v>
                </c:pt>
                <c:pt idx="3">
                  <c:v>0</c:v>
                </c:pt>
                <c:pt idx="4">
                  <c:v>44385.763239694999</c:v>
                </c:pt>
                <c:pt idx="5">
                  <c:v>4139.7483318812401</c:v>
                </c:pt>
                <c:pt idx="6">
                  <c:v>10784.4738201332</c:v>
                </c:pt>
                <c:pt idx="7">
                  <c:v>2.0519278271612899E-8</c:v>
                </c:pt>
                <c:pt idx="8">
                  <c:v>40677.033473201103</c:v>
                </c:pt>
                <c:pt idx="9">
                  <c:v>2505.6877592648998</c:v>
                </c:pt>
                <c:pt idx="10">
                  <c:v>2.26823960305547E-7</c:v>
                </c:pt>
                <c:pt idx="11">
                  <c:v>1790.4988373393601</c:v>
                </c:pt>
                <c:pt idx="12">
                  <c:v>41826.111089992199</c:v>
                </c:pt>
                <c:pt idx="13">
                  <c:v>10412.322992723501</c:v>
                </c:pt>
                <c:pt idx="14">
                  <c:v>77215.247770754402</c:v>
                </c:pt>
                <c:pt idx="15">
                  <c:v>207823.49008528501</c:v>
                </c:pt>
                <c:pt idx="16">
                  <c:v>163320.939223872</c:v>
                </c:pt>
                <c:pt idx="17">
                  <c:v>3.6368147328297598E-9</c:v>
                </c:pt>
                <c:pt idx="18">
                  <c:v>87517.701509469203</c:v>
                </c:pt>
                <c:pt idx="19">
                  <c:v>36289.0241619886</c:v>
                </c:pt>
                <c:pt idx="20">
                  <c:v>8527.0164497954993</c:v>
                </c:pt>
                <c:pt idx="21">
                  <c:v>7208.0864472179201</c:v>
                </c:pt>
                <c:pt idx="22">
                  <c:v>61995.910249144901</c:v>
                </c:pt>
              </c:numCache>
            </c:numRef>
          </c:xVal>
          <c:yVal>
            <c:numRef>
              <c:f>[3]Wood!$G$130:$G$152</c:f>
              <c:numCache>
                <c:formatCode>0</c:formatCode>
                <c:ptCount val="23"/>
                <c:pt idx="0">
                  <c:v>3038333.5432707998</c:v>
                </c:pt>
                <c:pt idx="1">
                  <c:v>2291699.7375729899</c:v>
                </c:pt>
                <c:pt idx="2">
                  <c:v>3280705.3694885499</c:v>
                </c:pt>
                <c:pt idx="3">
                  <c:v>2176259.1366582098</c:v>
                </c:pt>
                <c:pt idx="4">
                  <c:v>5937283.8844685601</c:v>
                </c:pt>
                <c:pt idx="5">
                  <c:v>5350245.6115471805</c:v>
                </c:pt>
                <c:pt idx="6">
                  <c:v>3914076.5245426102</c:v>
                </c:pt>
                <c:pt idx="7">
                  <c:v>2515742.9766102601</c:v>
                </c:pt>
                <c:pt idx="8">
                  <c:v>4545899.6007836303</c:v>
                </c:pt>
                <c:pt idx="9">
                  <c:v>1466827.1764191701</c:v>
                </c:pt>
                <c:pt idx="10">
                  <c:v>1307145.7597490901</c:v>
                </c:pt>
                <c:pt idx="11">
                  <c:v>1383003.7879312499</c:v>
                </c:pt>
                <c:pt idx="12">
                  <c:v>4798046.7895628698</c:v>
                </c:pt>
                <c:pt idx="13">
                  <c:v>2666460.3514589602</c:v>
                </c:pt>
                <c:pt idx="14">
                  <c:v>3133423.0966978902</c:v>
                </c:pt>
                <c:pt idx="15">
                  <c:v>9677409.9931780808</c:v>
                </c:pt>
                <c:pt idx="16">
                  <c:v>20246491.971511599</c:v>
                </c:pt>
                <c:pt idx="17">
                  <c:v>8064807.00764855</c:v>
                </c:pt>
                <c:pt idx="18">
                  <c:v>5724076.3761257296</c:v>
                </c:pt>
                <c:pt idx="19">
                  <c:v>11139832.2127566</c:v>
                </c:pt>
                <c:pt idx="20">
                  <c:v>7504564.42223249</c:v>
                </c:pt>
                <c:pt idx="21">
                  <c:v>3376878.58960114</c:v>
                </c:pt>
                <c:pt idx="22">
                  <c:v>10251697.204271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0A-44DE-80C2-DD01DF2CE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919551"/>
        <c:axId val="1522931071"/>
      </c:scatterChart>
      <c:valAx>
        <c:axId val="152291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31071"/>
        <c:crosses val="autoZero"/>
        <c:crossBetween val="midCat"/>
      </c:valAx>
      <c:valAx>
        <c:axId val="152293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1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openxmlformats.org/officeDocument/2006/relationships/chart" Target="../charts/chart4.xm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chart" Target="../charts/chart5.xm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11</xdr:row>
      <xdr:rowOff>52387</xdr:rowOff>
    </xdr:from>
    <xdr:to>
      <xdr:col>18</xdr:col>
      <xdr:colOff>323850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84E914-0D0A-422B-81C2-3FDD2ADB1B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11</xdr:row>
      <xdr:rowOff>52387</xdr:rowOff>
    </xdr:from>
    <xdr:to>
      <xdr:col>18</xdr:col>
      <xdr:colOff>323850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A0422E-72F0-4523-BFE7-A3F5615D1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19050</xdr:colOff>
      <xdr:row>26</xdr:row>
      <xdr:rowOff>4762</xdr:rowOff>
    </xdr:from>
    <xdr:to>
      <xdr:col>18</xdr:col>
      <xdr:colOff>323850</xdr:colOff>
      <xdr:row>40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C3F149-5045-ED9A-30C1-5265FFA24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311293</xdr:colOff>
      <xdr:row>15</xdr:row>
      <xdr:rowOff>88631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0C30E1-F76F-6463-97B9-732C47AD3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4578493" cy="275563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18</xdr:col>
      <xdr:colOff>304800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536B21D-1526-4226-AD27-2AEDEA26C2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20</xdr:row>
      <xdr:rowOff>0</xdr:rowOff>
    </xdr:from>
    <xdr:to>
      <xdr:col>8</xdr:col>
      <xdr:colOff>311293</xdr:colOff>
      <xdr:row>34</xdr:row>
      <xdr:rowOff>41006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8758A10-DC7E-F5D3-6BEE-75446ADFB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3810000"/>
          <a:ext cx="4578493" cy="27556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18</xdr:col>
      <xdr:colOff>311293</xdr:colOff>
      <xdr:row>34</xdr:row>
      <xdr:rowOff>41006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13DEE61-6BD1-E1FD-F5B2-B75262477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05600" y="3810000"/>
          <a:ext cx="4578493" cy="2755631"/>
        </a:xfrm>
        <a:prstGeom prst="rect">
          <a:avLst/>
        </a:prstGeom>
      </xdr:spPr>
    </xdr:pic>
    <xdr:clientData/>
  </xdr:twoCellAnchor>
  <xdr:twoCellAnchor>
    <xdr:from>
      <xdr:col>26</xdr:col>
      <xdr:colOff>290512</xdr:colOff>
      <xdr:row>36</xdr:row>
      <xdr:rowOff>166687</xdr:rowOff>
    </xdr:from>
    <xdr:to>
      <xdr:col>33</xdr:col>
      <xdr:colOff>595312</xdr:colOff>
      <xdr:row>51</xdr:row>
      <xdr:rowOff>52387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94D3F44-08DF-7C0A-0D07-314188A65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600075</xdr:colOff>
      <xdr:row>56</xdr:row>
      <xdr:rowOff>0</xdr:rowOff>
    </xdr:from>
    <xdr:to>
      <xdr:col>8</xdr:col>
      <xdr:colOff>301768</xdr:colOff>
      <xdr:row>70</xdr:row>
      <xdr:rowOff>60056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3444CB9-ED36-4F51-0629-1FB3B9E79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075" y="8248650"/>
          <a:ext cx="4578493" cy="27556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56</xdr:row>
      <xdr:rowOff>0</xdr:rowOff>
    </xdr:from>
    <xdr:to>
      <xdr:col>18</xdr:col>
      <xdr:colOff>311293</xdr:colOff>
      <xdr:row>70</xdr:row>
      <xdr:rowOff>60056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576333E-2DDD-AAAA-520A-A6A4BC55D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05600" y="8248650"/>
          <a:ext cx="4578493" cy="2755631"/>
        </a:xfrm>
        <a:prstGeom prst="rect">
          <a:avLst/>
        </a:prstGeom>
      </xdr:spPr>
    </xdr:pic>
    <xdr:clientData/>
  </xdr:twoCellAnchor>
  <xdr:twoCellAnchor>
    <xdr:from>
      <xdr:col>27</xdr:col>
      <xdr:colOff>0</xdr:colOff>
      <xdr:row>82</xdr:row>
      <xdr:rowOff>0</xdr:rowOff>
    </xdr:from>
    <xdr:to>
      <xdr:col>34</xdr:col>
      <xdr:colOff>304800</xdr:colOff>
      <xdr:row>96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9FE9A33-BBF8-4780-8824-08A2373EBC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67</xdr:row>
      <xdr:rowOff>118110</xdr:rowOff>
    </xdr:from>
    <xdr:to>
      <xdr:col>8</xdr:col>
      <xdr:colOff>327660</xdr:colOff>
      <xdr:row>82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16307C-28E1-4F8D-AA2D-38A1F5962E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67</xdr:row>
      <xdr:rowOff>0</xdr:rowOff>
    </xdr:from>
    <xdr:to>
      <xdr:col>16</xdr:col>
      <xdr:colOff>304800</xdr:colOff>
      <xdr:row>82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EF32CD-03B6-4BEC-B170-A79708B79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118</xdr:row>
      <xdr:rowOff>0</xdr:rowOff>
    </xdr:from>
    <xdr:to>
      <xdr:col>2</xdr:col>
      <xdr:colOff>304800</xdr:colOff>
      <xdr:row>119</xdr:row>
      <xdr:rowOff>121920</xdr:rowOff>
    </xdr:to>
    <xdr:sp macro="" textlink="">
      <xdr:nvSpPr>
        <xdr:cNvPr id="4" name="AutoShape 2" descr="researchgate.net">
          <a:extLst>
            <a:ext uri="{FF2B5EF4-FFF2-40B4-BE49-F238E27FC236}">
              <a16:creationId xmlns:a16="http://schemas.microsoft.com/office/drawing/2014/main" id="{E095B53E-DA33-4853-B4E7-A45002F56FA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48852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118</xdr:row>
      <xdr:rowOff>0</xdr:rowOff>
    </xdr:from>
    <xdr:to>
      <xdr:col>2</xdr:col>
      <xdr:colOff>304800</xdr:colOff>
      <xdr:row>119</xdr:row>
      <xdr:rowOff>121920</xdr:rowOff>
    </xdr:to>
    <xdr:sp macro="" textlink="">
      <xdr:nvSpPr>
        <xdr:cNvPr id="5" name="AutoShape 3" descr="researchgate.net">
          <a:extLst>
            <a:ext uri="{FF2B5EF4-FFF2-40B4-BE49-F238E27FC236}">
              <a16:creationId xmlns:a16="http://schemas.microsoft.com/office/drawing/2014/main" id="{E66732D0-1CDC-4A37-AD34-AFAC29DDE38B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2488525"/>
          <a:ext cx="304800" cy="31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67</xdr:row>
      <xdr:rowOff>0</xdr:rowOff>
    </xdr:from>
    <xdr:to>
      <xdr:col>24</xdr:col>
      <xdr:colOff>472440</xdr:colOff>
      <xdr:row>82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E31C7A-6C3D-4783-AA93-EA97AC216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323850</xdr:colOff>
      <xdr:row>74</xdr:row>
      <xdr:rowOff>171450</xdr:rowOff>
    </xdr:from>
    <xdr:to>
      <xdr:col>22</xdr:col>
      <xdr:colOff>95250</xdr:colOff>
      <xdr:row>76</xdr:row>
      <xdr:rowOff>133350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10319BAF-FC54-4601-B02B-5633317BCD9B}"/>
            </a:ext>
          </a:extLst>
        </xdr:cNvPr>
        <xdr:cNvSpPr/>
      </xdr:nvSpPr>
      <xdr:spPr>
        <a:xfrm>
          <a:off x="13820775" y="14277975"/>
          <a:ext cx="390525" cy="342900"/>
        </a:xfrm>
        <a:prstGeom prst="ellipse">
          <a:avLst/>
        </a:prstGeom>
        <a:noFill/>
        <a:ln w="2540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123826</xdr:colOff>
      <xdr:row>75</xdr:row>
      <xdr:rowOff>95250</xdr:rowOff>
    </xdr:from>
    <xdr:to>
      <xdr:col>24</xdr:col>
      <xdr:colOff>47625</xdr:colOff>
      <xdr:row>77</xdr:row>
      <xdr:rowOff>152400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44F73EF-0602-46D7-BBD7-B3FDC3FF373F}"/>
            </a:ext>
          </a:extLst>
        </xdr:cNvPr>
        <xdr:cNvSpPr txBox="1"/>
      </xdr:nvSpPr>
      <xdr:spPr>
        <a:xfrm>
          <a:off x="14239876" y="14392275"/>
          <a:ext cx="1152524" cy="438150"/>
        </a:xfrm>
        <a:prstGeom prst="rect">
          <a:avLst/>
        </a:prstGeom>
        <a:solidFill>
          <a:schemeClr val="lt1"/>
        </a:solidFill>
        <a:ln w="12700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00B050"/>
              </a:solidFill>
            </a:rPr>
            <a:t>No effect of previous El Nino</a:t>
          </a:r>
        </a:p>
      </xdr:txBody>
    </xdr:sp>
    <xdr:clientData/>
  </xdr:twoCellAnchor>
  <xdr:twoCellAnchor>
    <xdr:from>
      <xdr:col>0</xdr:col>
      <xdr:colOff>581025</xdr:colOff>
      <xdr:row>157</xdr:row>
      <xdr:rowOff>4762</xdr:rowOff>
    </xdr:from>
    <xdr:to>
      <xdr:col>8</xdr:col>
      <xdr:colOff>257175</xdr:colOff>
      <xdr:row>171</xdr:row>
      <xdr:rowOff>80962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767FBCD-83FA-4EF4-A10D-8846FAFC1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157</xdr:row>
      <xdr:rowOff>0</xdr:rowOff>
    </xdr:from>
    <xdr:to>
      <xdr:col>15</xdr:col>
      <xdr:colOff>571500</xdr:colOff>
      <xdr:row>171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62D48F7-5ECF-472D-8495-4940001FF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177</xdr:row>
      <xdr:rowOff>0</xdr:rowOff>
    </xdr:from>
    <xdr:to>
      <xdr:col>8</xdr:col>
      <xdr:colOff>285750</xdr:colOff>
      <xdr:row>191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4650F4B-1541-4097-B6A8-0D057DBD2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mac\OneDrive\Desktop\pacea.xlsx" TargetMode="External"/><Relationship Id="rId1" Type="http://schemas.openxmlformats.org/officeDocument/2006/relationships/externalLinkPath" Target="file:///C:\Users\abmac\OneDrive\Desktop\pace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ec&amp;BarbsFiles\Alec\AlecScience\SalmonPrize\2024RevisedData\ORGFinalSpreadsheets\Wood.xlsx" TargetMode="External"/><Relationship Id="rId1" Type="http://schemas.openxmlformats.org/officeDocument/2006/relationships/externalLinkPath" Target="/Alec&amp;BarbsFiles/Alec/AlecScience/SalmonPrize/2024RevisedData/ORGFinalSpreadsheets/Woo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lec&amp;BarbsFiles\Alec\AlecScience\SalmonPrize\2025Prize\bristolbay\BristolBayPreds2025.xlsx" TargetMode="External"/><Relationship Id="rId1" Type="http://schemas.openxmlformats.org/officeDocument/2006/relationships/externalLinkPath" Target="/Alec&amp;BarbsFiles/Alec/AlecScience/SalmonPrize/2025Prize/bristolbay/BristolBayPreds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cea-all"/>
      <sheetName val="shortened"/>
      <sheetName val="envdata"/>
      <sheetName val="CorTemplate"/>
      <sheetName val="results"/>
    </sheetNames>
    <sheetDataSet>
      <sheetData sheetId="0"/>
      <sheetData sheetId="1"/>
      <sheetData sheetId="2"/>
      <sheetData sheetId="3">
        <row r="5">
          <cell r="G5">
            <v>0.23250220767595539</v>
          </cell>
          <cell r="H5">
            <v>0.19418495737894026</v>
          </cell>
          <cell r="I5">
            <v>0.24480962492282948</v>
          </cell>
          <cell r="J5">
            <v>0.17223421523244936</v>
          </cell>
          <cell r="K5">
            <v>0.11419906818918081</v>
          </cell>
          <cell r="L5">
            <v>0.2579026753096561</v>
          </cell>
          <cell r="M5">
            <v>0.26056933640280466</v>
          </cell>
          <cell r="N5">
            <v>0.24317859814811771</v>
          </cell>
          <cell r="O5">
            <v>0.23271882222679649</v>
          </cell>
          <cell r="P5">
            <v>0.17939586977624172</v>
          </cell>
          <cell r="Q5">
            <v>0.27123117035787181</v>
          </cell>
          <cell r="R5">
            <v>0.3469047226065855</v>
          </cell>
          <cell r="S5">
            <v>0.45182068630319128</v>
          </cell>
          <cell r="T5">
            <v>0.3543722913029112</v>
          </cell>
          <cell r="U5">
            <v>0.31166290284756998</v>
          </cell>
          <cell r="V5">
            <v>0.33848075225612756</v>
          </cell>
          <cell r="W5">
            <v>0.24207065961206078</v>
          </cell>
          <cell r="X5">
            <v>0.31421534896795322</v>
          </cell>
          <cell r="Y5">
            <v>0.30173361634459944</v>
          </cell>
          <cell r="Z5">
            <v>0.34342066892694806</v>
          </cell>
          <cell r="AA5">
            <v>0.42605006226399789</v>
          </cell>
          <cell r="AB5">
            <v>0.39924915484704404</v>
          </cell>
          <cell r="AC5">
            <v>0.43677137512519842</v>
          </cell>
          <cell r="AD5">
            <v>0.4903756416006595</v>
          </cell>
          <cell r="AE5">
            <v>0.50357718221028069</v>
          </cell>
          <cell r="AF5">
            <v>0.43642354299234865</v>
          </cell>
          <cell r="AG5">
            <v>0.39491334064319572</v>
          </cell>
          <cell r="AH5">
            <v>0.29168503619934993</v>
          </cell>
          <cell r="AI5">
            <v>0.18503545015297554</v>
          </cell>
          <cell r="AJ5">
            <v>0.18322866013093492</v>
          </cell>
          <cell r="AK5">
            <v>0.25986778197339788</v>
          </cell>
          <cell r="AL5">
            <v>0.25351675175491994</v>
          </cell>
          <cell r="AM5">
            <v>0.26279699201785972</v>
          </cell>
          <cell r="AN5">
            <v>0.17064659271504912</v>
          </cell>
          <cell r="AO5">
            <v>0.20698505503636089</v>
          </cell>
          <cell r="AP5">
            <v>0.24515131019009903</v>
          </cell>
          <cell r="AQ5">
            <v>0.29944273231912383</v>
          </cell>
          <cell r="AR5">
            <v>0.33275297769843593</v>
          </cell>
          <cell r="AS5">
            <v>0.34778786657765137</v>
          </cell>
          <cell r="AT5">
            <v>0.40682254126251965</v>
          </cell>
          <cell r="AU5">
            <v>0.27106768349346116</v>
          </cell>
        </row>
        <row r="7">
          <cell r="G7">
            <v>0</v>
          </cell>
          <cell r="H7">
            <v>-1</v>
          </cell>
          <cell r="I7">
            <v>-2</v>
          </cell>
          <cell r="J7">
            <v>-3</v>
          </cell>
          <cell r="K7">
            <v>-4</v>
          </cell>
          <cell r="L7">
            <v>-5</v>
          </cell>
          <cell r="M7">
            <v>-6</v>
          </cell>
          <cell r="N7">
            <v>-7</v>
          </cell>
          <cell r="O7">
            <v>-8</v>
          </cell>
          <cell r="P7">
            <v>-9</v>
          </cell>
          <cell r="Q7">
            <v>-10</v>
          </cell>
          <cell r="R7">
            <v>-11</v>
          </cell>
          <cell r="S7">
            <v>-12</v>
          </cell>
          <cell r="T7">
            <v>-13</v>
          </cell>
          <cell r="U7">
            <v>-14</v>
          </cell>
          <cell r="V7">
            <v>-15</v>
          </cell>
          <cell r="W7">
            <v>-16</v>
          </cell>
          <cell r="X7">
            <v>-17</v>
          </cell>
          <cell r="Y7">
            <v>-18</v>
          </cell>
          <cell r="Z7">
            <v>-19</v>
          </cell>
          <cell r="AA7">
            <v>-20</v>
          </cell>
          <cell r="AB7">
            <v>-21</v>
          </cell>
          <cell r="AC7">
            <v>-22</v>
          </cell>
          <cell r="AD7">
            <v>-23</v>
          </cell>
          <cell r="AE7">
            <v>-24</v>
          </cell>
          <cell r="AF7">
            <v>-25</v>
          </cell>
          <cell r="AG7">
            <v>-26</v>
          </cell>
          <cell r="AH7">
            <v>-27</v>
          </cell>
          <cell r="AI7">
            <v>-28</v>
          </cell>
          <cell r="AJ7">
            <v>-29</v>
          </cell>
          <cell r="AK7">
            <v>-30</v>
          </cell>
          <cell r="AL7">
            <v>-31</v>
          </cell>
          <cell r="AM7">
            <v>-32</v>
          </cell>
          <cell r="AN7">
            <v>-33</v>
          </cell>
          <cell r="AO7">
            <v>-34</v>
          </cell>
          <cell r="AP7">
            <v>-35</v>
          </cell>
          <cell r="AQ7">
            <v>-36</v>
          </cell>
          <cell r="AR7">
            <v>-37</v>
          </cell>
          <cell r="AS7">
            <v>-38</v>
          </cell>
          <cell r="AT7">
            <v>-39</v>
          </cell>
          <cell r="AU7">
            <v>-40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od"/>
    </sheetNames>
    <sheetDataSet>
      <sheetData sheetId="0">
        <row r="5">
          <cell r="B5">
            <v>1963</v>
          </cell>
          <cell r="C5">
            <v>1597997.2654610099</v>
          </cell>
        </row>
        <row r="6">
          <cell r="B6">
            <v>1964</v>
          </cell>
          <cell r="C6">
            <v>2413804.47874837</v>
          </cell>
        </row>
        <row r="7">
          <cell r="B7">
            <v>1965</v>
          </cell>
          <cell r="C7">
            <v>1302507.0925453999</v>
          </cell>
        </row>
        <row r="8">
          <cell r="B8">
            <v>1966</v>
          </cell>
          <cell r="C8">
            <v>2500620.8895489201</v>
          </cell>
        </row>
        <row r="9">
          <cell r="B9">
            <v>1967</v>
          </cell>
          <cell r="C9">
            <v>1150410.2061982199</v>
          </cell>
        </row>
        <row r="10">
          <cell r="B10">
            <v>1968</v>
          </cell>
          <cell r="C10">
            <v>1547964.8904021999</v>
          </cell>
        </row>
        <row r="11">
          <cell r="B11">
            <v>1969</v>
          </cell>
          <cell r="C11">
            <v>1351285.1733454</v>
          </cell>
        </row>
        <row r="12">
          <cell r="B12">
            <v>1970</v>
          </cell>
          <cell r="C12">
            <v>2238536.8513556099</v>
          </cell>
        </row>
        <row r="13">
          <cell r="B13">
            <v>1971</v>
          </cell>
          <cell r="C13">
            <v>2063662.4618698</v>
          </cell>
        </row>
        <row r="14">
          <cell r="B14">
            <v>1972</v>
          </cell>
          <cell r="C14">
            <v>998549.90867300006</v>
          </cell>
        </row>
        <row r="15">
          <cell r="B15">
            <v>1973</v>
          </cell>
          <cell r="C15">
            <v>735060.42099890695</v>
          </cell>
        </row>
        <row r="16">
          <cell r="B16">
            <v>1974</v>
          </cell>
          <cell r="C16">
            <v>2244579.1680520098</v>
          </cell>
        </row>
        <row r="17">
          <cell r="B17">
            <v>1975</v>
          </cell>
          <cell r="C17">
            <v>1773846.772266</v>
          </cell>
        </row>
        <row r="18">
          <cell r="B18">
            <v>1976</v>
          </cell>
          <cell r="C18">
            <v>1711906.9725213</v>
          </cell>
        </row>
        <row r="19">
          <cell r="B19">
            <v>1977</v>
          </cell>
          <cell r="C19">
            <v>812891.66831901402</v>
          </cell>
        </row>
        <row r="20">
          <cell r="B20">
            <v>1978</v>
          </cell>
          <cell r="C20">
            <v>4706520.4887718698</v>
          </cell>
        </row>
        <row r="21">
          <cell r="B21">
            <v>1979</v>
          </cell>
          <cell r="C21">
            <v>4185627.68964103</v>
          </cell>
        </row>
        <row r="22">
          <cell r="B22">
            <v>1980</v>
          </cell>
          <cell r="C22">
            <v>6143341.6075489996</v>
          </cell>
        </row>
        <row r="23">
          <cell r="B23">
            <v>1981</v>
          </cell>
          <cell r="C23">
            <v>6009033.2819340099</v>
          </cell>
        </row>
        <row r="24">
          <cell r="B24">
            <v>1982</v>
          </cell>
          <cell r="C24">
            <v>4093669.8102682801</v>
          </cell>
        </row>
        <row r="25">
          <cell r="B25">
            <v>1983</v>
          </cell>
          <cell r="C25">
            <v>4106631.4812741098</v>
          </cell>
        </row>
        <row r="26">
          <cell r="B26">
            <v>1984</v>
          </cell>
          <cell r="C26">
            <v>2349711.6499100099</v>
          </cell>
        </row>
        <row r="27">
          <cell r="B27">
            <v>1985</v>
          </cell>
          <cell r="C27">
            <v>1527764.2240860099</v>
          </cell>
        </row>
        <row r="28">
          <cell r="B28">
            <v>1986</v>
          </cell>
          <cell r="C28">
            <v>2106059.9511315101</v>
          </cell>
        </row>
        <row r="29">
          <cell r="B29">
            <v>1987</v>
          </cell>
          <cell r="C29">
            <v>3517784.9190218099</v>
          </cell>
        </row>
        <row r="30">
          <cell r="B30">
            <v>1988</v>
          </cell>
          <cell r="C30">
            <v>2000001.5174030201</v>
          </cell>
        </row>
        <row r="31">
          <cell r="B31">
            <v>1989</v>
          </cell>
          <cell r="C31">
            <v>3099741.6348600001</v>
          </cell>
        </row>
        <row r="32">
          <cell r="B32">
            <v>1990</v>
          </cell>
          <cell r="C32">
            <v>3195122.8660048</v>
          </cell>
        </row>
        <row r="33">
          <cell r="B33">
            <v>1991</v>
          </cell>
          <cell r="C33">
            <v>4506270.8089567004</v>
          </cell>
        </row>
        <row r="34">
          <cell r="B34">
            <v>1992</v>
          </cell>
          <cell r="C34">
            <v>3071689.7788077001</v>
          </cell>
        </row>
        <row r="35">
          <cell r="B35">
            <v>1993</v>
          </cell>
          <cell r="C35">
            <v>4748131.8766660001</v>
          </cell>
        </row>
        <row r="36">
          <cell r="B36">
            <v>1994</v>
          </cell>
          <cell r="C36">
            <v>3696594.3995041</v>
          </cell>
        </row>
        <row r="37">
          <cell r="B37">
            <v>1995</v>
          </cell>
          <cell r="C37">
            <v>4938613.2223370997</v>
          </cell>
        </row>
        <row r="38">
          <cell r="B38">
            <v>1996</v>
          </cell>
          <cell r="C38">
            <v>5959843.7347010104</v>
          </cell>
        </row>
        <row r="39">
          <cell r="B39">
            <v>1997</v>
          </cell>
          <cell r="C39">
            <v>3879033.8960746098</v>
          </cell>
        </row>
        <row r="40">
          <cell r="B40">
            <v>1998</v>
          </cell>
          <cell r="C40">
            <v>4421017.6579492697</v>
          </cell>
        </row>
        <row r="41">
          <cell r="B41">
            <v>1999</v>
          </cell>
          <cell r="C41">
            <v>7403081.0158050004</v>
          </cell>
          <cell r="D41">
            <v>15.817406825010497</v>
          </cell>
        </row>
        <row r="42">
          <cell r="B42">
            <v>2000</v>
          </cell>
          <cell r="C42">
            <v>6541118.444344</v>
          </cell>
          <cell r="D42">
            <v>15.69361872476656</v>
          </cell>
        </row>
        <row r="43">
          <cell r="B43">
            <v>2001</v>
          </cell>
          <cell r="C43">
            <v>4644098.5774400001</v>
          </cell>
          <cell r="D43">
            <v>15.351107848413564</v>
          </cell>
        </row>
        <row r="44">
          <cell r="B44">
            <v>2002</v>
          </cell>
          <cell r="C44">
            <v>3859721.5446231999</v>
          </cell>
          <cell r="D44">
            <v>15.16610560014024</v>
          </cell>
        </row>
        <row r="45">
          <cell r="B45">
            <v>2003</v>
          </cell>
          <cell r="C45">
            <v>6233372.1852422003</v>
          </cell>
          <cell r="D45">
            <v>15.645428026063836</v>
          </cell>
        </row>
        <row r="46">
          <cell r="B46">
            <v>2004</v>
          </cell>
          <cell r="C46">
            <v>6430474.9702239102</v>
          </cell>
          <cell r="D46">
            <v>15.676558961327684</v>
          </cell>
        </row>
        <row r="47">
          <cell r="B47">
            <v>2005</v>
          </cell>
          <cell r="C47">
            <v>5881534.4264180996</v>
          </cell>
          <cell r="D47">
            <v>15.587328242705313</v>
          </cell>
        </row>
        <row r="48">
          <cell r="B48">
            <v>2006</v>
          </cell>
          <cell r="C48">
            <v>12640215.190229001</v>
          </cell>
          <cell r="D48">
            <v>16.352393971081504</v>
          </cell>
        </row>
        <row r="49">
          <cell r="B49">
            <v>2007</v>
          </cell>
          <cell r="C49">
            <v>7794243.4668660099</v>
          </cell>
          <cell r="D49">
            <v>15.868896002122698</v>
          </cell>
        </row>
        <row r="50">
          <cell r="B50">
            <v>2008</v>
          </cell>
          <cell r="C50">
            <v>6804843.2400100604</v>
          </cell>
          <cell r="D50">
            <v>15.73314515780091</v>
          </cell>
        </row>
        <row r="51">
          <cell r="B51">
            <v>2009</v>
          </cell>
          <cell r="C51">
            <v>6673678.5115900002</v>
          </cell>
          <cell r="D51">
            <v>15.713681766859033</v>
          </cell>
        </row>
        <row r="52">
          <cell r="B52">
            <v>2010</v>
          </cell>
          <cell r="C52">
            <v>8809666.8735792991</v>
          </cell>
          <cell r="D52">
            <v>15.99136018489091</v>
          </cell>
        </row>
        <row r="53">
          <cell r="B53">
            <v>2011</v>
          </cell>
          <cell r="C53">
            <v>4949205.89158093</v>
          </cell>
          <cell r="D53">
            <v>15.414737695732008</v>
          </cell>
        </row>
        <row r="54">
          <cell r="B54">
            <v>2012</v>
          </cell>
          <cell r="C54">
            <v>2699118.6580611798</v>
          </cell>
          <cell r="D54">
            <v>14.808435854746689</v>
          </cell>
        </row>
        <row r="55">
          <cell r="B55">
            <v>2013</v>
          </cell>
          <cell r="C55">
            <v>3286868.2634390001</v>
          </cell>
          <cell r="D55">
            <v>15.005445773789971</v>
          </cell>
        </row>
        <row r="56">
          <cell r="B56">
            <v>2014</v>
          </cell>
          <cell r="C56">
            <v>7169894.7591530103</v>
          </cell>
          <cell r="D56">
            <v>15.785401534525684</v>
          </cell>
        </row>
        <row r="57">
          <cell r="B57">
            <v>2015</v>
          </cell>
          <cell r="C57">
            <v>5019585.2252090201</v>
          </cell>
          <cell r="D57">
            <v>15.428857863793969</v>
          </cell>
        </row>
        <row r="58">
          <cell r="B58">
            <v>2016</v>
          </cell>
          <cell r="C58">
            <v>6384574.6288096001</v>
          </cell>
          <cell r="D58">
            <v>15.6693954248395</v>
          </cell>
        </row>
        <row r="59">
          <cell r="B59">
            <v>2017</v>
          </cell>
          <cell r="C59">
            <v>11287413.550995</v>
          </cell>
          <cell r="D59">
            <v>16.23919881785147</v>
          </cell>
        </row>
        <row r="60">
          <cell r="B60">
            <v>2018</v>
          </cell>
          <cell r="C60">
            <v>22680172.710960101</v>
          </cell>
          <cell r="D60">
            <v>16.937001651916528</v>
          </cell>
        </row>
        <row r="61">
          <cell r="B61">
            <v>2019</v>
          </cell>
          <cell r="C61">
            <v>12340740.140092099</v>
          </cell>
          <cell r="D61">
            <v>16.328416553580624</v>
          </cell>
        </row>
        <row r="62">
          <cell r="B62">
            <v>2020</v>
          </cell>
          <cell r="C62">
            <v>8004914.9433829999</v>
          </cell>
          <cell r="D62">
            <v>15.895566278920274</v>
          </cell>
        </row>
        <row r="63">
          <cell r="B63">
            <v>2021</v>
          </cell>
          <cell r="C63">
            <v>12670319.950875301</v>
          </cell>
          <cell r="D63">
            <v>16.354772804612679</v>
          </cell>
        </row>
        <row r="64">
          <cell r="B64">
            <v>2022</v>
          </cell>
          <cell r="C64">
            <v>12410175.8702737</v>
          </cell>
          <cell r="D64">
            <v>16.334027328738205</v>
          </cell>
        </row>
        <row r="65">
          <cell r="B65">
            <v>2023</v>
          </cell>
          <cell r="C65">
            <v>10418936.252577201</v>
          </cell>
          <cell r="D65">
            <v>16.159135501993532</v>
          </cell>
        </row>
        <row r="66">
          <cell r="B66">
            <v>2024</v>
          </cell>
        </row>
        <row r="67">
          <cell r="B67">
            <v>2025</v>
          </cell>
          <cell r="D67">
            <v>16.216999999999999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fficial"/>
      <sheetName val="Alagnak"/>
      <sheetName val="Egegik"/>
      <sheetName val="Igushik"/>
      <sheetName val="Kvichak"/>
      <sheetName val="Naknek"/>
      <sheetName val="Nushagak"/>
      <sheetName val="Ugashik"/>
      <sheetName val="Woo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B66">
            <v>2024</v>
          </cell>
          <cell r="C66">
            <v>12276225.3959476</v>
          </cell>
          <cell r="D66">
            <v>16.323175055252751</v>
          </cell>
        </row>
        <row r="126">
          <cell r="G126">
            <v>2990516.69954421</v>
          </cell>
        </row>
        <row r="127">
          <cell r="G127">
            <v>4452434.9381490601</v>
          </cell>
          <cell r="H127">
            <v>2383373.9596454301</v>
          </cell>
        </row>
        <row r="128">
          <cell r="G128">
            <v>3104643.3031303301</v>
          </cell>
          <cell r="H128">
            <v>3217087.0279288702</v>
          </cell>
        </row>
        <row r="129">
          <cell r="F129">
            <v>2776.4690439871601</v>
          </cell>
          <cell r="G129">
            <v>204615.171809202</v>
          </cell>
          <cell r="H129">
            <v>4383745.4472119203</v>
          </cell>
        </row>
        <row r="130">
          <cell r="F130">
            <v>725.24908437512602</v>
          </cell>
          <cell r="G130">
            <v>3038333.5432707998</v>
          </cell>
          <cell r="H130">
            <v>584427.04651197605</v>
          </cell>
        </row>
        <row r="131">
          <cell r="F131">
            <v>4296.8636813708999</v>
          </cell>
          <cell r="G131">
            <v>2291699.7375729899</v>
          </cell>
          <cell r="H131">
            <v>3535682.5047206902</v>
          </cell>
        </row>
        <row r="132">
          <cell r="F132">
            <v>0</v>
          </cell>
          <cell r="G132">
            <v>3280705.3694885499</v>
          </cell>
          <cell r="H132">
            <v>2609498.7495521898</v>
          </cell>
        </row>
        <row r="133">
          <cell r="F133">
            <v>44385.763239694999</v>
          </cell>
          <cell r="G133">
            <v>2176259.1366582098</v>
          </cell>
          <cell r="H133">
            <v>3230094.2206703299</v>
          </cell>
        </row>
        <row r="134">
          <cell r="F134">
            <v>4139.7483318812401</v>
          </cell>
          <cell r="G134">
            <v>5937283.8844685601</v>
          </cell>
          <cell r="H134">
            <v>5495801.1794883199</v>
          </cell>
        </row>
        <row r="135">
          <cell r="F135">
            <v>10784.4738201332</v>
          </cell>
          <cell r="G135">
            <v>5350245.6115471805</v>
          </cell>
          <cell r="H135">
            <v>2121062.9563350701</v>
          </cell>
        </row>
        <row r="136">
          <cell r="F136">
            <v>2.0519278271612899E-8</v>
          </cell>
          <cell r="G136">
            <v>3914076.5245426102</v>
          </cell>
          <cell r="H136">
            <v>2811164.2941113398</v>
          </cell>
        </row>
        <row r="137">
          <cell r="F137">
            <v>40677.033473201103</v>
          </cell>
          <cell r="G137">
            <v>2515742.9766102601</v>
          </cell>
          <cell r="H137">
            <v>3867602.6482008598</v>
          </cell>
        </row>
        <row r="138">
          <cell r="F138">
            <v>2505.6877592648998</v>
          </cell>
          <cell r="G138">
            <v>4545899.6007836303</v>
          </cell>
          <cell r="H138">
            <v>3860079.3001357899</v>
          </cell>
        </row>
        <row r="139">
          <cell r="F139">
            <v>2.26823960305547E-7</v>
          </cell>
          <cell r="G139">
            <v>1466827.1764191701</v>
          </cell>
          <cell r="H139">
            <v>3188317.58366476</v>
          </cell>
        </row>
        <row r="140">
          <cell r="F140">
            <v>1790.4988373393601</v>
          </cell>
          <cell r="G140">
            <v>1307145.7597490901</v>
          </cell>
          <cell r="H140">
            <v>1145264.91041637</v>
          </cell>
        </row>
        <row r="141">
          <cell r="F141">
            <v>41826.111089992199</v>
          </cell>
          <cell r="G141">
            <v>1383003.7879312499</v>
          </cell>
          <cell r="H141">
            <v>1776719.8537941801</v>
          </cell>
        </row>
        <row r="142">
          <cell r="F142">
            <v>10412.322992723501</v>
          </cell>
          <cell r="G142">
            <v>4798046.7895628698</v>
          </cell>
          <cell r="H142">
            <v>2057086.5729716399</v>
          </cell>
        </row>
        <row r="143">
          <cell r="F143">
            <v>77215.247770754402</v>
          </cell>
          <cell r="G143">
            <v>2666460.3514589602</v>
          </cell>
          <cell r="H143">
            <v>1989083.3485011801</v>
          </cell>
        </row>
        <row r="144">
          <cell r="F144">
            <v>207823.49008528501</v>
          </cell>
          <cell r="G144">
            <v>3133423.0966978902</v>
          </cell>
          <cell r="H144">
            <v>2859736.7463922598</v>
          </cell>
        </row>
        <row r="145">
          <cell r="F145">
            <v>163320.939223872</v>
          </cell>
          <cell r="G145">
            <v>9677409.9931780808</v>
          </cell>
          <cell r="H145">
            <v>1384225.7976698701</v>
          </cell>
        </row>
        <row r="146">
          <cell r="F146">
            <v>3.6368147328297598E-9</v>
          </cell>
          <cell r="G146">
            <v>20246491.971511599</v>
          </cell>
          <cell r="H146">
            <v>2368581.2708852701</v>
          </cell>
        </row>
        <row r="147">
          <cell r="F147">
            <v>87517.701509469203</v>
          </cell>
          <cell r="G147">
            <v>8064807.00764855</v>
          </cell>
          <cell r="H147">
            <v>3790598.52063182</v>
          </cell>
        </row>
        <row r="148">
          <cell r="F148">
            <v>36289.0241619886</v>
          </cell>
          <cell r="G148">
            <v>5724076.3761257296</v>
          </cell>
          <cell r="H148">
            <v>2193179.1436145101</v>
          </cell>
        </row>
        <row r="149">
          <cell r="F149">
            <v>8527.0164497954993</v>
          </cell>
          <cell r="G149">
            <v>11139832.2127566</v>
          </cell>
          <cell r="H149">
            <v>1013268.72333528</v>
          </cell>
        </row>
        <row r="150">
          <cell r="F150">
            <v>7208.0864472179201</v>
          </cell>
          <cell r="G150">
            <v>7504564.42223249</v>
          </cell>
          <cell r="H150">
            <v>3475376.73603094</v>
          </cell>
        </row>
        <row r="151">
          <cell r="F151">
            <v>61995.910249144901</v>
          </cell>
          <cell r="G151">
            <v>3376878.58960114</v>
          </cell>
          <cell r="H151">
            <v>5551956.4523559501</v>
          </cell>
        </row>
        <row r="152">
          <cell r="G152">
            <v>10251697.204271</v>
          </cell>
          <cell r="H152">
            <v>1458592.1096781599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799AF-9F88-4A07-B36E-5936E9BAA03D}">
  <dimension ref="A1:AU53"/>
  <sheetViews>
    <sheetView topLeftCell="S19" workbookViewId="0">
      <selection activeCell="AQ27" sqref="AQ27:AQ53"/>
    </sheetView>
  </sheetViews>
  <sheetFormatPr defaultRowHeight="15" x14ac:dyDescent="0.25"/>
  <cols>
    <col min="2" max="2" width="7.7109375" customWidth="1"/>
  </cols>
  <sheetData>
    <row r="1" spans="1:47" x14ac:dyDescent="0.25">
      <c r="A1" t="s">
        <v>9</v>
      </c>
    </row>
    <row r="2" spans="1:47" x14ac:dyDescent="0.25">
      <c r="A2" s="1"/>
      <c r="B2" s="1"/>
      <c r="C2" s="1"/>
      <c r="D2" s="1"/>
      <c r="E2" s="1"/>
    </row>
    <row r="3" spans="1:47" x14ac:dyDescent="0.25">
      <c r="A3" s="1"/>
      <c r="B3" s="1"/>
      <c r="C3" s="1"/>
      <c r="D3" s="2"/>
      <c r="E3" s="2"/>
    </row>
    <row r="4" spans="1:47" x14ac:dyDescent="0.25">
      <c r="A4" s="1"/>
      <c r="B4" s="1"/>
      <c r="C4" s="1"/>
      <c r="D4" s="1"/>
      <c r="E4" s="1"/>
      <c r="G4">
        <f>CORREL($D$27:$D$52,G27:G52)</f>
        <v>4.4269629177009183E-2</v>
      </c>
      <c r="H4">
        <f t="shared" ref="H4:AU4" si="0">CORREL($D$27:$D$52,H27:H52)</f>
        <v>-4.5796218184349542E-2</v>
      </c>
      <c r="I4">
        <f t="shared" si="0"/>
        <v>-0.20111606717889105</v>
      </c>
      <c r="J4">
        <f t="shared" si="0"/>
        <v>-2.2232898100937259E-2</v>
      </c>
      <c r="K4">
        <f t="shared" si="0"/>
        <v>-0.1513880828091978</v>
      </c>
      <c r="L4">
        <f t="shared" si="0"/>
        <v>-9.3308283686797402E-2</v>
      </c>
      <c r="M4">
        <f t="shared" si="0"/>
        <v>1.5556849519593614E-2</v>
      </c>
      <c r="N4">
        <f t="shared" si="0"/>
        <v>-2.8202681637419916E-2</v>
      </c>
      <c r="O4">
        <f t="shared" si="0"/>
        <v>-7.1159509544435576E-2</v>
      </c>
      <c r="P4">
        <f t="shared" si="0"/>
        <v>-5.8456396560134426E-2</v>
      </c>
      <c r="Q4">
        <f t="shared" si="0"/>
        <v>-4.9488225696902503E-4</v>
      </c>
      <c r="R4">
        <f t="shared" si="0"/>
        <v>-4.2005592331248592E-2</v>
      </c>
      <c r="S4">
        <f t="shared" si="0"/>
        <v>0.11002437289736629</v>
      </c>
      <c r="T4">
        <f t="shared" si="0"/>
        <v>0.1267093156740618</v>
      </c>
      <c r="U4">
        <f t="shared" si="0"/>
        <v>1.2788927807128942E-2</v>
      </c>
      <c r="V4">
        <f t="shared" si="0"/>
        <v>-6.2741435157098763E-2</v>
      </c>
      <c r="W4">
        <f t="shared" si="0"/>
        <v>0.17620285681564429</v>
      </c>
      <c r="X4">
        <f t="shared" si="0"/>
        <v>0.2021620552716101</v>
      </c>
      <c r="Y4">
        <f t="shared" si="0"/>
        <v>7.4618089308263788E-2</v>
      </c>
      <c r="Z4">
        <f t="shared" si="0"/>
        <v>0.11946199019104786</v>
      </c>
      <c r="AA4">
        <f t="shared" si="0"/>
        <v>8.0534189925374922E-2</v>
      </c>
      <c r="AB4">
        <f t="shared" si="0"/>
        <v>-6.2766755986388395E-2</v>
      </c>
      <c r="AC4">
        <f t="shared" si="0"/>
        <v>1.583896168658145E-2</v>
      </c>
      <c r="AD4">
        <f t="shared" si="0"/>
        <v>7.1174152434799659E-2</v>
      </c>
      <c r="AE4">
        <f t="shared" si="0"/>
        <v>2.4567957786711454E-2</v>
      </c>
      <c r="AF4">
        <f t="shared" si="0"/>
        <v>7.5780592328324139E-2</v>
      </c>
      <c r="AG4">
        <f t="shared" si="0"/>
        <v>0.26389287200213069</v>
      </c>
      <c r="AH4">
        <f t="shared" si="0"/>
        <v>3.409520187284111E-2</v>
      </c>
      <c r="AI4">
        <f t="shared" si="0"/>
        <v>-4.0997859145053391E-2</v>
      </c>
      <c r="AJ4">
        <f t="shared" si="0"/>
        <v>-0.13109445746814069</v>
      </c>
      <c r="AK4">
        <f t="shared" si="0"/>
        <v>-8.690729497513161E-2</v>
      </c>
      <c r="AL4">
        <f t="shared" si="0"/>
        <v>-3.2122319231139049E-2</v>
      </c>
      <c r="AM4">
        <f t="shared" si="0"/>
        <v>-8.050917720233175E-2</v>
      </c>
      <c r="AN4">
        <f t="shared" si="0"/>
        <v>-4.2615041221489854E-2</v>
      </c>
      <c r="AO4">
        <f t="shared" si="0"/>
        <v>-0.20448733090451182</v>
      </c>
      <c r="AP4">
        <f t="shared" si="0"/>
        <v>-0.19371289257154539</v>
      </c>
      <c r="AQ4">
        <f t="shared" si="0"/>
        <v>-0.40094889993820831</v>
      </c>
      <c r="AR4">
        <f t="shared" si="0"/>
        <v>-0.38720935695350839</v>
      </c>
      <c r="AS4">
        <f t="shared" si="0"/>
        <v>-0.38081647391693835</v>
      </c>
      <c r="AT4">
        <f t="shared" si="0"/>
        <v>-0.41051966160898495</v>
      </c>
      <c r="AU4">
        <f t="shared" si="0"/>
        <v>-0.34468933838344684</v>
      </c>
    </row>
    <row r="5" spans="1:47" x14ac:dyDescent="0.25">
      <c r="A5" s="1"/>
      <c r="B5" s="1"/>
      <c r="C5" s="1"/>
      <c r="D5" s="1"/>
      <c r="E5" s="1"/>
      <c r="F5" t="s">
        <v>6</v>
      </c>
      <c r="G5" t="e">
        <f>CORREL($D$10:$D$26,G10:G26)</f>
        <v>#DIV/0!</v>
      </c>
      <c r="H5" t="e">
        <f t="shared" ref="H5:AU5" si="1">CORREL($D$10:$D$26,H10:H26)</f>
        <v>#DIV/0!</v>
      </c>
      <c r="I5" t="e">
        <f t="shared" si="1"/>
        <v>#DIV/0!</v>
      </c>
      <c r="J5" t="e">
        <f t="shared" si="1"/>
        <v>#DIV/0!</v>
      </c>
      <c r="K5" t="e">
        <f t="shared" si="1"/>
        <v>#DIV/0!</v>
      </c>
      <c r="L5" t="e">
        <f t="shared" si="1"/>
        <v>#DIV/0!</v>
      </c>
      <c r="M5" t="e">
        <f t="shared" si="1"/>
        <v>#DIV/0!</v>
      </c>
      <c r="N5" t="e">
        <f t="shared" si="1"/>
        <v>#DIV/0!</v>
      </c>
      <c r="O5" t="e">
        <f t="shared" si="1"/>
        <v>#DIV/0!</v>
      </c>
      <c r="P5" t="e">
        <f t="shared" si="1"/>
        <v>#DIV/0!</v>
      </c>
      <c r="Q5" t="e">
        <f t="shared" si="1"/>
        <v>#DIV/0!</v>
      </c>
      <c r="R5" t="e">
        <f t="shared" si="1"/>
        <v>#DIV/0!</v>
      </c>
      <c r="S5" t="e">
        <f t="shared" si="1"/>
        <v>#DIV/0!</v>
      </c>
      <c r="T5" t="e">
        <f t="shared" si="1"/>
        <v>#DIV/0!</v>
      </c>
      <c r="U5" t="e">
        <f t="shared" si="1"/>
        <v>#DIV/0!</v>
      </c>
      <c r="V5" t="e">
        <f t="shared" si="1"/>
        <v>#DIV/0!</v>
      </c>
      <c r="W5" t="e">
        <f t="shared" si="1"/>
        <v>#DIV/0!</v>
      </c>
      <c r="X5" t="e">
        <f t="shared" si="1"/>
        <v>#DIV/0!</v>
      </c>
      <c r="Y5" t="e">
        <f t="shared" si="1"/>
        <v>#DIV/0!</v>
      </c>
      <c r="Z5" t="e">
        <f t="shared" si="1"/>
        <v>#DIV/0!</v>
      </c>
      <c r="AA5" t="e">
        <f t="shared" si="1"/>
        <v>#DIV/0!</v>
      </c>
      <c r="AB5" t="e">
        <f t="shared" si="1"/>
        <v>#DIV/0!</v>
      </c>
      <c r="AC5" t="e">
        <f t="shared" si="1"/>
        <v>#DIV/0!</v>
      </c>
      <c r="AD5" t="e">
        <f t="shared" si="1"/>
        <v>#DIV/0!</v>
      </c>
      <c r="AE5" t="e">
        <f t="shared" si="1"/>
        <v>#DIV/0!</v>
      </c>
      <c r="AF5" t="e">
        <f t="shared" si="1"/>
        <v>#DIV/0!</v>
      </c>
      <c r="AG5" t="e">
        <f t="shared" si="1"/>
        <v>#DIV/0!</v>
      </c>
      <c r="AH5" t="e">
        <f t="shared" si="1"/>
        <v>#DIV/0!</v>
      </c>
      <c r="AI5" t="e">
        <f t="shared" si="1"/>
        <v>#DIV/0!</v>
      </c>
      <c r="AJ5" t="e">
        <f t="shared" si="1"/>
        <v>#DIV/0!</v>
      </c>
      <c r="AK5" t="e">
        <f t="shared" si="1"/>
        <v>#DIV/0!</v>
      </c>
      <c r="AL5" t="e">
        <f t="shared" si="1"/>
        <v>#DIV/0!</v>
      </c>
      <c r="AM5" t="e">
        <f t="shared" si="1"/>
        <v>#DIV/0!</v>
      </c>
      <c r="AN5" t="e">
        <f t="shared" si="1"/>
        <v>#DIV/0!</v>
      </c>
      <c r="AO5" t="e">
        <f t="shared" si="1"/>
        <v>#DIV/0!</v>
      </c>
      <c r="AP5" t="e">
        <f t="shared" si="1"/>
        <v>#DIV/0!</v>
      </c>
      <c r="AQ5" t="e">
        <f t="shared" si="1"/>
        <v>#DIV/0!</v>
      </c>
      <c r="AR5" t="e">
        <f t="shared" si="1"/>
        <v>#DIV/0!</v>
      </c>
      <c r="AS5" t="e">
        <f t="shared" si="1"/>
        <v>#DIV/0!</v>
      </c>
      <c r="AT5" t="e">
        <f t="shared" si="1"/>
        <v>#DIV/0!</v>
      </c>
      <c r="AU5" t="e">
        <f t="shared" si="1"/>
        <v>#DIV/0!</v>
      </c>
    </row>
    <row r="6" spans="1:47" x14ac:dyDescent="0.25">
      <c r="A6" s="1"/>
      <c r="B6" s="1"/>
      <c r="C6" s="1"/>
      <c r="D6" s="1"/>
      <c r="E6" s="1"/>
      <c r="F6" t="s">
        <v>3</v>
      </c>
      <c r="G6">
        <f>5+G7</f>
        <v>5</v>
      </c>
      <c r="H6">
        <f t="shared" ref="H6:K6" si="2">5+H7</f>
        <v>4</v>
      </c>
      <c r="I6">
        <f t="shared" si="2"/>
        <v>3</v>
      </c>
      <c r="J6">
        <f t="shared" si="2"/>
        <v>2</v>
      </c>
      <c r="K6">
        <f t="shared" si="2"/>
        <v>1</v>
      </c>
      <c r="L6">
        <f>17+L7</f>
        <v>12</v>
      </c>
      <c r="M6">
        <f t="shared" ref="M6:W6" si="3">17+M7</f>
        <v>11</v>
      </c>
      <c r="N6">
        <f t="shared" si="3"/>
        <v>10</v>
      </c>
      <c r="O6">
        <f t="shared" si="3"/>
        <v>9</v>
      </c>
      <c r="P6">
        <f t="shared" si="3"/>
        <v>8</v>
      </c>
      <c r="Q6">
        <f t="shared" si="3"/>
        <v>7</v>
      </c>
      <c r="R6">
        <f t="shared" si="3"/>
        <v>6</v>
      </c>
      <c r="S6">
        <f t="shared" si="3"/>
        <v>5</v>
      </c>
      <c r="T6">
        <f t="shared" si="3"/>
        <v>4</v>
      </c>
      <c r="U6">
        <f t="shared" si="3"/>
        <v>3</v>
      </c>
      <c r="V6">
        <f t="shared" si="3"/>
        <v>2</v>
      </c>
      <c r="W6">
        <f t="shared" si="3"/>
        <v>1</v>
      </c>
      <c r="X6">
        <f>29+X7</f>
        <v>12</v>
      </c>
      <c r="Y6">
        <f t="shared" ref="Y6:AI6" si="4">29+Y7</f>
        <v>11</v>
      </c>
      <c r="Z6">
        <f t="shared" si="4"/>
        <v>10</v>
      </c>
      <c r="AA6">
        <f t="shared" si="4"/>
        <v>9</v>
      </c>
      <c r="AB6">
        <f t="shared" si="4"/>
        <v>8</v>
      </c>
      <c r="AC6">
        <f t="shared" si="4"/>
        <v>7</v>
      </c>
      <c r="AD6">
        <f t="shared" si="4"/>
        <v>6</v>
      </c>
      <c r="AE6">
        <f t="shared" si="4"/>
        <v>5</v>
      </c>
      <c r="AF6">
        <f t="shared" si="4"/>
        <v>4</v>
      </c>
      <c r="AG6">
        <f t="shared" si="4"/>
        <v>3</v>
      </c>
      <c r="AH6">
        <f t="shared" si="4"/>
        <v>2</v>
      </c>
      <c r="AI6">
        <f t="shared" si="4"/>
        <v>1</v>
      </c>
      <c r="AJ6">
        <f>41+AJ7</f>
        <v>12</v>
      </c>
      <c r="AK6">
        <f t="shared" ref="AK6:AU6" si="5">41+AK7</f>
        <v>11</v>
      </c>
      <c r="AL6">
        <f t="shared" si="5"/>
        <v>10</v>
      </c>
      <c r="AM6">
        <f t="shared" si="5"/>
        <v>9</v>
      </c>
      <c r="AN6">
        <f t="shared" si="5"/>
        <v>8</v>
      </c>
      <c r="AO6">
        <f t="shared" si="5"/>
        <v>7</v>
      </c>
      <c r="AP6">
        <f t="shared" si="5"/>
        <v>6</v>
      </c>
      <c r="AQ6">
        <f t="shared" si="5"/>
        <v>5</v>
      </c>
      <c r="AR6">
        <f t="shared" si="5"/>
        <v>4</v>
      </c>
      <c r="AS6">
        <f t="shared" si="5"/>
        <v>3</v>
      </c>
      <c r="AT6">
        <f t="shared" si="5"/>
        <v>2</v>
      </c>
      <c r="AU6">
        <f t="shared" si="5"/>
        <v>1</v>
      </c>
    </row>
    <row r="7" spans="1:47" x14ac:dyDescent="0.25">
      <c r="A7" s="1"/>
      <c r="B7" s="1"/>
      <c r="C7" s="1"/>
      <c r="D7" s="1" t="s">
        <v>0</v>
      </c>
      <c r="E7" s="1"/>
      <c r="F7" t="s">
        <v>7</v>
      </c>
      <c r="G7">
        <v>0</v>
      </c>
      <c r="H7">
        <v>-1</v>
      </c>
      <c r="I7">
        <v>-2</v>
      </c>
      <c r="J7">
        <v>-3</v>
      </c>
      <c r="K7">
        <v>-4</v>
      </c>
      <c r="L7">
        <v>-5</v>
      </c>
      <c r="M7">
        <v>-6</v>
      </c>
      <c r="N7">
        <v>-7</v>
      </c>
      <c r="O7">
        <v>-8</v>
      </c>
      <c r="P7">
        <v>-9</v>
      </c>
      <c r="Q7">
        <v>-10</v>
      </c>
      <c r="R7">
        <v>-11</v>
      </c>
      <c r="S7">
        <v>-12</v>
      </c>
      <c r="T7">
        <v>-13</v>
      </c>
      <c r="U7">
        <v>-14</v>
      </c>
      <c r="V7">
        <v>-15</v>
      </c>
      <c r="W7">
        <v>-16</v>
      </c>
      <c r="X7">
        <v>-17</v>
      </c>
      <c r="Y7">
        <v>-18</v>
      </c>
      <c r="Z7">
        <v>-19</v>
      </c>
      <c r="AA7">
        <v>-20</v>
      </c>
      <c r="AB7">
        <v>-21</v>
      </c>
      <c r="AC7">
        <v>-22</v>
      </c>
      <c r="AD7">
        <v>-23</v>
      </c>
      <c r="AE7">
        <v>-24</v>
      </c>
      <c r="AF7">
        <v>-25</v>
      </c>
      <c r="AG7">
        <v>-26</v>
      </c>
      <c r="AH7">
        <v>-27</v>
      </c>
      <c r="AI7">
        <v>-28</v>
      </c>
      <c r="AJ7">
        <v>-29</v>
      </c>
      <c r="AK7">
        <v>-30</v>
      </c>
      <c r="AL7">
        <v>-31</v>
      </c>
      <c r="AM7">
        <v>-32</v>
      </c>
      <c r="AN7">
        <v>-33</v>
      </c>
      <c r="AO7">
        <v>-34</v>
      </c>
      <c r="AP7">
        <v>-35</v>
      </c>
      <c r="AQ7">
        <v>-36</v>
      </c>
      <c r="AR7">
        <v>-37</v>
      </c>
      <c r="AS7">
        <v>-38</v>
      </c>
      <c r="AT7">
        <v>-39</v>
      </c>
      <c r="AU7">
        <v>-40</v>
      </c>
    </row>
    <row r="8" spans="1:47" x14ac:dyDescent="0.25">
      <c r="D8" t="s">
        <v>1</v>
      </c>
    </row>
    <row r="9" spans="1:47" x14ac:dyDescent="0.25">
      <c r="A9" t="s">
        <v>2</v>
      </c>
      <c r="B9" t="s">
        <v>3</v>
      </c>
      <c r="C9" t="s">
        <v>4</v>
      </c>
      <c r="D9" t="s">
        <v>5</v>
      </c>
      <c r="G9" t="s">
        <v>8</v>
      </c>
    </row>
    <row r="10" spans="1:47" x14ac:dyDescent="0.25">
      <c r="A10">
        <v>1982.375</v>
      </c>
      <c r="B10">
        <v>5</v>
      </c>
      <c r="C10" s="1">
        <v>1.6829712080392252</v>
      </c>
      <c r="G10" s="1">
        <v>1.6829712080392252</v>
      </c>
      <c r="H10" s="1">
        <v>2.2472897998692272</v>
      </c>
      <c r="I10" s="1">
        <v>1.5381377024192207</v>
      </c>
      <c r="J10" s="1">
        <v>0.95009040011922963</v>
      </c>
      <c r="K10" s="1">
        <v>0.16778843210923924</v>
      </c>
      <c r="L10" s="1">
        <v>-0.32820109656075358</v>
      </c>
      <c r="M10" s="1">
        <v>0.10288279560923042</v>
      </c>
      <c r="N10" s="1">
        <v>1.1606928748392318</v>
      </c>
      <c r="O10" s="1">
        <v>1.0248394490071275</v>
      </c>
      <c r="P10" s="1">
        <v>1.606789201499234</v>
      </c>
      <c r="Q10" s="1">
        <v>2.394840518709227</v>
      </c>
      <c r="R10" s="1">
        <v>1.0093508307130274</v>
      </c>
      <c r="S10" s="1">
        <v>0.70257197929922732</v>
      </c>
      <c r="T10" s="1">
        <v>0.71152544480922963</v>
      </c>
      <c r="U10" s="1">
        <v>-1.2758133939807617</v>
      </c>
      <c r="V10" s="1">
        <v>-1.1840317151307596</v>
      </c>
      <c r="W10" s="1">
        <v>-2.9731450761907507</v>
      </c>
      <c r="X10" s="1">
        <v>-0.826312025460755</v>
      </c>
      <c r="Y10" s="1">
        <v>-0.82430027525075733</v>
      </c>
      <c r="Z10" s="1">
        <v>-0.21680460930476167</v>
      </c>
      <c r="AA10" s="1">
        <v>1.2002363824092406</v>
      </c>
      <c r="AB10" s="1">
        <v>1.7415489131692448</v>
      </c>
      <c r="AC10" s="1">
        <v>1.1845717860692297</v>
      </c>
      <c r="AD10" s="1">
        <v>1.8719868955192429</v>
      </c>
      <c r="AE10" s="1">
        <v>0.19282233268922738</v>
      </c>
      <c r="AF10" s="1">
        <v>-0.41644266558675735</v>
      </c>
      <c r="AG10" s="1">
        <v>-0.7920709280307725</v>
      </c>
      <c r="AH10" s="1">
        <v>-3.1117011955307636</v>
      </c>
      <c r="AI10" s="1">
        <v>-1.754437314630755</v>
      </c>
      <c r="AJ10" s="1">
        <v>-0.6783287293607636</v>
      </c>
      <c r="AK10" s="1">
        <v>-0.13216066909075941</v>
      </c>
      <c r="AL10" s="1">
        <v>-1.2187106281307756</v>
      </c>
      <c r="AM10" s="1">
        <v>-0.23967928586077691</v>
      </c>
      <c r="AN10" s="1">
        <v>0.41425456986923609</v>
      </c>
      <c r="AO10" s="1">
        <v>1.4262948740692274</v>
      </c>
      <c r="AP10" s="1">
        <v>2.0884129651392276</v>
      </c>
      <c r="AQ10" s="1">
        <v>0.230319378419234</v>
      </c>
      <c r="AR10" s="1">
        <v>0.87058350376922755</v>
      </c>
      <c r="AS10" s="1">
        <v>-0.18409000339077064</v>
      </c>
      <c r="AT10" s="1">
        <v>1.3994548985492341</v>
      </c>
      <c r="AU10" s="1">
        <v>-1.1214605250507683</v>
      </c>
    </row>
    <row r="11" spans="1:47" x14ac:dyDescent="0.25">
      <c r="A11">
        <v>1983.375</v>
      </c>
      <c r="B11">
        <v>5</v>
      </c>
      <c r="C11" s="1">
        <v>-1.5365287291607705</v>
      </c>
      <c r="G11" s="1">
        <v>-1.5365287291607705</v>
      </c>
      <c r="H11" s="1">
        <v>-1.6037714177007616</v>
      </c>
      <c r="I11" s="1">
        <v>-4.4186573967507705</v>
      </c>
      <c r="J11" s="1">
        <v>-5.7546631341007721</v>
      </c>
      <c r="K11" s="1">
        <v>-4.2828241200607735</v>
      </c>
      <c r="L11" s="1">
        <v>-3.318813113430755</v>
      </c>
      <c r="M11" s="1">
        <v>-2.2869922902807649</v>
      </c>
      <c r="N11" s="1">
        <v>-1.1141125145307573</v>
      </c>
      <c r="O11" s="1">
        <v>-0.85833921068075947</v>
      </c>
      <c r="P11" s="1">
        <v>0.19842168935924309</v>
      </c>
      <c r="Q11" s="1">
        <v>9.0747949279244927E-2</v>
      </c>
      <c r="R11" s="1">
        <v>0.28020932696923401</v>
      </c>
      <c r="S11" s="1">
        <v>1.6829712080392252</v>
      </c>
      <c r="T11" s="1">
        <v>2.2472897998692272</v>
      </c>
      <c r="U11" s="1">
        <v>1.5381377024192207</v>
      </c>
      <c r="V11" s="1">
        <v>0.95009040011922963</v>
      </c>
      <c r="W11" s="1">
        <v>0.16778843210923924</v>
      </c>
      <c r="X11" s="1">
        <v>-0.32820109656075358</v>
      </c>
      <c r="Y11" s="1">
        <v>0.10288279560923042</v>
      </c>
      <c r="Z11" s="1">
        <v>1.1606928748392318</v>
      </c>
      <c r="AA11" s="1">
        <v>1.0248394490071275</v>
      </c>
      <c r="AB11" s="1">
        <v>1.606789201499234</v>
      </c>
      <c r="AC11" s="1">
        <v>2.394840518709227</v>
      </c>
      <c r="AD11" s="1">
        <v>1.0093508307130274</v>
      </c>
      <c r="AE11" s="1">
        <v>0.70257197929922732</v>
      </c>
      <c r="AF11" s="1">
        <v>0.71152544480922963</v>
      </c>
      <c r="AG11" s="1">
        <v>-1.2758133939807617</v>
      </c>
      <c r="AH11" s="1">
        <v>-1.1840317151307596</v>
      </c>
      <c r="AI11" s="1">
        <v>-2.9731450761907507</v>
      </c>
      <c r="AJ11" s="1">
        <v>-0.826312025460755</v>
      </c>
      <c r="AK11" s="1">
        <v>-0.82430027525075733</v>
      </c>
      <c r="AL11" s="1">
        <v>-0.21680460930476167</v>
      </c>
      <c r="AM11" s="1">
        <v>1.2002363824092406</v>
      </c>
      <c r="AN11" s="1">
        <v>1.7415489131692448</v>
      </c>
      <c r="AO11" s="1">
        <v>1.1845717860692297</v>
      </c>
      <c r="AP11" s="1">
        <v>1.8719868955192429</v>
      </c>
      <c r="AQ11" s="1">
        <v>0.19282233268922738</v>
      </c>
      <c r="AR11" s="1">
        <v>-0.41644266558675735</v>
      </c>
      <c r="AS11" s="1">
        <v>-0.7920709280307725</v>
      </c>
      <c r="AT11" s="1">
        <v>-3.1117011955307636</v>
      </c>
      <c r="AU11" s="1">
        <v>-1.754437314630755</v>
      </c>
    </row>
    <row r="12" spans="1:47" x14ac:dyDescent="0.25">
      <c r="A12">
        <v>1984.375</v>
      </c>
      <c r="B12">
        <v>5</v>
      </c>
      <c r="C12" s="1">
        <v>1.880515014489234</v>
      </c>
      <c r="G12" s="1">
        <v>1.880515014489234</v>
      </c>
      <c r="H12" s="1">
        <v>1.4169093568692384</v>
      </c>
      <c r="I12" s="1">
        <v>-1.459145150890766</v>
      </c>
      <c r="J12" s="1">
        <v>-0.25170846241076383</v>
      </c>
      <c r="K12" s="1">
        <v>-0.36195759964077051</v>
      </c>
      <c r="L12" s="1">
        <v>-0.47425017163075722</v>
      </c>
      <c r="M12" s="1">
        <v>-0.51962604492076825</v>
      </c>
      <c r="N12" s="1">
        <v>1.7054727707192336</v>
      </c>
      <c r="O12" s="1">
        <v>1.999494930519234</v>
      </c>
      <c r="P12" s="1">
        <v>1.7188996157552427</v>
      </c>
      <c r="Q12" s="1">
        <v>0.12128620823924474</v>
      </c>
      <c r="R12" s="1">
        <v>-1.4051694421937548</v>
      </c>
      <c r="S12" s="1">
        <v>-1.5365287291607705</v>
      </c>
      <c r="T12" s="1">
        <v>-1.6037714177007616</v>
      </c>
      <c r="U12" s="1">
        <v>-4.4186573967507705</v>
      </c>
      <c r="V12" s="1">
        <v>-5.7546631341007721</v>
      </c>
      <c r="W12" s="1">
        <v>-4.2828241200607735</v>
      </c>
      <c r="X12" s="1">
        <v>-3.318813113430755</v>
      </c>
      <c r="Y12" s="1">
        <v>-2.2869922902807649</v>
      </c>
      <c r="Z12" s="1">
        <v>-1.1141125145307573</v>
      </c>
      <c r="AA12" s="1">
        <v>-0.85833921068075947</v>
      </c>
      <c r="AB12" s="1">
        <v>0.19842168935924309</v>
      </c>
      <c r="AC12" s="1">
        <v>9.0747949279244927E-2</v>
      </c>
      <c r="AD12" s="1">
        <v>0.28020932696923401</v>
      </c>
      <c r="AE12" s="1">
        <v>1.6829712080392252</v>
      </c>
      <c r="AF12" s="1">
        <v>2.2472897998692272</v>
      </c>
      <c r="AG12" s="1">
        <v>1.5381377024192207</v>
      </c>
      <c r="AH12" s="1">
        <v>0.95009040011922963</v>
      </c>
      <c r="AI12" s="1">
        <v>0.16778843210923924</v>
      </c>
      <c r="AJ12" s="1">
        <v>-0.32820109656075358</v>
      </c>
      <c r="AK12" s="1">
        <v>0.10288279560923042</v>
      </c>
      <c r="AL12" s="1">
        <v>1.1606928748392318</v>
      </c>
      <c r="AM12" s="1">
        <v>1.0248394490071275</v>
      </c>
      <c r="AN12" s="1">
        <v>1.606789201499234</v>
      </c>
      <c r="AO12" s="1">
        <v>2.394840518709227</v>
      </c>
      <c r="AP12" s="1">
        <v>1.0093508307130274</v>
      </c>
      <c r="AQ12" s="1">
        <v>0.70257197929922732</v>
      </c>
      <c r="AR12" s="1">
        <v>0.71152544480922963</v>
      </c>
      <c r="AS12" s="1">
        <v>-1.2758133939807617</v>
      </c>
      <c r="AT12" s="1">
        <v>-1.1840317151307596</v>
      </c>
      <c r="AU12" s="1">
        <v>-2.9731450761907507</v>
      </c>
    </row>
    <row r="13" spans="1:47" x14ac:dyDescent="0.25">
      <c r="A13">
        <v>1985.375</v>
      </c>
      <c r="B13">
        <v>5</v>
      </c>
      <c r="C13" s="1">
        <v>3.018522973209234</v>
      </c>
      <c r="G13" s="1">
        <v>3.018522973209234</v>
      </c>
      <c r="H13" s="1">
        <v>3.2037219389892342</v>
      </c>
      <c r="I13" s="1">
        <v>2.8503516876992365</v>
      </c>
      <c r="J13" s="1">
        <v>1.5492982089822276</v>
      </c>
      <c r="K13" s="1">
        <v>-1.9206002569707727</v>
      </c>
      <c r="L13" s="1">
        <v>1.132073258699223</v>
      </c>
      <c r="M13" s="1">
        <v>0.48051006084922643</v>
      </c>
      <c r="N13" s="1">
        <v>1.0633639918392426</v>
      </c>
      <c r="O13" s="1">
        <v>0.96519801415922746</v>
      </c>
      <c r="P13" s="1">
        <v>1.8375980735592425</v>
      </c>
      <c r="Q13" s="1">
        <v>2.7315166602692278</v>
      </c>
      <c r="R13" s="1">
        <v>2.1734786425192314</v>
      </c>
      <c r="S13" s="1">
        <v>1.880515014489234</v>
      </c>
      <c r="T13" s="1">
        <v>1.4169093568692384</v>
      </c>
      <c r="U13" s="1">
        <v>-1.459145150890766</v>
      </c>
      <c r="V13" s="1">
        <v>-0.25170846241076383</v>
      </c>
      <c r="W13" s="1">
        <v>-0.36195759964077051</v>
      </c>
      <c r="X13" s="1">
        <v>-0.47425017163075722</v>
      </c>
      <c r="Y13" s="1">
        <v>-0.51962604492076825</v>
      </c>
      <c r="Z13" s="1">
        <v>1.7054727707192336</v>
      </c>
      <c r="AA13" s="1">
        <v>1.999494930519234</v>
      </c>
      <c r="AB13" s="1">
        <v>1.7188996157552427</v>
      </c>
      <c r="AC13" s="1">
        <v>0.12128620823924474</v>
      </c>
      <c r="AD13" s="1">
        <v>-1.4051694421937548</v>
      </c>
      <c r="AE13" s="1">
        <v>-1.5365287291607705</v>
      </c>
      <c r="AF13" s="1">
        <v>-1.6037714177007616</v>
      </c>
      <c r="AG13" s="1">
        <v>-4.4186573967507705</v>
      </c>
      <c r="AH13" s="1">
        <v>-5.7546631341007721</v>
      </c>
      <c r="AI13" s="1">
        <v>-4.2828241200607735</v>
      </c>
      <c r="AJ13" s="1">
        <v>-3.318813113430755</v>
      </c>
      <c r="AK13" s="1">
        <v>-2.2869922902807649</v>
      </c>
      <c r="AL13" s="1">
        <v>-1.1141125145307573</v>
      </c>
      <c r="AM13" s="1">
        <v>-0.85833921068075947</v>
      </c>
      <c r="AN13" s="1">
        <v>0.19842168935924309</v>
      </c>
      <c r="AO13" s="1">
        <v>9.0747949279244927E-2</v>
      </c>
      <c r="AP13" s="1">
        <v>0.28020932696923401</v>
      </c>
      <c r="AQ13" s="1">
        <v>1.6829712080392252</v>
      </c>
      <c r="AR13" s="1">
        <v>2.2472897998692272</v>
      </c>
      <c r="AS13" s="1">
        <v>1.5381377024192207</v>
      </c>
      <c r="AT13" s="1">
        <v>0.95009040011922963</v>
      </c>
      <c r="AU13" s="1">
        <v>0.16778843210923924</v>
      </c>
    </row>
    <row r="14" spans="1:47" x14ac:dyDescent="0.25">
      <c r="A14">
        <v>1986.375</v>
      </c>
      <c r="B14">
        <v>5</v>
      </c>
      <c r="C14" s="1">
        <v>1.1785690316392319</v>
      </c>
      <c r="G14" s="1">
        <v>1.1785690316392319</v>
      </c>
      <c r="H14" s="1">
        <v>1.7114235345992364</v>
      </c>
      <c r="I14" s="1">
        <v>-0.43541689654075511</v>
      </c>
      <c r="J14" s="1">
        <v>-2.7417317744307681</v>
      </c>
      <c r="K14" s="1">
        <v>-1.8271438100307529</v>
      </c>
      <c r="L14" s="1">
        <v>-1.8732676199307727</v>
      </c>
      <c r="M14" s="1">
        <v>0.73595420476922957</v>
      </c>
      <c r="N14" s="1">
        <v>1.5659244664692271</v>
      </c>
      <c r="O14" s="1">
        <v>1.8524098023792341</v>
      </c>
      <c r="P14" s="1">
        <v>2.4420961504492311</v>
      </c>
      <c r="Q14" s="1">
        <v>1.9535774414092228</v>
      </c>
      <c r="R14" s="1">
        <v>2.1399495708212228</v>
      </c>
      <c r="S14" s="1">
        <v>3.018522973209234</v>
      </c>
      <c r="T14" s="1">
        <v>3.2037219389892342</v>
      </c>
      <c r="U14" s="1">
        <v>2.8503516876992365</v>
      </c>
      <c r="V14" s="1">
        <v>1.5492982089822276</v>
      </c>
      <c r="W14" s="1">
        <v>-1.9206002569707727</v>
      </c>
      <c r="X14" s="1">
        <v>1.132073258699223</v>
      </c>
      <c r="Y14" s="1">
        <v>0.48051006084922643</v>
      </c>
      <c r="Z14" s="1">
        <v>1.0633639918392426</v>
      </c>
      <c r="AA14" s="1">
        <v>0.96519801415922746</v>
      </c>
      <c r="AB14" s="1">
        <v>1.8375980735592425</v>
      </c>
      <c r="AC14" s="1">
        <v>2.7315166602692278</v>
      </c>
      <c r="AD14" s="1">
        <v>2.1734786425192314</v>
      </c>
      <c r="AE14" s="1">
        <v>1.880515014489234</v>
      </c>
      <c r="AF14" s="1">
        <v>1.4169093568692384</v>
      </c>
      <c r="AG14" s="1">
        <v>-1.459145150890766</v>
      </c>
      <c r="AH14" s="1">
        <v>-0.25170846241076383</v>
      </c>
      <c r="AI14" s="1">
        <v>-0.36195759964077051</v>
      </c>
      <c r="AJ14" s="1">
        <v>-0.47425017163075722</v>
      </c>
      <c r="AK14" s="1">
        <v>-0.51962604492076825</v>
      </c>
      <c r="AL14" s="1">
        <v>1.7054727707192336</v>
      </c>
      <c r="AM14" s="1">
        <v>1.999494930519234</v>
      </c>
      <c r="AN14" s="1">
        <v>1.7188996157552427</v>
      </c>
      <c r="AO14" s="1">
        <v>0.12128620823924474</v>
      </c>
      <c r="AP14" s="1">
        <v>-1.4051694421937548</v>
      </c>
      <c r="AQ14" s="1">
        <v>-1.5365287291607705</v>
      </c>
      <c r="AR14" s="1">
        <v>-1.6037714177007616</v>
      </c>
      <c r="AS14" s="1">
        <v>-4.4186573967507705</v>
      </c>
      <c r="AT14" s="1">
        <v>-5.7546631341007721</v>
      </c>
      <c r="AU14" s="1">
        <v>-4.2828241200607735</v>
      </c>
    </row>
    <row r="15" spans="1:47" x14ac:dyDescent="0.25">
      <c r="A15">
        <v>1987.375</v>
      </c>
      <c r="B15">
        <v>5</v>
      </c>
      <c r="C15" s="1">
        <v>-0.33535354034076137</v>
      </c>
      <c r="G15" s="1">
        <v>-0.33535354034076137</v>
      </c>
      <c r="H15" s="1">
        <v>-1.3114206938707769</v>
      </c>
      <c r="I15" s="1">
        <v>-2.4788721167707712</v>
      </c>
      <c r="J15" s="1">
        <v>-2.8403952011307547</v>
      </c>
      <c r="K15" s="1">
        <v>-3.2496489045707593</v>
      </c>
      <c r="L15" s="1">
        <v>-3.9234169669407635</v>
      </c>
      <c r="M15" s="1">
        <v>-1.1159987036507704</v>
      </c>
      <c r="N15" s="1">
        <v>-0.73488822433075951</v>
      </c>
      <c r="O15" s="1">
        <v>2.1393244769225279E-2</v>
      </c>
      <c r="P15" s="1">
        <v>0.346637390069234</v>
      </c>
      <c r="Q15" s="1">
        <v>0.912020787759243</v>
      </c>
      <c r="R15" s="1">
        <v>0.75677649209923836</v>
      </c>
      <c r="S15" s="1">
        <v>1.1785690316392319</v>
      </c>
      <c r="T15" s="1">
        <v>1.7114235345992364</v>
      </c>
      <c r="U15" s="1">
        <v>-0.43541689654075511</v>
      </c>
      <c r="V15" s="1">
        <v>-2.7417317744307681</v>
      </c>
      <c r="W15" s="1">
        <v>-1.8271438100307529</v>
      </c>
      <c r="X15" s="1">
        <v>-1.8732676199307727</v>
      </c>
      <c r="Y15" s="1">
        <v>0.73595420476922957</v>
      </c>
      <c r="Z15" s="1">
        <v>1.5659244664692271</v>
      </c>
      <c r="AA15" s="1">
        <v>1.8524098023792341</v>
      </c>
      <c r="AB15" s="1">
        <v>2.4420961504492311</v>
      </c>
      <c r="AC15" s="1">
        <v>1.9535774414092228</v>
      </c>
      <c r="AD15" s="1">
        <v>2.1399495708212228</v>
      </c>
      <c r="AE15" s="1">
        <v>3.018522973209234</v>
      </c>
      <c r="AF15" s="1">
        <v>3.2037219389892342</v>
      </c>
      <c r="AG15" s="1">
        <v>2.8503516876992365</v>
      </c>
      <c r="AH15" s="1">
        <v>1.5492982089822276</v>
      </c>
      <c r="AI15" s="1">
        <v>-1.9206002569707727</v>
      </c>
      <c r="AJ15" s="1">
        <v>1.132073258699223</v>
      </c>
      <c r="AK15" s="1">
        <v>0.48051006084922643</v>
      </c>
      <c r="AL15" s="1">
        <v>1.0633639918392426</v>
      </c>
      <c r="AM15" s="1">
        <v>0.96519801415922746</v>
      </c>
      <c r="AN15" s="1">
        <v>1.8375980735592425</v>
      </c>
      <c r="AO15" s="1">
        <v>2.7315166602692278</v>
      </c>
      <c r="AP15" s="1">
        <v>2.1734786425192314</v>
      </c>
      <c r="AQ15" s="1">
        <v>1.880515014489234</v>
      </c>
      <c r="AR15" s="1">
        <v>1.4169093568692384</v>
      </c>
      <c r="AS15" s="1">
        <v>-1.459145150890766</v>
      </c>
      <c r="AT15" s="1">
        <v>-0.25170846241076383</v>
      </c>
      <c r="AU15" s="1">
        <v>-0.36195759964077051</v>
      </c>
    </row>
    <row r="16" spans="1:47" x14ac:dyDescent="0.25">
      <c r="A16">
        <v>1988.375</v>
      </c>
      <c r="B16">
        <v>5</v>
      </c>
      <c r="C16" s="1">
        <v>1.8152388873692404</v>
      </c>
      <c r="G16" s="1">
        <v>1.8152388873692404</v>
      </c>
      <c r="H16" s="1">
        <v>1.3004161718692424</v>
      </c>
      <c r="I16" s="1">
        <v>0.42120302822923172</v>
      </c>
      <c r="J16" s="1">
        <v>-1.738144879260775</v>
      </c>
      <c r="K16" s="1">
        <v>-1.4435084742307702</v>
      </c>
      <c r="L16" s="1">
        <v>-1.3359299806807639</v>
      </c>
      <c r="M16" s="1">
        <v>-1.46228869434076</v>
      </c>
      <c r="N16" s="1">
        <v>-1.0676690314607571</v>
      </c>
      <c r="O16" s="1">
        <v>-0.84388256081077684</v>
      </c>
      <c r="P16" s="1">
        <v>-0.98430620713077255</v>
      </c>
      <c r="Q16" s="1">
        <v>-1.0628494561707658</v>
      </c>
      <c r="R16" s="1">
        <v>-0.85776481624076351</v>
      </c>
      <c r="S16" s="1">
        <v>-0.33535354034076137</v>
      </c>
      <c r="T16" s="1">
        <v>-1.3114206938707769</v>
      </c>
      <c r="U16" s="1">
        <v>-2.4788721167707712</v>
      </c>
      <c r="V16" s="1">
        <v>-2.8403952011307547</v>
      </c>
      <c r="W16" s="1">
        <v>-3.2496489045707593</v>
      </c>
      <c r="X16" s="1">
        <v>-3.9234169669407635</v>
      </c>
      <c r="Y16" s="1">
        <v>-1.1159987036507704</v>
      </c>
      <c r="Z16" s="1">
        <v>-0.73488822433075951</v>
      </c>
      <c r="AA16" s="1">
        <v>2.1393244769225279E-2</v>
      </c>
      <c r="AB16" s="1">
        <v>0.346637390069234</v>
      </c>
      <c r="AC16" s="1">
        <v>0.912020787759243</v>
      </c>
      <c r="AD16" s="1">
        <v>0.75677649209923836</v>
      </c>
      <c r="AE16" s="1">
        <v>1.1785690316392319</v>
      </c>
      <c r="AF16" s="1">
        <v>1.7114235345992364</v>
      </c>
      <c r="AG16" s="1">
        <v>-0.43541689654075511</v>
      </c>
      <c r="AH16" s="1">
        <v>-2.7417317744307681</v>
      </c>
      <c r="AI16" s="1">
        <v>-1.8271438100307529</v>
      </c>
      <c r="AJ16" s="1">
        <v>-1.8732676199307727</v>
      </c>
      <c r="AK16" s="1">
        <v>0.73595420476922957</v>
      </c>
      <c r="AL16" s="1">
        <v>1.5659244664692271</v>
      </c>
      <c r="AM16" s="1">
        <v>1.8524098023792341</v>
      </c>
      <c r="AN16" s="1">
        <v>2.4420961504492311</v>
      </c>
      <c r="AO16" s="1">
        <v>1.9535774414092228</v>
      </c>
      <c r="AP16" s="1">
        <v>2.1399495708212228</v>
      </c>
      <c r="AQ16" s="1">
        <v>3.018522973209234</v>
      </c>
      <c r="AR16" s="1">
        <v>3.2037219389892342</v>
      </c>
      <c r="AS16" s="1">
        <v>2.8503516876992365</v>
      </c>
      <c r="AT16" s="1">
        <v>1.5492982089822276</v>
      </c>
      <c r="AU16" s="1">
        <v>-1.9206002569707727</v>
      </c>
    </row>
    <row r="17" spans="1:47" x14ac:dyDescent="0.25">
      <c r="A17">
        <v>1989.375</v>
      </c>
      <c r="B17">
        <v>5</v>
      </c>
      <c r="C17" s="1">
        <v>3.101098920829223</v>
      </c>
      <c r="G17" s="1">
        <v>3.101098920829223</v>
      </c>
      <c r="H17" s="1">
        <v>2.9412418136592424</v>
      </c>
      <c r="I17" s="1">
        <v>3.3389959835592316</v>
      </c>
      <c r="J17" s="1">
        <v>4.0775932636092254</v>
      </c>
      <c r="K17" s="1">
        <v>3.5894435184692313</v>
      </c>
      <c r="L17" s="1">
        <v>2.3186386828592394</v>
      </c>
      <c r="M17" s="1">
        <v>2.519808289969224</v>
      </c>
      <c r="N17" s="1">
        <v>2.8509511295692231</v>
      </c>
      <c r="O17" s="1">
        <v>4.210773910769225</v>
      </c>
      <c r="P17" s="1">
        <v>3.9125285119692315</v>
      </c>
      <c r="Q17" s="1">
        <v>4.1239791073692293</v>
      </c>
      <c r="R17" s="1">
        <v>2.838481122869227</v>
      </c>
      <c r="S17" s="1">
        <v>1.8152388873692404</v>
      </c>
      <c r="T17" s="1">
        <v>1.3004161718692424</v>
      </c>
      <c r="U17" s="1">
        <v>0.42120302822923172</v>
      </c>
      <c r="V17" s="1">
        <v>-1.738144879260775</v>
      </c>
      <c r="W17" s="1">
        <v>-1.4435084742307702</v>
      </c>
      <c r="X17" s="1">
        <v>-1.3359299806807639</v>
      </c>
      <c r="Y17" s="1">
        <v>-1.46228869434076</v>
      </c>
      <c r="Z17" s="1">
        <v>-1.0676690314607571</v>
      </c>
      <c r="AA17" s="1">
        <v>-0.84388256081077684</v>
      </c>
      <c r="AB17" s="1">
        <v>-0.98430620713077255</v>
      </c>
      <c r="AC17" s="1">
        <v>-1.0628494561707658</v>
      </c>
      <c r="AD17" s="1">
        <v>-0.85776481624076351</v>
      </c>
      <c r="AE17" s="1">
        <v>-0.33535354034076137</v>
      </c>
      <c r="AF17" s="1">
        <v>-1.3114206938707769</v>
      </c>
      <c r="AG17" s="1">
        <v>-2.4788721167707712</v>
      </c>
      <c r="AH17" s="1">
        <v>-2.8403952011307547</v>
      </c>
      <c r="AI17" s="1">
        <v>-3.2496489045707593</v>
      </c>
      <c r="AJ17" s="1">
        <v>-3.9234169669407635</v>
      </c>
      <c r="AK17" s="1">
        <v>-1.1159987036507704</v>
      </c>
      <c r="AL17" s="1">
        <v>-0.73488822433075951</v>
      </c>
      <c r="AM17" s="1">
        <v>2.1393244769225279E-2</v>
      </c>
      <c r="AN17" s="1">
        <v>0.346637390069234</v>
      </c>
      <c r="AO17" s="1">
        <v>0.912020787759243</v>
      </c>
      <c r="AP17" s="1">
        <v>0.75677649209923836</v>
      </c>
      <c r="AQ17" s="1">
        <v>1.1785690316392319</v>
      </c>
      <c r="AR17" s="1">
        <v>1.7114235345992364</v>
      </c>
      <c r="AS17" s="1">
        <v>-0.43541689654075511</v>
      </c>
      <c r="AT17" s="1">
        <v>-2.7417317744307681</v>
      </c>
      <c r="AU17" s="1">
        <v>-1.8271438100307529</v>
      </c>
    </row>
    <row r="18" spans="1:47" x14ac:dyDescent="0.25">
      <c r="A18">
        <v>1990.375</v>
      </c>
      <c r="B18">
        <v>5</v>
      </c>
      <c r="C18" s="1">
        <v>1.2389727557242383</v>
      </c>
      <c r="G18" s="1">
        <v>1.2389727557242383</v>
      </c>
      <c r="H18" s="1">
        <v>1.6186363016892316</v>
      </c>
      <c r="I18" s="1">
        <v>0.87342533512922516</v>
      </c>
      <c r="J18" s="1">
        <v>2.4928988691492382</v>
      </c>
      <c r="K18" s="1">
        <v>-6.0649675430752892E-2</v>
      </c>
      <c r="L18" s="1">
        <v>-0.80318400744077045</v>
      </c>
      <c r="M18" s="1">
        <v>1.7226007102992229</v>
      </c>
      <c r="N18" s="1">
        <v>2.123144150119245</v>
      </c>
      <c r="O18" s="1">
        <v>1.9350583343592276</v>
      </c>
      <c r="P18" s="1">
        <v>2.4970583207292276</v>
      </c>
      <c r="Q18" s="1">
        <v>3.1293092386692387</v>
      </c>
      <c r="R18" s="1">
        <v>2.5792642141692426</v>
      </c>
      <c r="S18" s="1">
        <v>3.101098920829223</v>
      </c>
      <c r="T18" s="1">
        <v>2.9412418136592424</v>
      </c>
      <c r="U18" s="1">
        <v>3.3389959835592316</v>
      </c>
      <c r="V18" s="1">
        <v>4.0775932636092254</v>
      </c>
      <c r="W18" s="1">
        <v>3.5894435184692313</v>
      </c>
      <c r="X18" s="1">
        <v>2.3186386828592394</v>
      </c>
      <c r="Y18" s="1">
        <v>2.519808289969224</v>
      </c>
      <c r="Z18" s="1">
        <v>2.8509511295692231</v>
      </c>
      <c r="AA18" s="1">
        <v>4.210773910769225</v>
      </c>
      <c r="AB18" s="1">
        <v>3.9125285119692315</v>
      </c>
      <c r="AC18" s="1">
        <v>4.1239791073692293</v>
      </c>
      <c r="AD18" s="1">
        <v>2.838481122869227</v>
      </c>
      <c r="AE18" s="1">
        <v>1.8152388873692404</v>
      </c>
      <c r="AF18" s="1">
        <v>1.3004161718692424</v>
      </c>
      <c r="AG18" s="1">
        <v>0.42120302822923172</v>
      </c>
      <c r="AH18" s="1">
        <v>-1.738144879260775</v>
      </c>
      <c r="AI18" s="1">
        <v>-1.4435084742307702</v>
      </c>
      <c r="AJ18" s="1">
        <v>-1.3359299806807639</v>
      </c>
      <c r="AK18" s="1">
        <v>-1.46228869434076</v>
      </c>
      <c r="AL18" s="1">
        <v>-1.0676690314607571</v>
      </c>
      <c r="AM18" s="1">
        <v>-0.84388256081077684</v>
      </c>
      <c r="AN18" s="1">
        <v>-0.98430620713077255</v>
      </c>
      <c r="AO18" s="1">
        <v>-1.0628494561707658</v>
      </c>
      <c r="AP18" s="1">
        <v>-0.85776481624076351</v>
      </c>
      <c r="AQ18" s="1">
        <v>-0.33535354034076137</v>
      </c>
      <c r="AR18" s="1">
        <v>-1.3114206938707769</v>
      </c>
      <c r="AS18" s="1">
        <v>-2.4788721167707712</v>
      </c>
      <c r="AT18" s="1">
        <v>-2.8403952011307547</v>
      </c>
      <c r="AU18" s="1">
        <v>-3.2496489045707593</v>
      </c>
    </row>
    <row r="19" spans="1:47" x14ac:dyDescent="0.25">
      <c r="A19">
        <v>1991.375</v>
      </c>
      <c r="B19">
        <v>5</v>
      </c>
      <c r="C19" s="1">
        <v>1.5588966751912405</v>
      </c>
      <c r="G19" s="1">
        <v>1.5588966751912405</v>
      </c>
      <c r="H19" s="1">
        <v>1.6316906620592251</v>
      </c>
      <c r="I19" s="1">
        <v>1.2957303481892386</v>
      </c>
      <c r="J19" s="1">
        <v>-1.2335507462607638</v>
      </c>
      <c r="K19" s="1">
        <v>0.16320301782923852</v>
      </c>
      <c r="L19" s="1">
        <v>1.1043187677692341</v>
      </c>
      <c r="M19" s="1">
        <v>2.7184411626292273</v>
      </c>
      <c r="N19" s="1">
        <v>1.6554374506492406</v>
      </c>
      <c r="O19" s="1">
        <v>0.73988715803922955</v>
      </c>
      <c r="P19" s="1">
        <v>1.2394592322392297</v>
      </c>
      <c r="Q19" s="1">
        <v>1.5319094081492275</v>
      </c>
      <c r="R19" s="1">
        <v>1.4473524387232231</v>
      </c>
      <c r="S19" s="1">
        <v>1.2389727557242383</v>
      </c>
      <c r="T19" s="1">
        <v>1.6186363016892316</v>
      </c>
      <c r="U19" s="1">
        <v>0.87342533512922516</v>
      </c>
      <c r="V19" s="1">
        <v>2.4928988691492382</v>
      </c>
      <c r="W19" s="1">
        <v>-6.0649675430752892E-2</v>
      </c>
      <c r="X19" s="1">
        <v>-0.80318400744077045</v>
      </c>
      <c r="Y19" s="1">
        <v>1.7226007102992229</v>
      </c>
      <c r="Z19" s="1">
        <v>2.123144150119245</v>
      </c>
      <c r="AA19" s="1">
        <v>1.9350583343592276</v>
      </c>
      <c r="AB19" s="1">
        <v>2.4970583207292276</v>
      </c>
      <c r="AC19" s="1">
        <v>3.1293092386692387</v>
      </c>
      <c r="AD19" s="1">
        <v>2.5792642141692426</v>
      </c>
      <c r="AE19" s="1">
        <v>3.101098920829223</v>
      </c>
      <c r="AF19" s="1">
        <v>2.9412418136592424</v>
      </c>
      <c r="AG19" s="1">
        <v>3.3389959835592316</v>
      </c>
      <c r="AH19" s="1">
        <v>4.0775932636092254</v>
      </c>
      <c r="AI19" s="1">
        <v>3.5894435184692313</v>
      </c>
      <c r="AJ19" s="1">
        <v>2.3186386828592394</v>
      </c>
      <c r="AK19" s="1">
        <v>2.519808289969224</v>
      </c>
      <c r="AL19" s="1">
        <v>2.8509511295692231</v>
      </c>
      <c r="AM19" s="1">
        <v>4.210773910769225</v>
      </c>
      <c r="AN19" s="1">
        <v>3.9125285119692315</v>
      </c>
      <c r="AO19" s="1">
        <v>4.1239791073692293</v>
      </c>
      <c r="AP19" s="1">
        <v>2.838481122869227</v>
      </c>
      <c r="AQ19" s="1">
        <v>1.8152388873692404</v>
      </c>
      <c r="AR19" s="1">
        <v>1.3004161718692424</v>
      </c>
      <c r="AS19" s="1">
        <v>0.42120302822923172</v>
      </c>
      <c r="AT19" s="1">
        <v>-1.738144879260775</v>
      </c>
      <c r="AU19" s="1">
        <v>-1.4435084742307702</v>
      </c>
    </row>
    <row r="20" spans="1:47" x14ac:dyDescent="0.25">
      <c r="A20">
        <v>1992.375</v>
      </c>
      <c r="B20">
        <v>5</v>
      </c>
      <c r="C20" s="1">
        <v>-0.84115852963076165</v>
      </c>
      <c r="G20" s="1">
        <v>-0.84115852963076165</v>
      </c>
      <c r="H20" s="1">
        <v>-1.4262157430307572</v>
      </c>
      <c r="I20" s="1">
        <v>-1.6423887356207789</v>
      </c>
      <c r="J20" s="1">
        <v>-2.3034867752407635</v>
      </c>
      <c r="K20" s="1">
        <v>-4.0346397557107512</v>
      </c>
      <c r="L20" s="1">
        <v>-1.5787000165107659</v>
      </c>
      <c r="M20" s="1">
        <v>-1.6823914399807602</v>
      </c>
      <c r="N20" s="1">
        <v>-0.45250741993075744</v>
      </c>
      <c r="O20" s="1">
        <v>-0.43909391222076166</v>
      </c>
      <c r="P20" s="1">
        <v>0.99610122664924261</v>
      </c>
      <c r="Q20" s="1">
        <v>1.3196503246692344</v>
      </c>
      <c r="R20" s="1">
        <v>1.5908299070092362</v>
      </c>
      <c r="S20" s="1">
        <v>1.5588966751912405</v>
      </c>
      <c r="T20" s="1">
        <v>1.6316906620592251</v>
      </c>
      <c r="U20" s="1">
        <v>1.2957303481892386</v>
      </c>
      <c r="V20" s="1">
        <v>-1.2335507462607638</v>
      </c>
      <c r="W20" s="1">
        <v>0.16320301782923852</v>
      </c>
      <c r="X20" s="1">
        <v>1.1043187677692341</v>
      </c>
      <c r="Y20" s="1">
        <v>2.7184411626292273</v>
      </c>
      <c r="Z20" s="1">
        <v>1.6554374506492406</v>
      </c>
      <c r="AA20" s="1">
        <v>0.73988715803922955</v>
      </c>
      <c r="AB20" s="1">
        <v>1.2394592322392297</v>
      </c>
      <c r="AC20" s="1">
        <v>1.5319094081492275</v>
      </c>
      <c r="AD20" s="1">
        <v>1.4473524387232231</v>
      </c>
      <c r="AE20" s="1">
        <v>1.2389727557242383</v>
      </c>
      <c r="AF20" s="1">
        <v>1.6186363016892316</v>
      </c>
      <c r="AG20" s="1">
        <v>0.87342533512922516</v>
      </c>
      <c r="AH20" s="1">
        <v>2.4928988691492382</v>
      </c>
      <c r="AI20" s="1">
        <v>-6.0649675430752892E-2</v>
      </c>
      <c r="AJ20" s="1">
        <v>-0.80318400744077045</v>
      </c>
      <c r="AK20" s="1">
        <v>1.7226007102992229</v>
      </c>
      <c r="AL20" s="1">
        <v>2.123144150119245</v>
      </c>
      <c r="AM20" s="1">
        <v>1.9350583343592276</v>
      </c>
      <c r="AN20" s="1">
        <v>2.4970583207292276</v>
      </c>
      <c r="AO20" s="1">
        <v>3.1293092386692387</v>
      </c>
      <c r="AP20" s="1">
        <v>2.5792642141692426</v>
      </c>
      <c r="AQ20" s="1">
        <v>3.101098920829223</v>
      </c>
      <c r="AR20" s="1">
        <v>2.9412418136592424</v>
      </c>
      <c r="AS20" s="1">
        <v>3.3389959835592316</v>
      </c>
      <c r="AT20" s="1">
        <v>4.0775932636092254</v>
      </c>
      <c r="AU20" s="1">
        <v>3.5894435184692313</v>
      </c>
    </row>
    <row r="21" spans="1:47" x14ac:dyDescent="0.25">
      <c r="A21">
        <v>1993.375</v>
      </c>
      <c r="B21">
        <v>5</v>
      </c>
      <c r="C21" s="1">
        <v>-1.7499852617307701</v>
      </c>
      <c r="G21" s="1">
        <v>-1.7499852617307701</v>
      </c>
      <c r="H21" s="1">
        <v>-1.4652308750507557</v>
      </c>
      <c r="I21" s="1">
        <v>-1.400128325530777</v>
      </c>
      <c r="J21" s="1">
        <v>-2.5427820538307531</v>
      </c>
      <c r="K21" s="1">
        <v>-6.6647353730779207E-2</v>
      </c>
      <c r="L21" s="1">
        <v>0.2562015870692339</v>
      </c>
      <c r="M21" s="1">
        <v>-0.76324945283075885</v>
      </c>
      <c r="N21" s="1">
        <v>-0.47740350051075731</v>
      </c>
      <c r="O21" s="1">
        <v>0.67246091184924062</v>
      </c>
      <c r="P21" s="1">
        <v>0.91106123696924057</v>
      </c>
      <c r="Q21" s="1">
        <v>0.30045070326922318</v>
      </c>
      <c r="R21" s="1">
        <v>-1.121383650430777</v>
      </c>
      <c r="S21" s="1">
        <v>-0.84115852963076165</v>
      </c>
      <c r="T21" s="1">
        <v>-1.4262157430307572</v>
      </c>
      <c r="U21" s="1">
        <v>-1.6423887356207789</v>
      </c>
      <c r="V21" s="1">
        <v>-2.3034867752407635</v>
      </c>
      <c r="W21" s="1">
        <v>-4.0346397557107512</v>
      </c>
      <c r="X21" s="1">
        <v>-1.5787000165107659</v>
      </c>
      <c r="Y21" s="1">
        <v>-1.6823914399807602</v>
      </c>
      <c r="Z21" s="1">
        <v>-0.45250741993075744</v>
      </c>
      <c r="AA21" s="1">
        <v>-0.43909391222076166</v>
      </c>
      <c r="AB21" s="1">
        <v>0.99610122664924261</v>
      </c>
      <c r="AC21" s="1">
        <v>1.3196503246692344</v>
      </c>
      <c r="AD21" s="1">
        <v>1.5908299070092362</v>
      </c>
      <c r="AE21" s="1">
        <v>1.5588966751912405</v>
      </c>
      <c r="AF21" s="1">
        <v>1.6316906620592251</v>
      </c>
      <c r="AG21" s="1">
        <v>1.2957303481892386</v>
      </c>
      <c r="AH21" s="1">
        <v>-1.2335507462607638</v>
      </c>
      <c r="AI21" s="1">
        <v>0.16320301782923852</v>
      </c>
      <c r="AJ21" s="1">
        <v>1.1043187677692341</v>
      </c>
      <c r="AK21" s="1">
        <v>2.7184411626292273</v>
      </c>
      <c r="AL21" s="1">
        <v>1.6554374506492406</v>
      </c>
      <c r="AM21" s="1">
        <v>0.73988715803922955</v>
      </c>
      <c r="AN21" s="1">
        <v>1.2394592322392297</v>
      </c>
      <c r="AO21" s="1">
        <v>1.5319094081492275</v>
      </c>
      <c r="AP21" s="1">
        <v>1.4473524387232231</v>
      </c>
      <c r="AQ21" s="1">
        <v>1.2389727557242383</v>
      </c>
      <c r="AR21" s="1">
        <v>1.6186363016892316</v>
      </c>
      <c r="AS21" s="1">
        <v>0.87342533512922516</v>
      </c>
      <c r="AT21" s="1">
        <v>2.4928988691492382</v>
      </c>
      <c r="AU21" s="1">
        <v>-6.0649675430752892E-2</v>
      </c>
    </row>
    <row r="22" spans="1:47" x14ac:dyDescent="0.25">
      <c r="A22">
        <v>1994.375</v>
      </c>
      <c r="B22">
        <v>5</v>
      </c>
      <c r="C22" s="1">
        <v>0.48058693018923609</v>
      </c>
      <c r="G22" s="1">
        <v>0.48058693018923609</v>
      </c>
      <c r="H22" s="1">
        <v>0.43658393346923852</v>
      </c>
      <c r="I22" s="1">
        <v>0.55829599056923407</v>
      </c>
      <c r="J22" s="1">
        <v>-0.26735246563077253</v>
      </c>
      <c r="K22" s="1">
        <v>-0.96840572933077751</v>
      </c>
      <c r="L22" s="1">
        <v>-1.3840851574307529</v>
      </c>
      <c r="M22" s="1">
        <v>-0.34274929363076823</v>
      </c>
      <c r="N22" s="1">
        <v>-1.003711165430766</v>
      </c>
      <c r="O22" s="1">
        <v>3.3413247869227392E-2</v>
      </c>
      <c r="P22" s="1">
        <v>-0.23892460953076178</v>
      </c>
      <c r="Q22" s="1">
        <v>-5.7858695630772616E-2</v>
      </c>
      <c r="R22" s="1">
        <v>-1.2440622765307658</v>
      </c>
      <c r="S22" s="1">
        <v>-1.7499852617307701</v>
      </c>
      <c r="T22" s="1">
        <v>-1.4652308750507557</v>
      </c>
      <c r="U22" s="1">
        <v>-1.400128325530777</v>
      </c>
      <c r="V22" s="1">
        <v>-2.5427820538307531</v>
      </c>
      <c r="W22" s="1">
        <v>-6.6647353730779207E-2</v>
      </c>
      <c r="X22" s="1">
        <v>0.2562015870692339</v>
      </c>
      <c r="Y22" s="1">
        <v>-0.76324945283075885</v>
      </c>
      <c r="Z22" s="1">
        <v>-0.47740350051075731</v>
      </c>
      <c r="AA22" s="1">
        <v>0.67246091184924062</v>
      </c>
      <c r="AB22" s="1">
        <v>0.91106123696924057</v>
      </c>
      <c r="AC22" s="1">
        <v>0.30045070326922318</v>
      </c>
      <c r="AD22" s="1">
        <v>-1.121383650430777</v>
      </c>
      <c r="AE22" s="1">
        <v>-0.84115852963076165</v>
      </c>
      <c r="AF22" s="1">
        <v>-1.4262157430307572</v>
      </c>
      <c r="AG22" s="1">
        <v>-1.6423887356207789</v>
      </c>
      <c r="AH22" s="1">
        <v>-2.3034867752407635</v>
      </c>
      <c r="AI22" s="1">
        <v>-4.0346397557107512</v>
      </c>
      <c r="AJ22" s="1">
        <v>-1.5787000165107659</v>
      </c>
      <c r="AK22" s="1">
        <v>-1.6823914399807602</v>
      </c>
      <c r="AL22" s="1">
        <v>-0.45250741993075744</v>
      </c>
      <c r="AM22" s="1">
        <v>-0.43909391222076166</v>
      </c>
      <c r="AN22" s="1">
        <v>0.99610122664924261</v>
      </c>
      <c r="AO22" s="1">
        <v>1.3196503246692344</v>
      </c>
      <c r="AP22" s="1">
        <v>1.5908299070092362</v>
      </c>
      <c r="AQ22" s="1">
        <v>1.5588966751912405</v>
      </c>
      <c r="AR22" s="1">
        <v>1.6316906620592251</v>
      </c>
      <c r="AS22" s="1">
        <v>1.2957303481892386</v>
      </c>
      <c r="AT22" s="1">
        <v>-1.2335507462607638</v>
      </c>
      <c r="AU22" s="1">
        <v>0.16320301782923852</v>
      </c>
    </row>
    <row r="23" spans="1:47" x14ac:dyDescent="0.25">
      <c r="A23">
        <v>1995.375</v>
      </c>
      <c r="B23">
        <v>5</v>
      </c>
      <c r="C23" s="1">
        <v>7.6683764169240554E-2</v>
      </c>
      <c r="G23" s="1">
        <v>7.6683764169240554E-2</v>
      </c>
      <c r="H23" s="1">
        <v>0.10972375916922747</v>
      </c>
      <c r="I23" s="1">
        <v>-0.31761633993075511</v>
      </c>
      <c r="J23" s="1">
        <v>-1.3699783146307574</v>
      </c>
      <c r="K23" s="1">
        <v>-2.2407406892407531</v>
      </c>
      <c r="L23" s="1">
        <v>-1.0063510335307699</v>
      </c>
      <c r="M23" s="1">
        <v>1.3061153370692451</v>
      </c>
      <c r="N23" s="1">
        <v>-0.22854296843077238</v>
      </c>
      <c r="O23" s="1">
        <v>0.54970240346922294</v>
      </c>
      <c r="P23" s="1">
        <v>1.4629862816792296</v>
      </c>
      <c r="Q23" s="1">
        <v>1.3126903932192404</v>
      </c>
      <c r="R23" s="1">
        <v>1.4165573207592337</v>
      </c>
      <c r="S23" s="1">
        <v>0.48058693018923609</v>
      </c>
      <c r="T23" s="1">
        <v>0.43658393346923852</v>
      </c>
      <c r="U23" s="1">
        <v>0.55829599056923407</v>
      </c>
      <c r="V23" s="1">
        <v>-0.26735246563077253</v>
      </c>
      <c r="W23" s="1">
        <v>-0.96840572933077751</v>
      </c>
      <c r="X23" s="1">
        <v>-1.3840851574307529</v>
      </c>
      <c r="Y23" s="1">
        <v>-0.34274929363076823</v>
      </c>
      <c r="Z23" s="1">
        <v>-1.003711165430766</v>
      </c>
      <c r="AA23" s="1">
        <v>3.3413247869227392E-2</v>
      </c>
      <c r="AB23" s="1">
        <v>-0.23892460953076178</v>
      </c>
      <c r="AC23" s="1">
        <v>-5.7858695630772616E-2</v>
      </c>
      <c r="AD23" s="1">
        <v>-1.2440622765307658</v>
      </c>
      <c r="AE23" s="1">
        <v>-1.7499852617307701</v>
      </c>
      <c r="AF23" s="1">
        <v>-1.4652308750507557</v>
      </c>
      <c r="AG23" s="1">
        <v>-1.400128325530777</v>
      </c>
      <c r="AH23" s="1">
        <v>-2.5427820538307531</v>
      </c>
      <c r="AI23" s="1">
        <v>-6.6647353730779207E-2</v>
      </c>
      <c r="AJ23" s="1">
        <v>0.2562015870692339</v>
      </c>
      <c r="AK23" s="1">
        <v>-0.76324945283075885</v>
      </c>
      <c r="AL23" s="1">
        <v>-0.47740350051075731</v>
      </c>
      <c r="AM23" s="1">
        <v>0.67246091184924062</v>
      </c>
      <c r="AN23" s="1">
        <v>0.91106123696924057</v>
      </c>
      <c r="AO23" s="1">
        <v>0.30045070326922318</v>
      </c>
      <c r="AP23" s="1">
        <v>-1.121383650430777</v>
      </c>
      <c r="AQ23" s="1">
        <v>-0.84115852963076165</v>
      </c>
      <c r="AR23" s="1">
        <v>-1.4262157430307572</v>
      </c>
      <c r="AS23" s="1">
        <v>-1.6423887356207789</v>
      </c>
      <c r="AT23" s="1">
        <v>-2.3034867752407635</v>
      </c>
      <c r="AU23" s="1">
        <v>-4.0346397557107512</v>
      </c>
    </row>
    <row r="24" spans="1:47" x14ac:dyDescent="0.25">
      <c r="A24">
        <v>1996.375</v>
      </c>
      <c r="B24">
        <v>5</v>
      </c>
      <c r="C24" s="1">
        <v>0.93481068946924495</v>
      </c>
      <c r="G24" s="1">
        <v>0.93481068946924495</v>
      </c>
      <c r="H24" s="1">
        <v>-9.6817897150762722E-2</v>
      </c>
      <c r="I24" s="1">
        <v>0.34425614486924488</v>
      </c>
      <c r="J24" s="1">
        <v>5.2294937169236277E-2</v>
      </c>
      <c r="K24" s="1">
        <v>0.12928496692922442</v>
      </c>
      <c r="L24" s="1">
        <v>-1.3773610517907746</v>
      </c>
      <c r="M24" s="1">
        <v>1.5170529866692426</v>
      </c>
      <c r="N24" s="1">
        <v>1.4887714762392252</v>
      </c>
      <c r="O24" s="1">
        <v>0.48882257341924473</v>
      </c>
      <c r="P24" s="1">
        <v>2.4735421464692338</v>
      </c>
      <c r="Q24" s="1">
        <v>1.2489220058692447</v>
      </c>
      <c r="R24" s="1">
        <v>0.55404742496924286</v>
      </c>
      <c r="S24" s="1">
        <v>7.6683764169240554E-2</v>
      </c>
      <c r="T24" s="1">
        <v>0.10972375916922747</v>
      </c>
      <c r="U24" s="1">
        <v>-0.31761633993075511</v>
      </c>
      <c r="V24" s="1">
        <v>-1.3699783146307574</v>
      </c>
      <c r="W24" s="1">
        <v>-2.2407406892407531</v>
      </c>
      <c r="X24" s="1">
        <v>-1.0063510335307699</v>
      </c>
      <c r="Y24" s="1">
        <v>1.3061153370692451</v>
      </c>
      <c r="Z24" s="1">
        <v>-0.22854296843077238</v>
      </c>
      <c r="AA24" s="1">
        <v>0.54970240346922294</v>
      </c>
      <c r="AB24" s="1">
        <v>1.4629862816792296</v>
      </c>
      <c r="AC24" s="1">
        <v>1.3126903932192404</v>
      </c>
      <c r="AD24" s="1">
        <v>1.4165573207592337</v>
      </c>
      <c r="AE24" s="1">
        <v>0.48058693018923609</v>
      </c>
      <c r="AF24" s="1">
        <v>0.43658393346923852</v>
      </c>
      <c r="AG24" s="1">
        <v>0.55829599056923407</v>
      </c>
      <c r="AH24" s="1">
        <v>-0.26735246563077253</v>
      </c>
      <c r="AI24" s="1">
        <v>-0.96840572933077751</v>
      </c>
      <c r="AJ24" s="1">
        <v>-1.3840851574307529</v>
      </c>
      <c r="AK24" s="1">
        <v>-0.34274929363076823</v>
      </c>
      <c r="AL24" s="1">
        <v>-1.003711165430766</v>
      </c>
      <c r="AM24" s="1">
        <v>3.3413247869227392E-2</v>
      </c>
      <c r="AN24" s="1">
        <v>-0.23892460953076178</v>
      </c>
      <c r="AO24" s="1">
        <v>-5.7858695630772616E-2</v>
      </c>
      <c r="AP24" s="1">
        <v>-1.2440622765307658</v>
      </c>
      <c r="AQ24" s="1">
        <v>-1.7499852617307701</v>
      </c>
      <c r="AR24" s="1">
        <v>-1.4652308750507557</v>
      </c>
      <c r="AS24" s="1">
        <v>-1.400128325530777</v>
      </c>
      <c r="AT24" s="1">
        <v>-2.5427820538307531</v>
      </c>
      <c r="AU24" s="1">
        <v>-6.6647353730779207E-2</v>
      </c>
    </row>
    <row r="25" spans="1:47" x14ac:dyDescent="0.25">
      <c r="A25">
        <v>1997.375</v>
      </c>
      <c r="B25">
        <v>5</v>
      </c>
      <c r="C25" s="1">
        <v>-1.0207669603507683</v>
      </c>
      <c r="G25" s="1">
        <v>-1.0207669603507683</v>
      </c>
      <c r="H25" s="1">
        <v>-9.7373376630768144E-2</v>
      </c>
      <c r="I25" s="1">
        <v>1.4184623768092359</v>
      </c>
      <c r="J25" s="1">
        <v>-0.48558845493075964</v>
      </c>
      <c r="K25" s="1">
        <v>-1.4328003235307725</v>
      </c>
      <c r="L25" s="1">
        <v>0.25270418406924511</v>
      </c>
      <c r="M25" s="1">
        <v>0.81910462036922738</v>
      </c>
      <c r="N25" s="1">
        <v>1.2670931882692424</v>
      </c>
      <c r="O25" s="1">
        <v>1.252030043689234</v>
      </c>
      <c r="P25" s="1">
        <v>2.7404304538592403</v>
      </c>
      <c r="Q25" s="1">
        <v>2.3489521429392384</v>
      </c>
      <c r="R25" s="1">
        <v>1.766043151369225</v>
      </c>
      <c r="S25" s="1">
        <v>0.93481068946924495</v>
      </c>
      <c r="T25" s="1">
        <v>-9.6817897150762722E-2</v>
      </c>
      <c r="U25" s="1">
        <v>0.34425614486924488</v>
      </c>
      <c r="V25" s="1">
        <v>5.2294937169236277E-2</v>
      </c>
      <c r="W25" s="1">
        <v>0.12928496692922442</v>
      </c>
      <c r="X25" s="1">
        <v>-1.3773610517907746</v>
      </c>
      <c r="Y25" s="1">
        <v>1.5170529866692426</v>
      </c>
      <c r="Z25" s="1">
        <v>1.4887714762392252</v>
      </c>
      <c r="AA25" s="1">
        <v>0.48882257341924473</v>
      </c>
      <c r="AB25" s="1">
        <v>2.4735421464692338</v>
      </c>
      <c r="AC25" s="1">
        <v>1.2489220058692447</v>
      </c>
      <c r="AD25" s="1">
        <v>0.55404742496924286</v>
      </c>
      <c r="AE25" s="1">
        <v>7.6683764169240554E-2</v>
      </c>
      <c r="AF25" s="1">
        <v>0.10972375916922747</v>
      </c>
      <c r="AG25" s="1">
        <v>-0.31761633993075511</v>
      </c>
      <c r="AH25" s="1">
        <v>-1.3699783146307574</v>
      </c>
      <c r="AI25" s="1">
        <v>-2.2407406892407531</v>
      </c>
      <c r="AJ25" s="1">
        <v>-1.0063510335307699</v>
      </c>
      <c r="AK25" s="1">
        <v>1.3061153370692451</v>
      </c>
      <c r="AL25" s="1">
        <v>-0.22854296843077238</v>
      </c>
      <c r="AM25" s="1">
        <v>0.54970240346922294</v>
      </c>
      <c r="AN25" s="1">
        <v>1.4629862816792296</v>
      </c>
      <c r="AO25" s="1">
        <v>1.3126903932192404</v>
      </c>
      <c r="AP25" s="1">
        <v>1.4165573207592337</v>
      </c>
      <c r="AQ25" s="1">
        <v>0.48058693018923609</v>
      </c>
      <c r="AR25" s="1">
        <v>0.43658393346923852</v>
      </c>
      <c r="AS25" s="1">
        <v>0.55829599056923407</v>
      </c>
      <c r="AT25" s="1">
        <v>-0.26735246563077253</v>
      </c>
      <c r="AU25" s="1">
        <v>-0.96840572933077751</v>
      </c>
    </row>
    <row r="26" spans="1:47" x14ac:dyDescent="0.25">
      <c r="A26">
        <v>1998.375</v>
      </c>
      <c r="B26">
        <v>5</v>
      </c>
      <c r="C26" s="1">
        <v>0.36530161782924503</v>
      </c>
      <c r="G26" s="1">
        <v>0.36530161782924503</v>
      </c>
      <c r="H26" s="1">
        <v>-0.67479155132076152</v>
      </c>
      <c r="I26" s="1">
        <v>-2.787153976350762</v>
      </c>
      <c r="J26" s="1">
        <v>-4.7932476183307555</v>
      </c>
      <c r="K26" s="1">
        <v>-5.1007095236207638</v>
      </c>
      <c r="L26" s="1">
        <v>-3.1512866676807603</v>
      </c>
      <c r="M26" s="1">
        <v>-3.1398037807207642</v>
      </c>
      <c r="N26" s="1">
        <v>-2.6304183801607746</v>
      </c>
      <c r="O26" s="1">
        <v>-2.6443173447007617</v>
      </c>
      <c r="P26" s="1">
        <v>-2.0635819996307614</v>
      </c>
      <c r="Q26" s="1">
        <v>-1.616506618360757</v>
      </c>
      <c r="R26" s="1">
        <v>-2.2607291906107592</v>
      </c>
      <c r="S26" s="1">
        <v>-1.0207669603507683</v>
      </c>
      <c r="T26" s="1">
        <v>-9.7373376630768144E-2</v>
      </c>
      <c r="U26" s="1">
        <v>1.4184623768092359</v>
      </c>
      <c r="V26" s="1">
        <v>-0.48558845493075964</v>
      </c>
      <c r="W26" s="1">
        <v>-1.4328003235307725</v>
      </c>
      <c r="X26" s="1">
        <v>0.25270418406924511</v>
      </c>
      <c r="Y26" s="1">
        <v>0.81910462036922738</v>
      </c>
      <c r="Z26" s="1">
        <v>1.2670931882692424</v>
      </c>
      <c r="AA26" s="1">
        <v>1.252030043689234</v>
      </c>
      <c r="AB26" s="1">
        <v>2.7404304538592403</v>
      </c>
      <c r="AC26" s="1">
        <v>2.3489521429392384</v>
      </c>
      <c r="AD26" s="1">
        <v>1.766043151369225</v>
      </c>
      <c r="AE26" s="1">
        <v>0.93481068946924495</v>
      </c>
      <c r="AF26" s="1">
        <v>-9.6817897150762722E-2</v>
      </c>
      <c r="AG26" s="1">
        <v>0.34425614486924488</v>
      </c>
      <c r="AH26" s="1">
        <v>5.2294937169236277E-2</v>
      </c>
      <c r="AI26" s="1">
        <v>0.12928496692922442</v>
      </c>
      <c r="AJ26" s="1">
        <v>-1.3773610517907746</v>
      </c>
      <c r="AK26" s="1">
        <v>1.5170529866692426</v>
      </c>
      <c r="AL26" s="1">
        <v>1.4887714762392252</v>
      </c>
      <c r="AM26" s="1">
        <v>0.48882257341924473</v>
      </c>
      <c r="AN26" s="1">
        <v>2.4735421464692338</v>
      </c>
      <c r="AO26" s="1">
        <v>1.2489220058692447</v>
      </c>
      <c r="AP26" s="1">
        <v>0.55404742496924286</v>
      </c>
      <c r="AQ26" s="1">
        <v>7.6683764169240554E-2</v>
      </c>
      <c r="AR26" s="1">
        <v>0.10972375916922747</v>
      </c>
      <c r="AS26" s="1">
        <v>-0.31761633993075511</v>
      </c>
      <c r="AT26" s="1">
        <v>-1.3699783146307574</v>
      </c>
      <c r="AU26" s="1">
        <v>-2.2407406892407531</v>
      </c>
    </row>
    <row r="27" spans="1:47" x14ac:dyDescent="0.25">
      <c r="A27">
        <v>1999.375</v>
      </c>
      <c r="B27">
        <v>5</v>
      </c>
      <c r="C27" s="1">
        <v>4.2896200438692365</v>
      </c>
      <c r="D27">
        <v>14.684027671861875</v>
      </c>
      <c r="G27" s="1">
        <v>4.2896200438692365</v>
      </c>
      <c r="H27" s="1">
        <v>4.2750099174692346</v>
      </c>
      <c r="I27" s="1">
        <v>2.720610813269225</v>
      </c>
      <c r="J27" s="1">
        <v>2.0505162265692274</v>
      </c>
      <c r="K27" s="1">
        <v>2.0362881506692445</v>
      </c>
      <c r="L27" s="1">
        <v>3.053984121499234</v>
      </c>
      <c r="M27" s="1">
        <v>2.044175869139242</v>
      </c>
      <c r="N27" s="1">
        <v>3.7128887155072277</v>
      </c>
      <c r="O27" s="1">
        <v>3.4363206710852405</v>
      </c>
      <c r="P27" s="1">
        <v>4.4289432049292321</v>
      </c>
      <c r="Q27" s="1">
        <v>3.8889257109492208</v>
      </c>
      <c r="R27" s="1">
        <v>2.0395898820592362</v>
      </c>
      <c r="S27" s="1">
        <v>0.36530161782924503</v>
      </c>
      <c r="T27" s="1">
        <v>-0.67479155132076152</v>
      </c>
      <c r="U27" s="1">
        <v>-2.787153976350762</v>
      </c>
      <c r="V27" s="1">
        <v>-4.7932476183307555</v>
      </c>
      <c r="W27" s="1">
        <v>-5.1007095236207638</v>
      </c>
      <c r="X27" s="1">
        <v>-3.1512866676807603</v>
      </c>
      <c r="Y27" s="1">
        <v>-3.1398037807207642</v>
      </c>
      <c r="Z27" s="1">
        <v>-2.6304183801607746</v>
      </c>
      <c r="AA27" s="1">
        <v>-2.6443173447007617</v>
      </c>
      <c r="AB27" s="1">
        <v>-2.0635819996307614</v>
      </c>
      <c r="AC27" s="1">
        <v>-1.616506618360757</v>
      </c>
      <c r="AD27" s="1">
        <v>-2.2607291906107592</v>
      </c>
      <c r="AE27" s="1">
        <v>-1.0207669603507683</v>
      </c>
      <c r="AF27" s="1">
        <v>-9.7373376630768144E-2</v>
      </c>
      <c r="AG27" s="1">
        <v>1.4184623768092359</v>
      </c>
      <c r="AH27" s="1">
        <v>-0.48558845493075964</v>
      </c>
      <c r="AI27" s="1">
        <v>-1.4328003235307725</v>
      </c>
      <c r="AJ27" s="1">
        <v>0.25270418406924511</v>
      </c>
      <c r="AK27" s="1">
        <v>0.81910462036922738</v>
      </c>
      <c r="AL27" s="1">
        <v>1.2670931882692424</v>
      </c>
      <c r="AM27" s="1">
        <v>1.252030043689234</v>
      </c>
      <c r="AN27" s="1">
        <v>2.7404304538592403</v>
      </c>
      <c r="AO27" s="1">
        <v>2.3489521429392384</v>
      </c>
      <c r="AP27" s="1">
        <v>1.766043151369225</v>
      </c>
      <c r="AQ27" s="1">
        <v>0.93481068946924495</v>
      </c>
      <c r="AR27" s="1">
        <v>-9.6817897150762722E-2</v>
      </c>
      <c r="AS27" s="1">
        <v>0.34425614486924488</v>
      </c>
      <c r="AT27" s="1">
        <v>5.2294937169236277E-2</v>
      </c>
      <c r="AU27" s="1">
        <v>0.12928496692922442</v>
      </c>
    </row>
    <row r="28" spans="1:47" x14ac:dyDescent="0.25">
      <c r="A28">
        <v>2000.375</v>
      </c>
      <c r="B28">
        <v>5</v>
      </c>
      <c r="C28" s="1">
        <v>3.5373226747692317</v>
      </c>
      <c r="D28">
        <v>14.983986858366556</v>
      </c>
      <c r="G28" s="1">
        <v>3.5373226747692317</v>
      </c>
      <c r="H28" s="1">
        <v>3.0903652242692421</v>
      </c>
      <c r="I28" s="1">
        <v>1.4600406446692253</v>
      </c>
      <c r="J28" s="1">
        <v>0.9794701684692293</v>
      </c>
      <c r="K28" s="1">
        <v>4.1817926795692255</v>
      </c>
      <c r="L28" s="1">
        <v>3.394136948569225</v>
      </c>
      <c r="M28" s="1">
        <v>3.509488163569245</v>
      </c>
      <c r="N28" s="1">
        <v>4.1367831363692362</v>
      </c>
      <c r="O28" s="1">
        <v>3.8332401099692253</v>
      </c>
      <c r="P28" s="1">
        <v>3.4883985685692318</v>
      </c>
      <c r="Q28" s="1">
        <v>4.7052333398692276</v>
      </c>
      <c r="R28" s="1">
        <v>4.0284021538692274</v>
      </c>
      <c r="S28" s="1">
        <v>4.2896200438692365</v>
      </c>
      <c r="T28" s="1">
        <v>4.2750099174692346</v>
      </c>
      <c r="U28" s="1">
        <v>2.720610813269225</v>
      </c>
      <c r="V28" s="1">
        <v>2.0505162265692274</v>
      </c>
      <c r="W28" s="1">
        <v>2.0362881506692445</v>
      </c>
      <c r="X28" s="1">
        <v>3.053984121499234</v>
      </c>
      <c r="Y28" s="1">
        <v>2.044175869139242</v>
      </c>
      <c r="Z28" s="1">
        <v>3.7128887155072277</v>
      </c>
      <c r="AA28" s="1">
        <v>3.4363206710852405</v>
      </c>
      <c r="AB28" s="1">
        <v>4.4289432049292321</v>
      </c>
      <c r="AC28" s="1">
        <v>3.8889257109492208</v>
      </c>
      <c r="AD28" s="1">
        <v>2.0395898820592362</v>
      </c>
      <c r="AE28" s="1">
        <v>0.36530161782924503</v>
      </c>
      <c r="AF28" s="1">
        <v>-0.67479155132076152</v>
      </c>
      <c r="AG28" s="1">
        <v>-2.787153976350762</v>
      </c>
      <c r="AH28" s="1">
        <v>-4.7932476183307555</v>
      </c>
      <c r="AI28" s="1">
        <v>-5.1007095236207638</v>
      </c>
      <c r="AJ28" s="1">
        <v>-3.1512866676807603</v>
      </c>
      <c r="AK28" s="1">
        <v>-3.1398037807207642</v>
      </c>
      <c r="AL28" s="1">
        <v>-2.6304183801607746</v>
      </c>
      <c r="AM28" s="1">
        <v>-2.6443173447007617</v>
      </c>
      <c r="AN28" s="1">
        <v>-2.0635819996307614</v>
      </c>
      <c r="AO28" s="1">
        <v>-1.616506618360757</v>
      </c>
      <c r="AP28" s="1">
        <v>-2.2607291906107592</v>
      </c>
      <c r="AQ28" s="1">
        <v>-1.0207669603507683</v>
      </c>
      <c r="AR28" s="1">
        <v>-9.7373376630768144E-2</v>
      </c>
      <c r="AS28" s="1">
        <v>1.4184623768092359</v>
      </c>
      <c r="AT28" s="1">
        <v>-0.48558845493075964</v>
      </c>
      <c r="AU28" s="1">
        <v>-1.4328003235307725</v>
      </c>
    </row>
    <row r="29" spans="1:47" x14ac:dyDescent="0.25">
      <c r="A29">
        <v>2001.375</v>
      </c>
      <c r="B29">
        <v>5</v>
      </c>
      <c r="C29" s="1">
        <v>2.8748315578692294</v>
      </c>
      <c r="D29">
        <v>15.293414041875831</v>
      </c>
      <c r="G29" s="1">
        <v>2.8748315578692294</v>
      </c>
      <c r="H29" s="1">
        <v>3.2092950798692228</v>
      </c>
      <c r="I29" s="1">
        <v>1.7469426557692425</v>
      </c>
      <c r="J29" s="1">
        <v>1.4616929183692422</v>
      </c>
      <c r="K29" s="1">
        <v>-0.38835567963076423</v>
      </c>
      <c r="L29" s="1">
        <v>-0.22668680423076398</v>
      </c>
      <c r="M29" s="1">
        <v>1.6595333543692334</v>
      </c>
      <c r="N29" s="1">
        <v>2.6644051674692379</v>
      </c>
      <c r="O29" s="1">
        <v>2.5123353872692271</v>
      </c>
      <c r="P29" s="1">
        <v>3.4102340611692208</v>
      </c>
      <c r="Q29" s="1">
        <v>3.4716817257692343</v>
      </c>
      <c r="R29" s="1">
        <v>3.2955469341692334</v>
      </c>
      <c r="S29" s="1">
        <v>3.5373226747692317</v>
      </c>
      <c r="T29" s="1">
        <v>3.0903652242692421</v>
      </c>
      <c r="U29" s="1">
        <v>1.4600406446692253</v>
      </c>
      <c r="V29" s="1">
        <v>0.9794701684692293</v>
      </c>
      <c r="W29" s="1">
        <v>4.1817926795692255</v>
      </c>
      <c r="X29" s="1">
        <v>3.394136948569225</v>
      </c>
      <c r="Y29" s="1">
        <v>3.509488163569245</v>
      </c>
      <c r="Z29" s="1">
        <v>4.1367831363692362</v>
      </c>
      <c r="AA29" s="1">
        <v>3.8332401099692253</v>
      </c>
      <c r="AB29" s="1">
        <v>3.4883985685692318</v>
      </c>
      <c r="AC29" s="1">
        <v>4.7052333398692276</v>
      </c>
      <c r="AD29" s="1">
        <v>4.0284021538692274</v>
      </c>
      <c r="AE29" s="1">
        <v>4.2896200438692365</v>
      </c>
      <c r="AF29" s="1">
        <v>4.2750099174692346</v>
      </c>
      <c r="AG29" s="1">
        <v>2.720610813269225</v>
      </c>
      <c r="AH29" s="1">
        <v>2.0505162265692274</v>
      </c>
      <c r="AI29" s="1">
        <v>2.0362881506692445</v>
      </c>
      <c r="AJ29" s="1">
        <v>3.053984121499234</v>
      </c>
      <c r="AK29" s="1">
        <v>2.044175869139242</v>
      </c>
      <c r="AL29" s="1">
        <v>3.7128887155072277</v>
      </c>
      <c r="AM29" s="1">
        <v>3.4363206710852405</v>
      </c>
      <c r="AN29" s="1">
        <v>4.4289432049292321</v>
      </c>
      <c r="AO29" s="1">
        <v>3.8889257109492208</v>
      </c>
      <c r="AP29" s="1">
        <v>2.0395898820592362</v>
      </c>
      <c r="AQ29" s="1">
        <v>0.36530161782924503</v>
      </c>
      <c r="AR29" s="1">
        <v>-0.67479155132076152</v>
      </c>
      <c r="AS29" s="1">
        <v>-2.787153976350762</v>
      </c>
      <c r="AT29" s="1">
        <v>-4.7932476183307555</v>
      </c>
      <c r="AU29" s="1">
        <v>-5.1007095236207638</v>
      </c>
    </row>
    <row r="30" spans="1:47" x14ac:dyDescent="0.25">
      <c r="A30">
        <v>2002.375</v>
      </c>
      <c r="B30">
        <v>5</v>
      </c>
      <c r="C30" s="1">
        <v>1.9076068417692387</v>
      </c>
      <c r="D30">
        <v>13.278387238609071</v>
      </c>
      <c r="G30" s="1">
        <v>1.9076068417692387</v>
      </c>
      <c r="H30" s="1">
        <v>3.0384176178892228</v>
      </c>
      <c r="I30" s="1">
        <v>2.3836384248692406</v>
      </c>
      <c r="J30" s="1">
        <v>1.7291000883692318</v>
      </c>
      <c r="K30" s="1">
        <v>0.57640479186923832</v>
      </c>
      <c r="L30" s="1">
        <v>0.41005423246923839</v>
      </c>
      <c r="M30" s="1">
        <v>0.95477888506922737</v>
      </c>
      <c r="N30" s="1">
        <v>2.6059359112692251</v>
      </c>
      <c r="O30" s="1">
        <v>2.3933862785692384</v>
      </c>
      <c r="P30" s="1">
        <v>2.724954240169227</v>
      </c>
      <c r="Q30" s="1">
        <v>3.197693081169227</v>
      </c>
      <c r="R30" s="1">
        <v>3.2077139517692337</v>
      </c>
      <c r="S30" s="1">
        <v>2.8748315578692294</v>
      </c>
      <c r="T30" s="1">
        <v>3.2092950798692228</v>
      </c>
      <c r="U30" s="1">
        <v>1.7469426557692425</v>
      </c>
      <c r="V30" s="1">
        <v>1.4616929183692422</v>
      </c>
      <c r="W30" s="1">
        <v>-0.38835567963076423</v>
      </c>
      <c r="X30" s="1">
        <v>-0.22668680423076398</v>
      </c>
      <c r="Y30" s="1">
        <v>1.6595333543692334</v>
      </c>
      <c r="Z30" s="1">
        <v>2.6644051674692379</v>
      </c>
      <c r="AA30" s="1">
        <v>2.5123353872692271</v>
      </c>
      <c r="AB30" s="1">
        <v>3.4102340611692208</v>
      </c>
      <c r="AC30" s="1">
        <v>3.4716817257692343</v>
      </c>
      <c r="AD30" s="1">
        <v>3.2955469341692334</v>
      </c>
      <c r="AE30" s="1">
        <v>3.5373226747692317</v>
      </c>
      <c r="AF30" s="1">
        <v>3.0903652242692421</v>
      </c>
      <c r="AG30" s="1">
        <v>1.4600406446692253</v>
      </c>
      <c r="AH30" s="1">
        <v>0.9794701684692293</v>
      </c>
      <c r="AI30" s="1">
        <v>4.1817926795692255</v>
      </c>
      <c r="AJ30" s="1">
        <v>3.394136948569225</v>
      </c>
      <c r="AK30" s="1">
        <v>3.509488163569245</v>
      </c>
      <c r="AL30" s="1">
        <v>4.1367831363692362</v>
      </c>
      <c r="AM30" s="1">
        <v>3.8332401099692253</v>
      </c>
      <c r="AN30" s="1">
        <v>3.4883985685692318</v>
      </c>
      <c r="AO30" s="1">
        <v>4.7052333398692276</v>
      </c>
      <c r="AP30" s="1">
        <v>4.0284021538692274</v>
      </c>
      <c r="AQ30" s="1">
        <v>4.2896200438692365</v>
      </c>
      <c r="AR30" s="1">
        <v>4.2750099174692346</v>
      </c>
      <c r="AS30" s="1">
        <v>2.720610813269225</v>
      </c>
      <c r="AT30" s="1">
        <v>2.0505162265692274</v>
      </c>
      <c r="AU30" s="1">
        <v>2.0362881506692445</v>
      </c>
    </row>
    <row r="31" spans="1:47" x14ac:dyDescent="0.25">
      <c r="A31">
        <v>2003.375</v>
      </c>
      <c r="B31">
        <v>5</v>
      </c>
      <c r="C31" s="1">
        <v>2.2880968023692252</v>
      </c>
      <c r="D31">
        <v>15.078416909319417</v>
      </c>
      <c r="G31" s="1">
        <v>2.2880968023692252</v>
      </c>
      <c r="H31" s="1">
        <v>1.3477316226692384</v>
      </c>
      <c r="I31" s="1">
        <v>-0.21509650943075509</v>
      </c>
      <c r="J31" s="1">
        <v>-1.3804676941707616</v>
      </c>
      <c r="K31" s="1">
        <v>-3.3722278468307572</v>
      </c>
      <c r="L31" s="1">
        <v>-2.8223534988307661</v>
      </c>
      <c r="M31" s="1">
        <v>-2.5511742228307752</v>
      </c>
      <c r="N31" s="1">
        <v>-0.85183288539076163</v>
      </c>
      <c r="O31" s="1">
        <v>0.39340332639922526</v>
      </c>
      <c r="P31" s="1">
        <v>0.59083584561924296</v>
      </c>
      <c r="Q31" s="1">
        <v>1.6826666062692384</v>
      </c>
      <c r="R31" s="1">
        <v>1.4205022298692254</v>
      </c>
      <c r="S31" s="1">
        <v>1.9076068417692387</v>
      </c>
      <c r="T31" s="1">
        <v>3.0384176178892228</v>
      </c>
      <c r="U31" s="1">
        <v>2.3836384248692406</v>
      </c>
      <c r="V31" s="1">
        <v>1.7291000883692318</v>
      </c>
      <c r="W31" s="1">
        <v>0.57640479186923832</v>
      </c>
      <c r="X31" s="1">
        <v>0.41005423246923839</v>
      </c>
      <c r="Y31" s="1">
        <v>0.95477888506922737</v>
      </c>
      <c r="Z31" s="1">
        <v>2.6059359112692251</v>
      </c>
      <c r="AA31" s="1">
        <v>2.3933862785692384</v>
      </c>
      <c r="AB31" s="1">
        <v>2.724954240169227</v>
      </c>
      <c r="AC31" s="1">
        <v>3.197693081169227</v>
      </c>
      <c r="AD31" s="1">
        <v>3.2077139517692337</v>
      </c>
      <c r="AE31" s="1">
        <v>2.8748315578692294</v>
      </c>
      <c r="AF31" s="1">
        <v>3.2092950798692228</v>
      </c>
      <c r="AG31" s="1">
        <v>1.7469426557692425</v>
      </c>
      <c r="AH31" s="1">
        <v>1.4616929183692422</v>
      </c>
      <c r="AI31" s="1">
        <v>-0.38835567963076423</v>
      </c>
      <c r="AJ31" s="1">
        <v>-0.22668680423076398</v>
      </c>
      <c r="AK31" s="1">
        <v>1.6595333543692334</v>
      </c>
      <c r="AL31" s="1">
        <v>2.6644051674692379</v>
      </c>
      <c r="AM31" s="1">
        <v>2.5123353872692271</v>
      </c>
      <c r="AN31" s="1">
        <v>3.4102340611692208</v>
      </c>
      <c r="AO31" s="1">
        <v>3.4716817257692343</v>
      </c>
      <c r="AP31" s="1">
        <v>3.2955469341692334</v>
      </c>
      <c r="AQ31" s="1">
        <v>3.5373226747692317</v>
      </c>
      <c r="AR31" s="1">
        <v>3.0903652242692421</v>
      </c>
      <c r="AS31" s="1">
        <v>1.4600406446692253</v>
      </c>
      <c r="AT31" s="1">
        <v>0.9794701684692293</v>
      </c>
      <c r="AU31" s="1">
        <v>4.1817926795692255</v>
      </c>
    </row>
    <row r="32" spans="1:47" x14ac:dyDescent="0.25">
      <c r="A32">
        <v>2004.375</v>
      </c>
      <c r="B32">
        <v>5</v>
      </c>
      <c r="C32" s="1">
        <v>1.3046613783592229</v>
      </c>
      <c r="D32">
        <v>14.774668710874913</v>
      </c>
      <c r="G32" s="1">
        <v>1.3046613783592229</v>
      </c>
      <c r="H32" s="1">
        <v>0.59094081723922087</v>
      </c>
      <c r="I32" s="1">
        <v>1.4408482313592275</v>
      </c>
      <c r="J32" s="1">
        <v>-1.6729482482407596</v>
      </c>
      <c r="K32" s="1">
        <v>-1.095964693210753</v>
      </c>
      <c r="L32" s="1">
        <v>-1.0499957530007684</v>
      </c>
      <c r="M32" s="1">
        <v>1.8076010837492387</v>
      </c>
      <c r="N32" s="1">
        <v>5.9040367769244984E-2</v>
      </c>
      <c r="O32" s="1">
        <v>1.020079867869234</v>
      </c>
      <c r="P32" s="1">
        <v>1.3330668343492251</v>
      </c>
      <c r="Q32" s="1">
        <v>2.0764134763692423</v>
      </c>
      <c r="R32" s="1">
        <v>1.538133375409245</v>
      </c>
      <c r="S32" s="1">
        <v>2.2880968023692252</v>
      </c>
      <c r="T32" s="1">
        <v>1.3477316226692384</v>
      </c>
      <c r="U32" s="1">
        <v>-0.21509650943075509</v>
      </c>
      <c r="V32" s="1">
        <v>-1.3804676941707616</v>
      </c>
      <c r="W32" s="1">
        <v>-3.3722278468307572</v>
      </c>
      <c r="X32" s="1">
        <v>-2.8223534988307661</v>
      </c>
      <c r="Y32" s="1">
        <v>-2.5511742228307752</v>
      </c>
      <c r="Z32" s="1">
        <v>-0.85183288539076163</v>
      </c>
      <c r="AA32" s="1">
        <v>0.39340332639922526</v>
      </c>
      <c r="AB32" s="1">
        <v>0.59083584561924296</v>
      </c>
      <c r="AC32" s="1">
        <v>1.6826666062692384</v>
      </c>
      <c r="AD32" s="1">
        <v>1.4205022298692254</v>
      </c>
      <c r="AE32" s="1">
        <v>1.9076068417692387</v>
      </c>
      <c r="AF32" s="1">
        <v>3.0384176178892228</v>
      </c>
      <c r="AG32" s="1">
        <v>2.3836384248692406</v>
      </c>
      <c r="AH32" s="1">
        <v>1.7291000883692318</v>
      </c>
      <c r="AI32" s="1">
        <v>0.57640479186923832</v>
      </c>
      <c r="AJ32" s="1">
        <v>0.41005423246923839</v>
      </c>
      <c r="AK32" s="1">
        <v>0.95477888506922737</v>
      </c>
      <c r="AL32" s="1">
        <v>2.6059359112692251</v>
      </c>
      <c r="AM32" s="1">
        <v>2.3933862785692384</v>
      </c>
      <c r="AN32" s="1">
        <v>2.724954240169227</v>
      </c>
      <c r="AO32" s="1">
        <v>3.197693081169227</v>
      </c>
      <c r="AP32" s="1">
        <v>3.2077139517692337</v>
      </c>
      <c r="AQ32" s="1">
        <v>2.8748315578692294</v>
      </c>
      <c r="AR32" s="1">
        <v>3.2092950798692228</v>
      </c>
      <c r="AS32" s="1">
        <v>1.7469426557692425</v>
      </c>
      <c r="AT32" s="1">
        <v>1.4616929183692422</v>
      </c>
      <c r="AU32" s="1">
        <v>-0.38835567963076423</v>
      </c>
    </row>
    <row r="33" spans="1:47" x14ac:dyDescent="0.25">
      <c r="A33">
        <v>2005.375</v>
      </c>
      <c r="B33">
        <v>5</v>
      </c>
      <c r="C33" s="1">
        <v>-0.5079246517307725</v>
      </c>
      <c r="D33">
        <v>14.98802186525956</v>
      </c>
      <c r="G33" s="1">
        <v>-0.5079246517307725</v>
      </c>
      <c r="H33" s="1">
        <v>0.29846351686923395</v>
      </c>
      <c r="I33" s="1">
        <v>-1.6761749096307603</v>
      </c>
      <c r="J33" s="1">
        <v>-1.3825177939307545</v>
      </c>
      <c r="K33" s="1">
        <v>-1.774578943930764</v>
      </c>
      <c r="L33" s="1">
        <v>-0.34530564288076371</v>
      </c>
      <c r="M33" s="1">
        <v>0.32788333794924063</v>
      </c>
      <c r="N33" s="1">
        <v>0.44187939644322305</v>
      </c>
      <c r="O33" s="1">
        <v>0.97939350272924519</v>
      </c>
      <c r="P33" s="1">
        <v>0.19707756144923189</v>
      </c>
      <c r="Q33" s="1">
        <v>0.82747681711923837</v>
      </c>
      <c r="R33" s="1">
        <v>1.9188675702592293</v>
      </c>
      <c r="S33" s="1">
        <v>1.3046613783592229</v>
      </c>
      <c r="T33" s="1">
        <v>0.59094081723922087</v>
      </c>
      <c r="U33" s="1">
        <v>1.4408482313592275</v>
      </c>
      <c r="V33" s="1">
        <v>-1.6729482482407596</v>
      </c>
      <c r="W33" s="1">
        <v>-1.095964693210753</v>
      </c>
      <c r="X33" s="1">
        <v>-1.0499957530007684</v>
      </c>
      <c r="Y33" s="1">
        <v>1.8076010837492387</v>
      </c>
      <c r="Z33" s="1">
        <v>5.9040367769244984E-2</v>
      </c>
      <c r="AA33" s="1">
        <v>1.020079867869234</v>
      </c>
      <c r="AB33" s="1">
        <v>1.3330668343492251</v>
      </c>
      <c r="AC33" s="1">
        <v>2.0764134763692423</v>
      </c>
      <c r="AD33" s="1">
        <v>1.538133375409245</v>
      </c>
      <c r="AE33" s="1">
        <v>2.2880968023692252</v>
      </c>
      <c r="AF33" s="1">
        <v>1.3477316226692384</v>
      </c>
      <c r="AG33" s="1">
        <v>-0.21509650943075509</v>
      </c>
      <c r="AH33" s="1">
        <v>-1.3804676941707616</v>
      </c>
      <c r="AI33" s="1">
        <v>-3.3722278468307572</v>
      </c>
      <c r="AJ33" s="1">
        <v>-2.8223534988307661</v>
      </c>
      <c r="AK33" s="1">
        <v>-2.5511742228307752</v>
      </c>
      <c r="AL33" s="1">
        <v>-0.85183288539076163</v>
      </c>
      <c r="AM33" s="1">
        <v>0.39340332639922526</v>
      </c>
      <c r="AN33" s="1">
        <v>0.59083584561924296</v>
      </c>
      <c r="AO33" s="1">
        <v>1.6826666062692384</v>
      </c>
      <c r="AP33" s="1">
        <v>1.4205022298692254</v>
      </c>
      <c r="AQ33" s="1">
        <v>1.9076068417692387</v>
      </c>
      <c r="AR33" s="1">
        <v>3.0384176178892228</v>
      </c>
      <c r="AS33" s="1">
        <v>2.3836384248692406</v>
      </c>
      <c r="AT33" s="1">
        <v>1.7291000883692318</v>
      </c>
      <c r="AU33" s="1">
        <v>0.57640479186923832</v>
      </c>
    </row>
    <row r="34" spans="1:47" x14ac:dyDescent="0.25">
      <c r="A34">
        <v>2006.375</v>
      </c>
      <c r="B34">
        <v>5</v>
      </c>
      <c r="C34" s="1">
        <v>2.1628221249392339</v>
      </c>
      <c r="D34">
        <v>15.519494936736582</v>
      </c>
      <c r="G34" s="1">
        <v>2.1628221249392339</v>
      </c>
      <c r="H34" s="1">
        <v>2.2926456901192314</v>
      </c>
      <c r="I34" s="1">
        <v>1.9418874460192272</v>
      </c>
      <c r="J34" s="1">
        <v>1.5328446123392316</v>
      </c>
      <c r="K34" s="1">
        <v>0.24639725443924221</v>
      </c>
      <c r="L34" s="1">
        <v>-1.7059552504307725</v>
      </c>
      <c r="M34" s="1">
        <v>2.3657050289692316</v>
      </c>
      <c r="N34" s="1">
        <v>2.1485403461692405</v>
      </c>
      <c r="O34" s="1">
        <v>1.8314558438692428</v>
      </c>
      <c r="P34" s="1">
        <v>1.3496924048692274</v>
      </c>
      <c r="Q34" s="1">
        <v>1.4338550498692317</v>
      </c>
      <c r="R34" s="1">
        <v>0.3387690722692363</v>
      </c>
      <c r="S34" s="1">
        <v>-0.5079246517307725</v>
      </c>
      <c r="T34" s="1">
        <v>0.29846351686923395</v>
      </c>
      <c r="U34" s="1">
        <v>-1.6761749096307603</v>
      </c>
      <c r="V34" s="1">
        <v>-1.3825177939307545</v>
      </c>
      <c r="W34" s="1">
        <v>-1.774578943930764</v>
      </c>
      <c r="X34" s="1">
        <v>-0.34530564288076371</v>
      </c>
      <c r="Y34" s="1">
        <v>0.32788333794924063</v>
      </c>
      <c r="Z34" s="1">
        <v>0.44187939644322305</v>
      </c>
      <c r="AA34" s="1">
        <v>0.97939350272924519</v>
      </c>
      <c r="AB34" s="1">
        <v>0.19707756144923189</v>
      </c>
      <c r="AC34" s="1">
        <v>0.82747681711923837</v>
      </c>
      <c r="AD34" s="1">
        <v>1.9188675702592293</v>
      </c>
      <c r="AE34" s="1">
        <v>1.3046613783592229</v>
      </c>
      <c r="AF34" s="1">
        <v>0.59094081723922087</v>
      </c>
      <c r="AG34" s="1">
        <v>1.4408482313592275</v>
      </c>
      <c r="AH34" s="1">
        <v>-1.6729482482407596</v>
      </c>
      <c r="AI34" s="1">
        <v>-1.095964693210753</v>
      </c>
      <c r="AJ34" s="1">
        <v>-1.0499957530007684</v>
      </c>
      <c r="AK34" s="1">
        <v>1.8076010837492387</v>
      </c>
      <c r="AL34" s="1">
        <v>5.9040367769244984E-2</v>
      </c>
      <c r="AM34" s="1">
        <v>1.020079867869234</v>
      </c>
      <c r="AN34" s="1">
        <v>1.3330668343492251</v>
      </c>
      <c r="AO34" s="1">
        <v>2.0764134763692423</v>
      </c>
      <c r="AP34" s="1">
        <v>1.538133375409245</v>
      </c>
      <c r="AQ34" s="1">
        <v>2.2880968023692252</v>
      </c>
      <c r="AR34" s="1">
        <v>1.3477316226692384</v>
      </c>
      <c r="AS34" s="1">
        <v>-0.21509650943075509</v>
      </c>
      <c r="AT34" s="1">
        <v>-1.3804676941707616</v>
      </c>
      <c r="AU34" s="1">
        <v>-3.3722278468307572</v>
      </c>
    </row>
    <row r="35" spans="1:47" x14ac:dyDescent="0.25">
      <c r="A35">
        <v>2007.375</v>
      </c>
      <c r="B35">
        <v>5</v>
      </c>
      <c r="C35" s="1">
        <v>2.2741382218892316</v>
      </c>
      <c r="D35">
        <v>14.567427915489649</v>
      </c>
      <c r="G35" s="1">
        <v>2.2741382218892316</v>
      </c>
      <c r="H35" s="1">
        <v>0.91576861426923528</v>
      </c>
      <c r="I35" s="1">
        <v>1.5584511780692361</v>
      </c>
      <c r="J35" s="1">
        <v>-0.38390259033377455</v>
      </c>
      <c r="K35" s="1">
        <v>-0.29827832770077151</v>
      </c>
      <c r="L35" s="1">
        <v>-1.3194225846907526</v>
      </c>
      <c r="M35" s="1">
        <v>0.34878441866923404</v>
      </c>
      <c r="N35" s="1">
        <v>0.133375123389223</v>
      </c>
      <c r="O35" s="1">
        <v>1.2713854909392337</v>
      </c>
      <c r="P35" s="1">
        <v>1.789928194669234</v>
      </c>
      <c r="Q35" s="1">
        <v>1.2275044462992428</v>
      </c>
      <c r="R35" s="1">
        <v>1.816965704619234</v>
      </c>
      <c r="S35" s="1">
        <v>2.1628221249392339</v>
      </c>
      <c r="T35" s="1">
        <v>2.2926456901192314</v>
      </c>
      <c r="U35" s="1">
        <v>1.9418874460192272</v>
      </c>
      <c r="V35" s="1">
        <v>1.5328446123392316</v>
      </c>
      <c r="W35" s="1">
        <v>0.24639725443924221</v>
      </c>
      <c r="X35" s="1">
        <v>-1.7059552504307725</v>
      </c>
      <c r="Y35" s="1">
        <v>2.3657050289692316</v>
      </c>
      <c r="Z35" s="1">
        <v>2.1485403461692405</v>
      </c>
      <c r="AA35" s="1">
        <v>1.8314558438692428</v>
      </c>
      <c r="AB35" s="1">
        <v>1.3496924048692274</v>
      </c>
      <c r="AC35" s="1">
        <v>1.4338550498692317</v>
      </c>
      <c r="AD35" s="1">
        <v>0.3387690722692363</v>
      </c>
      <c r="AE35" s="1">
        <v>-0.5079246517307725</v>
      </c>
      <c r="AF35" s="1">
        <v>0.29846351686923395</v>
      </c>
      <c r="AG35" s="1">
        <v>-1.6761749096307603</v>
      </c>
      <c r="AH35" s="1">
        <v>-1.3825177939307545</v>
      </c>
      <c r="AI35" s="1">
        <v>-1.774578943930764</v>
      </c>
      <c r="AJ35" s="1">
        <v>-0.34530564288076371</v>
      </c>
      <c r="AK35" s="1">
        <v>0.32788333794924063</v>
      </c>
      <c r="AL35" s="1">
        <v>0.44187939644322305</v>
      </c>
      <c r="AM35" s="1">
        <v>0.97939350272924519</v>
      </c>
      <c r="AN35" s="1">
        <v>0.19707756144923189</v>
      </c>
      <c r="AO35" s="1">
        <v>0.82747681711923837</v>
      </c>
      <c r="AP35" s="1">
        <v>1.9188675702592293</v>
      </c>
      <c r="AQ35" s="1">
        <v>1.3046613783592229</v>
      </c>
      <c r="AR35" s="1">
        <v>0.59094081723922087</v>
      </c>
      <c r="AS35" s="1">
        <v>1.4408482313592275</v>
      </c>
      <c r="AT35" s="1">
        <v>-1.6729482482407596</v>
      </c>
      <c r="AU35" s="1">
        <v>-1.095964693210753</v>
      </c>
    </row>
    <row r="36" spans="1:47" x14ac:dyDescent="0.25">
      <c r="A36">
        <v>2008.375</v>
      </c>
      <c r="B36">
        <v>5</v>
      </c>
      <c r="C36" s="1">
        <v>3.1445083440692292</v>
      </c>
      <c r="D36">
        <v>14.849109295036406</v>
      </c>
      <c r="G36" s="1">
        <v>3.1445083440692292</v>
      </c>
      <c r="H36" s="1">
        <v>4.3037038856692229</v>
      </c>
      <c r="I36" s="1">
        <v>3.5141544352692451</v>
      </c>
      <c r="J36" s="1">
        <v>2.0171252992692406</v>
      </c>
      <c r="K36" s="1">
        <v>2.6252510639492432</v>
      </c>
      <c r="L36" s="1">
        <v>2.6049737380592211</v>
      </c>
      <c r="M36" s="1">
        <v>1.9780654593992426</v>
      </c>
      <c r="N36" s="1">
        <v>3.8121810804692426</v>
      </c>
      <c r="O36" s="1">
        <v>2.9581203447292252</v>
      </c>
      <c r="P36" s="1">
        <v>2.7815152350692447</v>
      </c>
      <c r="Q36" s="1">
        <v>2.0566604165692253</v>
      </c>
      <c r="R36" s="1">
        <v>2.5920905191692314</v>
      </c>
      <c r="S36" s="1">
        <v>2.2741382218892316</v>
      </c>
      <c r="T36" s="1">
        <v>0.91576861426923528</v>
      </c>
      <c r="U36" s="1">
        <v>1.5584511780692361</v>
      </c>
      <c r="V36" s="1">
        <v>-0.38390259033377455</v>
      </c>
      <c r="W36" s="1">
        <v>-0.29827832770077151</v>
      </c>
      <c r="X36" s="1">
        <v>-1.3194225846907526</v>
      </c>
      <c r="Y36" s="1">
        <v>0.34878441866923404</v>
      </c>
      <c r="Z36" s="1">
        <v>0.133375123389223</v>
      </c>
      <c r="AA36" s="1">
        <v>1.2713854909392337</v>
      </c>
      <c r="AB36" s="1">
        <v>1.789928194669234</v>
      </c>
      <c r="AC36" s="1">
        <v>1.2275044462992428</v>
      </c>
      <c r="AD36" s="1">
        <v>1.816965704619234</v>
      </c>
      <c r="AE36" s="1">
        <v>2.1628221249392339</v>
      </c>
      <c r="AF36" s="1">
        <v>2.2926456901192314</v>
      </c>
      <c r="AG36" s="1">
        <v>1.9418874460192272</v>
      </c>
      <c r="AH36" s="1">
        <v>1.5328446123392316</v>
      </c>
      <c r="AI36" s="1">
        <v>0.24639725443924221</v>
      </c>
      <c r="AJ36" s="1">
        <v>-1.7059552504307725</v>
      </c>
      <c r="AK36" s="1">
        <v>2.3657050289692316</v>
      </c>
      <c r="AL36" s="1">
        <v>2.1485403461692405</v>
      </c>
      <c r="AM36" s="1">
        <v>1.8314558438692428</v>
      </c>
      <c r="AN36" s="1">
        <v>1.3496924048692274</v>
      </c>
      <c r="AO36" s="1">
        <v>1.4338550498692317</v>
      </c>
      <c r="AP36" s="1">
        <v>0.3387690722692363</v>
      </c>
      <c r="AQ36" s="1">
        <v>-0.5079246517307725</v>
      </c>
      <c r="AR36" s="1">
        <v>0.29846351686923395</v>
      </c>
      <c r="AS36" s="1">
        <v>-1.6761749096307603</v>
      </c>
      <c r="AT36" s="1">
        <v>-1.3825177939307545</v>
      </c>
      <c r="AU36" s="1">
        <v>-1.774578943930764</v>
      </c>
    </row>
    <row r="37" spans="1:47" x14ac:dyDescent="0.25">
      <c r="A37">
        <v>2009.375</v>
      </c>
      <c r="B37">
        <v>5</v>
      </c>
      <c r="C37" s="1">
        <v>2.8559780762592273</v>
      </c>
      <c r="D37">
        <v>15.168145402305552</v>
      </c>
      <c r="G37" s="1">
        <v>2.8559780762592273</v>
      </c>
      <c r="H37" s="1">
        <v>3.3982535946892316</v>
      </c>
      <c r="I37" s="1">
        <v>3.7437798352422273</v>
      </c>
      <c r="J37" s="1">
        <v>3.1401515433092211</v>
      </c>
      <c r="K37" s="1">
        <v>2.3256610174192414</v>
      </c>
      <c r="L37" s="1">
        <v>3.0732084994992381</v>
      </c>
      <c r="M37" s="1">
        <v>2.4197133966692208</v>
      </c>
      <c r="N37" s="1">
        <v>3.7297149387692254</v>
      </c>
      <c r="O37" s="1">
        <v>3.1178040014692385</v>
      </c>
      <c r="P37" s="1">
        <v>3.3034292364692428</v>
      </c>
      <c r="Q37" s="1">
        <v>3.5154691291692206</v>
      </c>
      <c r="R37" s="1">
        <v>3.7396919383692429</v>
      </c>
      <c r="S37" s="1">
        <v>3.1445083440692292</v>
      </c>
      <c r="T37" s="1">
        <v>4.3037038856692229</v>
      </c>
      <c r="U37" s="1">
        <v>3.5141544352692451</v>
      </c>
      <c r="V37" s="1">
        <v>2.0171252992692406</v>
      </c>
      <c r="W37" s="1">
        <v>2.6252510639492432</v>
      </c>
      <c r="X37" s="1">
        <v>2.6049737380592211</v>
      </c>
      <c r="Y37" s="1">
        <v>1.9780654593992426</v>
      </c>
      <c r="Z37" s="1">
        <v>3.8121810804692426</v>
      </c>
      <c r="AA37" s="1">
        <v>2.9581203447292252</v>
      </c>
      <c r="AB37" s="1">
        <v>2.7815152350692447</v>
      </c>
      <c r="AC37" s="1">
        <v>2.0566604165692253</v>
      </c>
      <c r="AD37" s="1">
        <v>2.5920905191692314</v>
      </c>
      <c r="AE37" s="1">
        <v>2.2741382218892316</v>
      </c>
      <c r="AF37" s="1">
        <v>0.91576861426923528</v>
      </c>
      <c r="AG37" s="1">
        <v>1.5584511780692361</v>
      </c>
      <c r="AH37" s="1">
        <v>-0.38390259033377455</v>
      </c>
      <c r="AI37" s="1">
        <v>-0.29827832770077151</v>
      </c>
      <c r="AJ37" s="1">
        <v>-1.3194225846907526</v>
      </c>
      <c r="AK37" s="1">
        <v>0.34878441866923404</v>
      </c>
      <c r="AL37" s="1">
        <v>0.133375123389223</v>
      </c>
      <c r="AM37" s="1">
        <v>1.2713854909392337</v>
      </c>
      <c r="AN37" s="1">
        <v>1.789928194669234</v>
      </c>
      <c r="AO37" s="1">
        <v>1.2275044462992428</v>
      </c>
      <c r="AP37" s="1">
        <v>1.816965704619234</v>
      </c>
      <c r="AQ37" s="1">
        <v>2.1628221249392339</v>
      </c>
      <c r="AR37" s="1">
        <v>2.2926456901192314</v>
      </c>
      <c r="AS37" s="1">
        <v>1.9418874460192272</v>
      </c>
      <c r="AT37" s="1">
        <v>1.5328446123392316</v>
      </c>
      <c r="AU37" s="1">
        <v>0.24639725443924221</v>
      </c>
    </row>
    <row r="38" spans="1:47" x14ac:dyDescent="0.25">
      <c r="A38">
        <v>2010.375</v>
      </c>
      <c r="B38">
        <v>5</v>
      </c>
      <c r="C38" s="1">
        <v>2.1367981933692386</v>
      </c>
      <c r="D38">
        <v>15.166198285306617</v>
      </c>
      <c r="G38" s="1">
        <v>2.1367981933692386</v>
      </c>
      <c r="H38" s="1">
        <v>1.1052457697692384</v>
      </c>
      <c r="I38" s="1">
        <v>-0.48756181103076601</v>
      </c>
      <c r="J38" s="1">
        <v>-2.6477017098307662</v>
      </c>
      <c r="K38" s="1">
        <v>-3.3208245141307722</v>
      </c>
      <c r="L38" s="1">
        <v>-2.4654593805307572</v>
      </c>
      <c r="M38" s="1">
        <v>1.0901500019244892E-2</v>
      </c>
      <c r="N38" s="1">
        <v>-0.44134536233076377</v>
      </c>
      <c r="O38" s="1">
        <v>0.55891123916923846</v>
      </c>
      <c r="P38" s="1">
        <v>1.2312497751892382</v>
      </c>
      <c r="Q38" s="1">
        <v>1.1174872949192272</v>
      </c>
      <c r="R38" s="1">
        <v>1.0325521682292274</v>
      </c>
      <c r="S38" s="1">
        <v>2.8559780762592273</v>
      </c>
      <c r="T38" s="1">
        <v>3.3982535946892316</v>
      </c>
      <c r="U38" s="1">
        <v>3.7437798352422273</v>
      </c>
      <c r="V38" s="1">
        <v>3.1401515433092211</v>
      </c>
      <c r="W38" s="1">
        <v>2.3256610174192414</v>
      </c>
      <c r="X38" s="1">
        <v>3.0732084994992381</v>
      </c>
      <c r="Y38" s="1">
        <v>2.4197133966692208</v>
      </c>
      <c r="Z38" s="1">
        <v>3.7297149387692254</v>
      </c>
      <c r="AA38" s="1">
        <v>3.1178040014692385</v>
      </c>
      <c r="AB38" s="1">
        <v>3.3034292364692428</v>
      </c>
      <c r="AC38" s="1">
        <v>3.5154691291692206</v>
      </c>
      <c r="AD38" s="1">
        <v>3.7396919383692429</v>
      </c>
      <c r="AE38" s="1">
        <v>3.1445083440692292</v>
      </c>
      <c r="AF38" s="1">
        <v>4.3037038856692229</v>
      </c>
      <c r="AG38" s="1">
        <v>3.5141544352692451</v>
      </c>
      <c r="AH38" s="1">
        <v>2.0171252992692406</v>
      </c>
      <c r="AI38" s="1">
        <v>2.6252510639492432</v>
      </c>
      <c r="AJ38" s="1">
        <v>2.6049737380592211</v>
      </c>
      <c r="AK38" s="1">
        <v>1.9780654593992426</v>
      </c>
      <c r="AL38" s="1">
        <v>3.8121810804692426</v>
      </c>
      <c r="AM38" s="1">
        <v>2.9581203447292252</v>
      </c>
      <c r="AN38" s="1">
        <v>2.7815152350692447</v>
      </c>
      <c r="AO38" s="1">
        <v>2.0566604165692253</v>
      </c>
      <c r="AP38" s="1">
        <v>2.5920905191692314</v>
      </c>
      <c r="AQ38" s="1">
        <v>2.2741382218892316</v>
      </c>
      <c r="AR38" s="1">
        <v>0.91576861426923528</v>
      </c>
      <c r="AS38" s="1">
        <v>1.5584511780692361</v>
      </c>
      <c r="AT38" s="1">
        <v>-0.38390259033377455</v>
      </c>
      <c r="AU38" s="1">
        <v>-0.29827832770077151</v>
      </c>
    </row>
    <row r="39" spans="1:47" x14ac:dyDescent="0.25">
      <c r="A39">
        <v>2011.375</v>
      </c>
      <c r="B39">
        <v>5</v>
      </c>
      <c r="C39" s="1">
        <v>2.994733051169236</v>
      </c>
      <c r="D39">
        <v>14.975003932395133</v>
      </c>
      <c r="G39" s="1">
        <v>2.994733051169236</v>
      </c>
      <c r="H39" s="1">
        <v>3.7169376469992383</v>
      </c>
      <c r="I39" s="1">
        <v>2.6917547487692408</v>
      </c>
      <c r="J39" s="1">
        <v>4.0854112138192225</v>
      </c>
      <c r="K39" s="1">
        <v>1.239910041719225</v>
      </c>
      <c r="L39" s="1">
        <v>3.7306486162292316</v>
      </c>
      <c r="M39" s="1">
        <v>4.031058309969243</v>
      </c>
      <c r="N39" s="1">
        <v>3.7667653419692209</v>
      </c>
      <c r="O39" s="1">
        <v>4.2842263740692337</v>
      </c>
      <c r="P39" s="1">
        <v>5.3692223996192361</v>
      </c>
      <c r="Q39" s="1">
        <v>5.3632401589792407</v>
      </c>
      <c r="R39" s="1">
        <v>3.3288297101692361</v>
      </c>
      <c r="S39" s="1">
        <v>2.1367981933692386</v>
      </c>
      <c r="T39" s="1">
        <v>1.1052457697692384</v>
      </c>
      <c r="U39" s="1">
        <v>-0.48756181103076601</v>
      </c>
      <c r="V39" s="1">
        <v>-2.6477017098307662</v>
      </c>
      <c r="W39" s="1">
        <v>-3.3208245141307722</v>
      </c>
      <c r="X39" s="1">
        <v>-2.4654593805307572</v>
      </c>
      <c r="Y39" s="1">
        <v>1.0901500019244892E-2</v>
      </c>
      <c r="Z39" s="1">
        <v>-0.44134536233076377</v>
      </c>
      <c r="AA39" s="1">
        <v>0.55891123916923846</v>
      </c>
      <c r="AB39" s="1">
        <v>1.2312497751892382</v>
      </c>
      <c r="AC39" s="1">
        <v>1.1174872949192272</v>
      </c>
      <c r="AD39" s="1">
        <v>1.0325521682292274</v>
      </c>
      <c r="AE39" s="1">
        <v>2.8559780762592273</v>
      </c>
      <c r="AF39" s="1">
        <v>3.3982535946892316</v>
      </c>
      <c r="AG39" s="1">
        <v>3.7437798352422273</v>
      </c>
      <c r="AH39" s="1">
        <v>3.1401515433092211</v>
      </c>
      <c r="AI39" s="1">
        <v>2.3256610174192414</v>
      </c>
      <c r="AJ39" s="1">
        <v>3.0732084994992381</v>
      </c>
      <c r="AK39" s="1">
        <v>2.4197133966692208</v>
      </c>
      <c r="AL39" s="1">
        <v>3.7297149387692254</v>
      </c>
      <c r="AM39" s="1">
        <v>3.1178040014692385</v>
      </c>
      <c r="AN39" s="1">
        <v>3.3034292364692428</v>
      </c>
      <c r="AO39" s="1">
        <v>3.5154691291692206</v>
      </c>
      <c r="AP39" s="1">
        <v>3.7396919383692429</v>
      </c>
      <c r="AQ39" s="1">
        <v>3.1445083440692292</v>
      </c>
      <c r="AR39" s="1">
        <v>4.3037038856692229</v>
      </c>
      <c r="AS39" s="1">
        <v>3.5141544352692451</v>
      </c>
      <c r="AT39" s="1">
        <v>2.0171252992692406</v>
      </c>
      <c r="AU39" s="1">
        <v>2.6252510639492432</v>
      </c>
    </row>
    <row r="40" spans="1:47" x14ac:dyDescent="0.25">
      <c r="A40">
        <v>2012.375</v>
      </c>
      <c r="B40">
        <v>5</v>
      </c>
      <c r="C40" s="1">
        <v>3.3148665312692316</v>
      </c>
      <c r="D40">
        <v>13.951146531019287</v>
      </c>
      <c r="G40" s="1">
        <v>3.3148665312692316</v>
      </c>
      <c r="H40" s="1">
        <v>2.7316463550692207</v>
      </c>
      <c r="I40" s="1">
        <v>2.9837590889692205</v>
      </c>
      <c r="J40" s="1">
        <v>0.95535216508924714</v>
      </c>
      <c r="K40" s="1">
        <v>1.7700253141892386</v>
      </c>
      <c r="L40" s="1">
        <v>2.882561274810246</v>
      </c>
      <c r="M40" s="1">
        <v>4.0480641576192209</v>
      </c>
      <c r="N40" s="1">
        <v>3.3780577038692257</v>
      </c>
      <c r="O40" s="1">
        <v>3.505408443069232</v>
      </c>
      <c r="P40" s="1">
        <v>3.303517913359225</v>
      </c>
      <c r="Q40" s="1">
        <v>3.6558712369092294</v>
      </c>
      <c r="R40" s="1">
        <v>2.754497701969234</v>
      </c>
      <c r="S40" s="1">
        <v>2.994733051169236</v>
      </c>
      <c r="T40" s="1">
        <v>3.7169376469992383</v>
      </c>
      <c r="U40" s="1">
        <v>2.6917547487692408</v>
      </c>
      <c r="V40" s="1">
        <v>4.0854112138192225</v>
      </c>
      <c r="W40" s="1">
        <v>1.239910041719225</v>
      </c>
      <c r="X40" s="1">
        <v>3.7306486162292316</v>
      </c>
      <c r="Y40" s="1">
        <v>4.031058309969243</v>
      </c>
      <c r="Z40" s="1">
        <v>3.7667653419692209</v>
      </c>
      <c r="AA40" s="1">
        <v>4.2842263740692337</v>
      </c>
      <c r="AB40" s="1">
        <v>5.3692223996192361</v>
      </c>
      <c r="AC40" s="1">
        <v>5.3632401589792407</v>
      </c>
      <c r="AD40" s="1">
        <v>3.3288297101692361</v>
      </c>
      <c r="AE40" s="1">
        <v>2.1367981933692386</v>
      </c>
      <c r="AF40" s="1">
        <v>1.1052457697692384</v>
      </c>
      <c r="AG40" s="1">
        <v>-0.48756181103076601</v>
      </c>
      <c r="AH40" s="1">
        <v>-2.6477017098307662</v>
      </c>
      <c r="AI40" s="1">
        <v>-3.3208245141307722</v>
      </c>
      <c r="AJ40" s="1">
        <v>-2.4654593805307572</v>
      </c>
      <c r="AK40" s="1">
        <v>1.0901500019244892E-2</v>
      </c>
      <c r="AL40" s="1">
        <v>-0.44134536233076377</v>
      </c>
      <c r="AM40" s="1">
        <v>0.55891123916923846</v>
      </c>
      <c r="AN40" s="1">
        <v>1.2312497751892382</v>
      </c>
      <c r="AO40" s="1">
        <v>1.1174872949192272</v>
      </c>
      <c r="AP40" s="1">
        <v>1.0325521682292274</v>
      </c>
      <c r="AQ40" s="1">
        <v>2.8559780762592273</v>
      </c>
      <c r="AR40" s="1">
        <v>3.3982535946892316</v>
      </c>
      <c r="AS40" s="1">
        <v>3.7437798352422273</v>
      </c>
      <c r="AT40" s="1">
        <v>3.1401515433092211</v>
      </c>
      <c r="AU40" s="1">
        <v>2.3256610174192414</v>
      </c>
    </row>
    <row r="41" spans="1:47" x14ac:dyDescent="0.25">
      <c r="A41">
        <v>2013.375</v>
      </c>
      <c r="B41">
        <v>5</v>
      </c>
      <c r="C41" s="1">
        <v>2.6100064923692252</v>
      </c>
      <c r="D41">
        <v>14.39027944349535</v>
      </c>
      <c r="G41" s="1">
        <v>2.6100064923692252</v>
      </c>
      <c r="H41" s="1">
        <v>2.4413346113592227</v>
      </c>
      <c r="I41" s="1">
        <v>1.7311234118592274</v>
      </c>
      <c r="J41" s="1">
        <v>1.2031396460692443</v>
      </c>
      <c r="K41" s="1">
        <v>0.36910590186924719</v>
      </c>
      <c r="L41" s="1">
        <v>0.81033411676924127</v>
      </c>
      <c r="M41" s="1">
        <v>1.2795358532692251</v>
      </c>
      <c r="N41" s="1">
        <v>1.5053767653692383</v>
      </c>
      <c r="O41" s="1">
        <v>3.135958294269245</v>
      </c>
      <c r="P41" s="1">
        <v>3.1158533679692386</v>
      </c>
      <c r="Q41" s="1">
        <v>3.1915599164692323</v>
      </c>
      <c r="R41" s="1">
        <v>2.4713739030692272</v>
      </c>
      <c r="S41" s="1">
        <v>3.3148665312692316</v>
      </c>
      <c r="T41" s="1">
        <v>2.7316463550692207</v>
      </c>
      <c r="U41" s="1">
        <v>2.9837590889692205</v>
      </c>
      <c r="V41" s="1">
        <v>0.95535216508924714</v>
      </c>
      <c r="W41" s="1">
        <v>1.7700253141892386</v>
      </c>
      <c r="X41" s="1">
        <v>2.882561274810246</v>
      </c>
      <c r="Y41" s="1">
        <v>4.0480641576192209</v>
      </c>
      <c r="Z41" s="1">
        <v>3.3780577038692257</v>
      </c>
      <c r="AA41" s="1">
        <v>3.505408443069232</v>
      </c>
      <c r="AB41" s="1">
        <v>3.303517913359225</v>
      </c>
      <c r="AC41" s="1">
        <v>3.6558712369092294</v>
      </c>
      <c r="AD41" s="1">
        <v>2.754497701969234</v>
      </c>
      <c r="AE41" s="1">
        <v>2.994733051169236</v>
      </c>
      <c r="AF41" s="1">
        <v>3.7169376469992383</v>
      </c>
      <c r="AG41" s="1">
        <v>2.6917547487692408</v>
      </c>
      <c r="AH41" s="1">
        <v>4.0854112138192225</v>
      </c>
      <c r="AI41" s="1">
        <v>1.239910041719225</v>
      </c>
      <c r="AJ41" s="1">
        <v>3.7306486162292316</v>
      </c>
      <c r="AK41" s="1">
        <v>4.031058309969243</v>
      </c>
      <c r="AL41" s="1">
        <v>3.7667653419692209</v>
      </c>
      <c r="AM41" s="1">
        <v>4.2842263740692337</v>
      </c>
      <c r="AN41" s="1">
        <v>5.3692223996192361</v>
      </c>
      <c r="AO41" s="1">
        <v>5.3632401589792407</v>
      </c>
      <c r="AP41" s="1">
        <v>3.3288297101692361</v>
      </c>
      <c r="AQ41" s="1">
        <v>2.1367981933692386</v>
      </c>
      <c r="AR41" s="1">
        <v>1.1052457697692384</v>
      </c>
      <c r="AS41" s="1">
        <v>-0.48756181103076601</v>
      </c>
      <c r="AT41" s="1">
        <v>-2.6477017098307662</v>
      </c>
      <c r="AU41" s="1">
        <v>-3.3208245141307722</v>
      </c>
    </row>
    <row r="42" spans="1:47" x14ac:dyDescent="0.25">
      <c r="A42">
        <v>2014.375</v>
      </c>
      <c r="B42">
        <v>5</v>
      </c>
      <c r="C42" s="1">
        <v>1.4034630548992453</v>
      </c>
      <c r="D42">
        <v>14.536801254755606</v>
      </c>
      <c r="G42" s="1">
        <v>1.4034630548992453</v>
      </c>
      <c r="H42" s="1">
        <v>0.41214923718922075</v>
      </c>
      <c r="I42" s="1">
        <v>0.28743131410924311</v>
      </c>
      <c r="J42" s="1">
        <v>1.0879898171392406</v>
      </c>
      <c r="K42" s="1">
        <v>-0.77898724903076388</v>
      </c>
      <c r="L42" s="1">
        <v>1.0610023320692252</v>
      </c>
      <c r="M42" s="1">
        <v>2.2475169349192448</v>
      </c>
      <c r="N42" s="1">
        <v>1.7144541562192339</v>
      </c>
      <c r="O42" s="1">
        <v>1.7441879054492251</v>
      </c>
      <c r="P42" s="1">
        <v>2.441292262069223</v>
      </c>
      <c r="Q42" s="1">
        <v>3.4288168388092322</v>
      </c>
      <c r="R42" s="1">
        <v>3.176564167829234</v>
      </c>
      <c r="S42" s="1">
        <v>2.6100064923692252</v>
      </c>
      <c r="T42" s="1">
        <v>2.4413346113592227</v>
      </c>
      <c r="U42" s="1">
        <v>1.7311234118592274</v>
      </c>
      <c r="V42" s="1">
        <v>1.2031396460692443</v>
      </c>
      <c r="W42" s="1">
        <v>0.36910590186924719</v>
      </c>
      <c r="X42" s="1">
        <v>0.81033411676924127</v>
      </c>
      <c r="Y42" s="1">
        <v>1.2795358532692251</v>
      </c>
      <c r="Z42" s="1">
        <v>1.5053767653692383</v>
      </c>
      <c r="AA42" s="1">
        <v>3.135958294269245</v>
      </c>
      <c r="AB42" s="1">
        <v>3.1158533679692386</v>
      </c>
      <c r="AC42" s="1">
        <v>3.1915599164692323</v>
      </c>
      <c r="AD42" s="1">
        <v>2.4713739030692272</v>
      </c>
      <c r="AE42" s="1">
        <v>3.3148665312692316</v>
      </c>
      <c r="AF42" s="1">
        <v>2.7316463550692207</v>
      </c>
      <c r="AG42" s="1">
        <v>2.9837590889692205</v>
      </c>
      <c r="AH42" s="1">
        <v>0.95535216508924714</v>
      </c>
      <c r="AI42" s="1">
        <v>1.7700253141892386</v>
      </c>
      <c r="AJ42" s="1">
        <v>2.882561274810246</v>
      </c>
      <c r="AK42" s="1">
        <v>4.0480641576192209</v>
      </c>
      <c r="AL42" s="1">
        <v>3.3780577038692257</v>
      </c>
      <c r="AM42" s="1">
        <v>3.505408443069232</v>
      </c>
      <c r="AN42" s="1">
        <v>3.303517913359225</v>
      </c>
      <c r="AO42" s="1">
        <v>3.6558712369092294</v>
      </c>
      <c r="AP42" s="1">
        <v>2.754497701969234</v>
      </c>
      <c r="AQ42" s="1">
        <v>2.994733051169236</v>
      </c>
      <c r="AR42" s="1">
        <v>3.7169376469992383</v>
      </c>
      <c r="AS42" s="1">
        <v>2.6917547487692408</v>
      </c>
      <c r="AT42" s="1">
        <v>4.0854112138192225</v>
      </c>
      <c r="AU42" s="1">
        <v>1.239910041719225</v>
      </c>
    </row>
    <row r="43" spans="1:47" x14ac:dyDescent="0.25">
      <c r="A43">
        <v>2015.375</v>
      </c>
      <c r="B43">
        <v>5</v>
      </c>
      <c r="C43" s="1">
        <v>-3.0684870940772491E-2</v>
      </c>
      <c r="D43">
        <v>14.503184461684716</v>
      </c>
      <c r="G43" s="1">
        <v>-3.0684870940772491E-2</v>
      </c>
      <c r="H43" s="1">
        <v>0.45460829456923418</v>
      </c>
      <c r="I43" s="1">
        <v>3.5930787669227304E-2</v>
      </c>
      <c r="J43" s="1">
        <v>-1.4061045382307595</v>
      </c>
      <c r="K43" s="1">
        <v>-2.1196752670907553</v>
      </c>
      <c r="L43" s="1">
        <v>-2.2526105113207597</v>
      </c>
      <c r="M43" s="1">
        <v>-1.2621451354507678</v>
      </c>
      <c r="N43" s="1">
        <v>-0.56983358888077473</v>
      </c>
      <c r="O43" s="1">
        <v>0.10178133444922077</v>
      </c>
      <c r="P43" s="1">
        <v>0.71163629737922962</v>
      </c>
      <c r="Q43" s="1">
        <v>1.2302889477092382</v>
      </c>
      <c r="R43" s="1">
        <v>1.5207169755392274</v>
      </c>
      <c r="S43" s="1">
        <v>1.4034630548992453</v>
      </c>
      <c r="T43" s="1">
        <v>0.41214923718922075</v>
      </c>
      <c r="U43" s="1">
        <v>0.28743131410924311</v>
      </c>
      <c r="V43" s="1">
        <v>1.0879898171392406</v>
      </c>
      <c r="W43" s="1">
        <v>-0.77898724903076388</v>
      </c>
      <c r="X43" s="1">
        <v>1.0610023320692252</v>
      </c>
      <c r="Y43" s="1">
        <v>2.2475169349192448</v>
      </c>
      <c r="Z43" s="1">
        <v>1.7144541562192339</v>
      </c>
      <c r="AA43" s="1">
        <v>1.7441879054492251</v>
      </c>
      <c r="AB43" s="1">
        <v>2.441292262069223</v>
      </c>
      <c r="AC43" s="1">
        <v>3.4288168388092322</v>
      </c>
      <c r="AD43" s="1">
        <v>3.176564167829234</v>
      </c>
      <c r="AE43" s="1">
        <v>2.6100064923692252</v>
      </c>
      <c r="AF43" s="1">
        <v>2.4413346113592227</v>
      </c>
      <c r="AG43" s="1">
        <v>1.7311234118592274</v>
      </c>
      <c r="AH43" s="1">
        <v>1.2031396460692443</v>
      </c>
      <c r="AI43" s="1">
        <v>0.36910590186924719</v>
      </c>
      <c r="AJ43" s="1">
        <v>0.81033411676924127</v>
      </c>
      <c r="AK43" s="1">
        <v>1.2795358532692251</v>
      </c>
      <c r="AL43" s="1">
        <v>1.5053767653692383</v>
      </c>
      <c r="AM43" s="1">
        <v>3.135958294269245</v>
      </c>
      <c r="AN43" s="1">
        <v>3.1158533679692386</v>
      </c>
      <c r="AO43" s="1">
        <v>3.1915599164692323</v>
      </c>
      <c r="AP43" s="1">
        <v>2.4713739030692272</v>
      </c>
      <c r="AQ43" s="1">
        <v>3.3148665312692316</v>
      </c>
      <c r="AR43" s="1">
        <v>2.7316463550692207</v>
      </c>
      <c r="AS43" s="1">
        <v>2.9837590889692205</v>
      </c>
      <c r="AT43" s="1">
        <v>0.95535216508924714</v>
      </c>
      <c r="AU43" s="1">
        <v>1.7700253141892386</v>
      </c>
    </row>
    <row r="44" spans="1:47" x14ac:dyDescent="0.25">
      <c r="A44">
        <v>2016.375</v>
      </c>
      <c r="B44">
        <v>5</v>
      </c>
      <c r="C44" s="1">
        <v>-3.6238594620772724E-2</v>
      </c>
      <c r="D44">
        <v>14.866240131843483</v>
      </c>
      <c r="G44" s="1">
        <v>-3.6238594620772724E-2</v>
      </c>
      <c r="H44" s="1">
        <v>-1.9728460609507639</v>
      </c>
      <c r="I44" s="1">
        <v>-2.3126394715807717</v>
      </c>
      <c r="J44" s="1">
        <v>-4.0803512152507615</v>
      </c>
      <c r="K44" s="1">
        <v>-5.0763222569207516</v>
      </c>
      <c r="L44" s="1">
        <v>-3.4209596195307723</v>
      </c>
      <c r="M44" s="1">
        <v>-1.3308764840307548</v>
      </c>
      <c r="N44" s="1">
        <v>-3.1528870372307658</v>
      </c>
      <c r="O44" s="1">
        <v>-1.9948764680307747</v>
      </c>
      <c r="P44" s="1">
        <v>-1.5252614967307725</v>
      </c>
      <c r="Q44" s="1">
        <v>-1.6149105574307594</v>
      </c>
      <c r="R44" s="1">
        <v>-0.92363914943077907</v>
      </c>
      <c r="S44" s="1">
        <v>-3.0684870940772491E-2</v>
      </c>
      <c r="T44" s="1">
        <v>0.45460829456923418</v>
      </c>
      <c r="U44" s="1">
        <v>3.5930787669227304E-2</v>
      </c>
      <c r="V44" s="1">
        <v>-1.4061045382307595</v>
      </c>
      <c r="W44" s="1">
        <v>-2.1196752670907553</v>
      </c>
      <c r="X44" s="1">
        <v>-2.2526105113207597</v>
      </c>
      <c r="Y44" s="1">
        <v>-1.2621451354507678</v>
      </c>
      <c r="Z44" s="1">
        <v>-0.56983358888077473</v>
      </c>
      <c r="AA44" s="1">
        <v>0.10178133444922077</v>
      </c>
      <c r="AB44" s="1">
        <v>0.71163629737922962</v>
      </c>
      <c r="AC44" s="1">
        <v>1.2302889477092382</v>
      </c>
      <c r="AD44" s="1">
        <v>1.5207169755392274</v>
      </c>
      <c r="AE44" s="1">
        <v>1.4034630548992453</v>
      </c>
      <c r="AF44" s="1">
        <v>0.41214923718922075</v>
      </c>
      <c r="AG44" s="1">
        <v>0.28743131410924311</v>
      </c>
      <c r="AH44" s="1">
        <v>1.0879898171392406</v>
      </c>
      <c r="AI44" s="1">
        <v>-0.77898724903076388</v>
      </c>
      <c r="AJ44" s="1">
        <v>1.0610023320692252</v>
      </c>
      <c r="AK44" s="1">
        <v>2.2475169349192448</v>
      </c>
      <c r="AL44" s="1">
        <v>1.7144541562192339</v>
      </c>
      <c r="AM44" s="1">
        <v>1.7441879054492251</v>
      </c>
      <c r="AN44" s="1">
        <v>2.441292262069223</v>
      </c>
      <c r="AO44" s="1">
        <v>3.4288168388092322</v>
      </c>
      <c r="AP44" s="1">
        <v>3.176564167829234</v>
      </c>
      <c r="AQ44" s="1">
        <v>2.6100064923692252</v>
      </c>
      <c r="AR44" s="1">
        <v>2.4413346113592227</v>
      </c>
      <c r="AS44" s="1">
        <v>1.7311234118592274</v>
      </c>
      <c r="AT44" s="1">
        <v>1.2031396460692443</v>
      </c>
      <c r="AU44" s="1">
        <v>0.36910590186924719</v>
      </c>
    </row>
    <row r="45" spans="1:47" x14ac:dyDescent="0.25">
      <c r="A45">
        <v>2017.375</v>
      </c>
      <c r="B45">
        <v>5</v>
      </c>
      <c r="C45" s="1">
        <v>0.6355308827592252</v>
      </c>
      <c r="D45">
        <v>14.140651550457862</v>
      </c>
      <c r="G45" s="1">
        <v>0.6355308827592252</v>
      </c>
      <c r="H45" s="1">
        <v>0.2263728185012383</v>
      </c>
      <c r="I45" s="1">
        <v>0.75269428361922963</v>
      </c>
      <c r="J45" s="1">
        <v>0.10561636126922933</v>
      </c>
      <c r="K45" s="1">
        <v>0.53788867355923242</v>
      </c>
      <c r="L45" s="1">
        <v>1.3136739487692362</v>
      </c>
      <c r="M45" s="1">
        <v>0.48803656106923615</v>
      </c>
      <c r="N45" s="1">
        <v>0.91796129348923017</v>
      </c>
      <c r="O45" s="1">
        <v>2.3205943892092407</v>
      </c>
      <c r="P45" s="1">
        <v>2.8199650322192427</v>
      </c>
      <c r="Q45" s="1">
        <v>2.6337997278192273</v>
      </c>
      <c r="R45" s="1">
        <v>1.1669819309692406</v>
      </c>
      <c r="S45" s="1">
        <v>-3.6238594620772724E-2</v>
      </c>
      <c r="T45" s="1">
        <v>-1.9728460609507639</v>
      </c>
      <c r="U45" s="1">
        <v>-2.3126394715807717</v>
      </c>
      <c r="V45" s="1">
        <v>-4.0803512152507615</v>
      </c>
      <c r="W45" s="1">
        <v>-5.0763222569207516</v>
      </c>
      <c r="X45" s="1">
        <v>-3.4209596195307723</v>
      </c>
      <c r="Y45" s="1">
        <v>-1.3308764840307548</v>
      </c>
      <c r="Z45" s="1">
        <v>-3.1528870372307658</v>
      </c>
      <c r="AA45" s="1">
        <v>-1.9948764680307747</v>
      </c>
      <c r="AB45" s="1">
        <v>-1.5252614967307725</v>
      </c>
      <c r="AC45" s="1">
        <v>-1.6149105574307594</v>
      </c>
      <c r="AD45" s="1">
        <v>-0.92363914943077907</v>
      </c>
      <c r="AE45" s="1">
        <v>-3.0684870940772491E-2</v>
      </c>
      <c r="AF45" s="1">
        <v>0.45460829456923418</v>
      </c>
      <c r="AG45" s="1">
        <v>3.5930787669227304E-2</v>
      </c>
      <c r="AH45" s="1">
        <v>-1.4061045382307595</v>
      </c>
      <c r="AI45" s="1">
        <v>-2.1196752670907553</v>
      </c>
      <c r="AJ45" s="1">
        <v>-2.2526105113207597</v>
      </c>
      <c r="AK45" s="1">
        <v>-1.2621451354507678</v>
      </c>
      <c r="AL45" s="1">
        <v>-0.56983358888077473</v>
      </c>
      <c r="AM45" s="1">
        <v>0.10178133444922077</v>
      </c>
      <c r="AN45" s="1">
        <v>0.71163629737922962</v>
      </c>
      <c r="AO45" s="1">
        <v>1.2302889477092382</v>
      </c>
      <c r="AP45" s="1">
        <v>1.5207169755392274</v>
      </c>
      <c r="AQ45" s="1">
        <v>1.4034630548992453</v>
      </c>
      <c r="AR45" s="1">
        <v>0.41214923718922075</v>
      </c>
      <c r="AS45" s="1">
        <v>0.28743131410924311</v>
      </c>
      <c r="AT45" s="1">
        <v>1.0879898171392406</v>
      </c>
      <c r="AU45" s="1">
        <v>-0.77898724903076388</v>
      </c>
    </row>
    <row r="46" spans="1:47" x14ac:dyDescent="0.25">
      <c r="A46">
        <v>2018.375</v>
      </c>
      <c r="B46">
        <v>5</v>
      </c>
      <c r="C46" s="1">
        <v>2.0574152523692271</v>
      </c>
      <c r="D46">
        <v>14.677801713987265</v>
      </c>
      <c r="G46" s="1">
        <v>2.0574152523692271</v>
      </c>
      <c r="H46" s="1">
        <v>2.057989922469234</v>
      </c>
      <c r="I46" s="1">
        <v>2.4866597172692426</v>
      </c>
      <c r="J46" s="1">
        <v>1.7138665980692449</v>
      </c>
      <c r="K46" s="1">
        <v>9.4529943569231722E-2</v>
      </c>
      <c r="L46" s="1">
        <v>0.60212085066922516</v>
      </c>
      <c r="M46" s="1">
        <v>2.3005714547692206</v>
      </c>
      <c r="N46" s="1">
        <v>2.2583431590692404</v>
      </c>
      <c r="O46" s="1">
        <v>1.6955769090092339</v>
      </c>
      <c r="P46" s="1">
        <v>2.0752345825592298</v>
      </c>
      <c r="Q46" s="1">
        <v>2.4774201739092447</v>
      </c>
      <c r="R46" s="1">
        <v>0.86056713492922976</v>
      </c>
      <c r="S46" s="1">
        <v>0.6355308827592252</v>
      </c>
      <c r="T46" s="1">
        <v>0.2263728185012383</v>
      </c>
      <c r="U46" s="1">
        <v>0.75269428361922963</v>
      </c>
      <c r="V46" s="1">
        <v>0.10561636126922933</v>
      </c>
      <c r="W46" s="1">
        <v>0.53788867355923242</v>
      </c>
      <c r="X46" s="1">
        <v>1.3136739487692362</v>
      </c>
      <c r="Y46" s="1">
        <v>0.48803656106923615</v>
      </c>
      <c r="Z46" s="1">
        <v>0.91796129348923017</v>
      </c>
      <c r="AA46" s="1">
        <v>2.3205943892092407</v>
      </c>
      <c r="AB46" s="1">
        <v>2.8199650322192427</v>
      </c>
      <c r="AC46" s="1">
        <v>2.6337997278192273</v>
      </c>
      <c r="AD46" s="1">
        <v>1.1669819309692406</v>
      </c>
      <c r="AE46" s="1">
        <v>-3.6238594620772724E-2</v>
      </c>
      <c r="AF46" s="1">
        <v>-1.9728460609507639</v>
      </c>
      <c r="AG46" s="1">
        <v>-2.3126394715807717</v>
      </c>
      <c r="AH46" s="1">
        <v>-4.0803512152507615</v>
      </c>
      <c r="AI46" s="1">
        <v>-5.0763222569207516</v>
      </c>
      <c r="AJ46" s="1">
        <v>-3.4209596195307723</v>
      </c>
      <c r="AK46" s="1">
        <v>-1.3308764840307548</v>
      </c>
      <c r="AL46" s="1">
        <v>-3.1528870372307658</v>
      </c>
      <c r="AM46" s="1">
        <v>-1.9948764680307747</v>
      </c>
      <c r="AN46" s="1">
        <v>-1.5252614967307725</v>
      </c>
      <c r="AO46" s="1">
        <v>-1.6149105574307594</v>
      </c>
      <c r="AP46" s="1">
        <v>-0.92363914943077907</v>
      </c>
      <c r="AQ46" s="1">
        <v>-3.0684870940772491E-2</v>
      </c>
      <c r="AR46" s="1">
        <v>0.45460829456923418</v>
      </c>
      <c r="AS46" s="1">
        <v>3.5930787669227304E-2</v>
      </c>
      <c r="AT46" s="1">
        <v>-1.4061045382307595</v>
      </c>
      <c r="AU46" s="1">
        <v>-2.1196752670907553</v>
      </c>
    </row>
    <row r="47" spans="1:47" x14ac:dyDescent="0.25">
      <c r="A47">
        <v>2019.375</v>
      </c>
      <c r="B47">
        <v>5</v>
      </c>
      <c r="C47" s="1">
        <v>0.16846339816923617</v>
      </c>
      <c r="D47">
        <v>15.148034485601434</v>
      </c>
      <c r="G47" s="1">
        <v>0.16846339816923617</v>
      </c>
      <c r="H47" s="1">
        <v>-0.47616772613075503</v>
      </c>
      <c r="I47" s="1">
        <v>-0.53457451533077904</v>
      </c>
      <c r="J47" s="1">
        <v>0.49570576106923198</v>
      </c>
      <c r="K47" s="1">
        <v>-1.7311455758407726</v>
      </c>
      <c r="L47" s="1">
        <v>-0.96561260333077037</v>
      </c>
      <c r="M47" s="1">
        <v>-0.49344882973076382</v>
      </c>
      <c r="N47" s="1">
        <v>-0.57542024343075715</v>
      </c>
      <c r="O47" s="1">
        <v>0.80345345206922736</v>
      </c>
      <c r="P47" s="1">
        <v>1.1295069963692277</v>
      </c>
      <c r="Q47" s="1">
        <v>2.2252832571692274</v>
      </c>
      <c r="R47" s="1">
        <v>1.4889856663692449</v>
      </c>
      <c r="S47" s="1">
        <v>2.0574152523692271</v>
      </c>
      <c r="T47" s="1">
        <v>2.057989922469234</v>
      </c>
      <c r="U47" s="1">
        <v>2.4866597172692426</v>
      </c>
      <c r="V47" s="1">
        <v>1.7138665980692449</v>
      </c>
      <c r="W47" s="1">
        <v>9.4529943569231722E-2</v>
      </c>
      <c r="X47" s="1">
        <v>0.60212085066922516</v>
      </c>
      <c r="Y47" s="1">
        <v>2.3005714547692206</v>
      </c>
      <c r="Z47" s="1">
        <v>2.2583431590692404</v>
      </c>
      <c r="AA47" s="1">
        <v>1.6955769090092339</v>
      </c>
      <c r="AB47" s="1">
        <v>2.0752345825592298</v>
      </c>
      <c r="AC47" s="1">
        <v>2.4774201739092447</v>
      </c>
      <c r="AD47" s="1">
        <v>0.86056713492922976</v>
      </c>
      <c r="AE47" s="1">
        <v>0.6355308827592252</v>
      </c>
      <c r="AF47" s="1">
        <v>0.2263728185012383</v>
      </c>
      <c r="AG47" s="1">
        <v>0.75269428361922963</v>
      </c>
      <c r="AH47" s="1">
        <v>0.10561636126922933</v>
      </c>
      <c r="AI47" s="1">
        <v>0.53788867355923242</v>
      </c>
      <c r="AJ47" s="1">
        <v>1.3136739487692362</v>
      </c>
      <c r="AK47" s="1">
        <v>0.48803656106923615</v>
      </c>
      <c r="AL47" s="1">
        <v>0.91796129348923017</v>
      </c>
      <c r="AM47" s="1">
        <v>2.3205943892092407</v>
      </c>
      <c r="AN47" s="1">
        <v>2.8199650322192427</v>
      </c>
      <c r="AO47" s="1">
        <v>2.6337997278192273</v>
      </c>
      <c r="AP47" s="1">
        <v>1.1669819309692406</v>
      </c>
      <c r="AQ47" s="1">
        <v>-3.6238594620772724E-2</v>
      </c>
      <c r="AR47" s="1">
        <v>-1.9728460609507639</v>
      </c>
      <c r="AS47" s="1">
        <v>-2.3126394715807717</v>
      </c>
      <c r="AT47" s="1">
        <v>-4.0803512152507615</v>
      </c>
      <c r="AU47" s="1">
        <v>-5.0763222569207516</v>
      </c>
    </row>
    <row r="48" spans="1:47" x14ac:dyDescent="0.25">
      <c r="A48">
        <v>2020.375</v>
      </c>
      <c r="B48">
        <v>5</v>
      </c>
      <c r="C48" s="1">
        <v>0.94188844476923839</v>
      </c>
      <c r="D48">
        <v>14.60086271289838</v>
      </c>
      <c r="G48" s="1">
        <v>0.94188844476923839</v>
      </c>
      <c r="H48" s="1">
        <v>1.418113753069234</v>
      </c>
      <c r="I48" s="1">
        <v>2.890156064869227</v>
      </c>
      <c r="J48" s="1">
        <v>0.72176298916923387</v>
      </c>
      <c r="K48" s="1">
        <v>0.50067563736922516</v>
      </c>
      <c r="L48" s="1">
        <v>-1.2565737220307747</v>
      </c>
      <c r="M48" s="1">
        <v>-1.0369431740307637</v>
      </c>
      <c r="N48" s="1">
        <v>0.70103079876923413</v>
      </c>
      <c r="O48" s="1">
        <v>0.37751908686922514</v>
      </c>
      <c r="P48" s="1">
        <v>0.59593210106922745</v>
      </c>
      <c r="Q48" s="1">
        <v>0.41449108666922962</v>
      </c>
      <c r="R48" s="1">
        <v>0.73665835736922736</v>
      </c>
      <c r="S48" s="1">
        <v>0.16846339816923617</v>
      </c>
      <c r="T48" s="1">
        <v>-0.47616772613075503</v>
      </c>
      <c r="U48" s="1">
        <v>-0.53457451533077904</v>
      </c>
      <c r="V48" s="1">
        <v>0.49570576106923198</v>
      </c>
      <c r="W48" s="1">
        <v>-1.7311455758407726</v>
      </c>
      <c r="X48" s="1">
        <v>-0.96561260333077037</v>
      </c>
      <c r="Y48" s="1">
        <v>-0.49344882973076382</v>
      </c>
      <c r="Z48" s="1">
        <v>-0.57542024343075715</v>
      </c>
      <c r="AA48" s="1">
        <v>0.80345345206922736</v>
      </c>
      <c r="AB48" s="1">
        <v>1.1295069963692277</v>
      </c>
      <c r="AC48" s="1">
        <v>2.2252832571692274</v>
      </c>
      <c r="AD48" s="1">
        <v>1.4889856663692449</v>
      </c>
      <c r="AE48" s="1">
        <v>2.0574152523692271</v>
      </c>
      <c r="AF48" s="1">
        <v>2.057989922469234</v>
      </c>
      <c r="AG48" s="1">
        <v>2.4866597172692426</v>
      </c>
      <c r="AH48" s="1">
        <v>1.7138665980692449</v>
      </c>
      <c r="AI48" s="1">
        <v>9.4529943569231722E-2</v>
      </c>
      <c r="AJ48" s="1">
        <v>0.60212085066922516</v>
      </c>
      <c r="AK48" s="1">
        <v>2.3005714547692206</v>
      </c>
      <c r="AL48" s="1">
        <v>2.2583431590692404</v>
      </c>
      <c r="AM48" s="1">
        <v>1.6955769090092339</v>
      </c>
      <c r="AN48" s="1">
        <v>2.0752345825592298</v>
      </c>
      <c r="AO48" s="1">
        <v>2.4774201739092447</v>
      </c>
      <c r="AP48" s="1">
        <v>0.86056713492922976</v>
      </c>
      <c r="AQ48" s="1">
        <v>0.6355308827592252</v>
      </c>
      <c r="AR48" s="1">
        <v>0.2263728185012383</v>
      </c>
      <c r="AS48" s="1">
        <v>0.75269428361922963</v>
      </c>
      <c r="AT48" s="1">
        <v>0.10561636126922933</v>
      </c>
      <c r="AU48" s="1">
        <v>0.53788867355923242</v>
      </c>
    </row>
    <row r="49" spans="1:47" x14ac:dyDescent="0.25">
      <c r="A49">
        <v>2021.375</v>
      </c>
      <c r="B49">
        <v>5</v>
      </c>
      <c r="C49" s="1">
        <v>3.013470621229243</v>
      </c>
      <c r="D49">
        <v>13.828692022815048</v>
      </c>
      <c r="G49" s="1">
        <v>3.013470621229243</v>
      </c>
      <c r="H49" s="1">
        <v>3.4358862912692407</v>
      </c>
      <c r="I49" s="1">
        <v>4.1419505337292053</v>
      </c>
      <c r="J49" s="1">
        <v>1.6625542466692296</v>
      </c>
      <c r="K49" s="1">
        <v>0.56966047319922519</v>
      </c>
      <c r="L49" s="1">
        <v>7.4266250269225065E-2</v>
      </c>
      <c r="M49" s="1">
        <v>2.7389921961692316</v>
      </c>
      <c r="N49" s="1">
        <v>2.6532131311692275</v>
      </c>
      <c r="O49" s="1">
        <v>2.7449835301692338</v>
      </c>
      <c r="P49" s="1">
        <v>2.4282919043692339</v>
      </c>
      <c r="Q49" s="1">
        <v>2.4569034265692382</v>
      </c>
      <c r="R49" s="1">
        <v>1.9575282925692208</v>
      </c>
      <c r="S49" s="1">
        <v>0.94188844476923839</v>
      </c>
      <c r="T49" s="1">
        <v>1.418113753069234</v>
      </c>
      <c r="U49" s="1">
        <v>2.890156064869227</v>
      </c>
      <c r="V49" s="1">
        <v>0.72176298916923387</v>
      </c>
      <c r="W49" s="1">
        <v>0.50067563736922516</v>
      </c>
      <c r="X49" s="1">
        <v>-1.2565737220307747</v>
      </c>
      <c r="Y49" s="1">
        <v>-1.0369431740307637</v>
      </c>
      <c r="Z49" s="1">
        <v>0.70103079876923413</v>
      </c>
      <c r="AA49" s="1">
        <v>0.37751908686922514</v>
      </c>
      <c r="AB49" s="1">
        <v>0.59593210106922745</v>
      </c>
      <c r="AC49" s="1">
        <v>0.41449108666922962</v>
      </c>
      <c r="AD49" s="1">
        <v>0.73665835736922736</v>
      </c>
      <c r="AE49" s="1">
        <v>0.16846339816923617</v>
      </c>
      <c r="AF49" s="1">
        <v>-0.47616772613075503</v>
      </c>
      <c r="AG49" s="1">
        <v>-0.53457451533077904</v>
      </c>
      <c r="AH49" s="1">
        <v>0.49570576106923198</v>
      </c>
      <c r="AI49" s="1">
        <v>-1.7311455758407726</v>
      </c>
      <c r="AJ49" s="1">
        <v>-0.96561260333077037</v>
      </c>
      <c r="AK49" s="1">
        <v>-0.49344882973076382</v>
      </c>
      <c r="AL49" s="1">
        <v>-0.57542024343075715</v>
      </c>
      <c r="AM49" s="1">
        <v>0.80345345206922736</v>
      </c>
      <c r="AN49" s="1">
        <v>1.1295069963692277</v>
      </c>
      <c r="AO49" s="1">
        <v>2.2252832571692274</v>
      </c>
      <c r="AP49" s="1">
        <v>1.4889856663692449</v>
      </c>
      <c r="AQ49" s="1">
        <v>2.0574152523692271</v>
      </c>
      <c r="AR49" s="1">
        <v>2.057989922469234</v>
      </c>
      <c r="AS49" s="1">
        <v>2.4866597172692426</v>
      </c>
      <c r="AT49" s="1">
        <v>1.7138665980692449</v>
      </c>
      <c r="AU49" s="1">
        <v>9.4529943569231722E-2</v>
      </c>
    </row>
    <row r="50" spans="1:47" x14ac:dyDescent="0.25">
      <c r="A50">
        <v>2022.375</v>
      </c>
      <c r="B50">
        <v>5</v>
      </c>
      <c r="C50" s="1">
        <v>4.3843827266992443</v>
      </c>
      <c r="D50">
        <v>15.061213444351052</v>
      </c>
      <c r="G50" s="1">
        <v>4.3843827266992443</v>
      </c>
      <c r="H50" s="1">
        <v>3.738704460969243</v>
      </c>
      <c r="I50" s="1">
        <v>2.5391773460692382</v>
      </c>
      <c r="J50" s="1">
        <v>1.5244433762692298</v>
      </c>
      <c r="K50" s="1">
        <v>1.1166221583692315</v>
      </c>
      <c r="L50" s="1">
        <v>3.7450370694692299</v>
      </c>
      <c r="M50" s="1">
        <v>3.3026885758992401</v>
      </c>
      <c r="N50" s="1">
        <v>3.7375478410922232</v>
      </c>
      <c r="O50" s="1">
        <v>3.2127393982092203</v>
      </c>
      <c r="P50" s="1">
        <v>2.8442826277692275</v>
      </c>
      <c r="Q50" s="1">
        <v>4.163303717119228</v>
      </c>
      <c r="R50" s="1">
        <v>2.8356994875692361</v>
      </c>
      <c r="S50" s="1">
        <v>3.013470621229243</v>
      </c>
      <c r="T50" s="1">
        <v>3.4358862912692407</v>
      </c>
      <c r="U50" s="1">
        <v>4.1419505337292053</v>
      </c>
      <c r="V50" s="1">
        <v>1.6625542466692296</v>
      </c>
      <c r="W50" s="1">
        <v>0.56966047319922519</v>
      </c>
      <c r="X50" s="1">
        <v>7.4266250269225065E-2</v>
      </c>
      <c r="Y50" s="1">
        <v>2.7389921961692316</v>
      </c>
      <c r="Z50" s="1">
        <v>2.6532131311692275</v>
      </c>
      <c r="AA50" s="1">
        <v>2.7449835301692338</v>
      </c>
      <c r="AB50" s="1">
        <v>2.4282919043692339</v>
      </c>
      <c r="AC50" s="1">
        <v>2.4569034265692382</v>
      </c>
      <c r="AD50" s="1">
        <v>1.9575282925692208</v>
      </c>
      <c r="AE50" s="1">
        <v>0.94188844476923839</v>
      </c>
      <c r="AF50" s="1">
        <v>1.418113753069234</v>
      </c>
      <c r="AG50" s="1">
        <v>2.890156064869227</v>
      </c>
      <c r="AH50" s="1">
        <v>0.72176298916923387</v>
      </c>
      <c r="AI50" s="1">
        <v>0.50067563736922516</v>
      </c>
      <c r="AJ50" s="1">
        <v>-1.2565737220307747</v>
      </c>
      <c r="AK50" s="1">
        <v>-1.0369431740307637</v>
      </c>
      <c r="AL50" s="1">
        <v>0.70103079876923413</v>
      </c>
      <c r="AM50" s="1">
        <v>0.37751908686922514</v>
      </c>
      <c r="AN50" s="1">
        <v>0.59593210106922745</v>
      </c>
      <c r="AO50" s="1">
        <v>0.41449108666922962</v>
      </c>
      <c r="AP50" s="1">
        <v>0.73665835736922736</v>
      </c>
      <c r="AQ50" s="1">
        <v>0.16846339816923617</v>
      </c>
      <c r="AR50" s="1">
        <v>-0.47616772613075503</v>
      </c>
      <c r="AS50" s="1">
        <v>-0.53457451533077904</v>
      </c>
      <c r="AT50" s="1">
        <v>0.49570576106923198</v>
      </c>
      <c r="AU50" s="1">
        <v>-1.7311455758407726</v>
      </c>
    </row>
    <row r="51" spans="1:47" x14ac:dyDescent="0.25">
      <c r="A51">
        <v>2023.375</v>
      </c>
      <c r="B51">
        <v>5</v>
      </c>
      <c r="C51" s="1">
        <v>2.5315232330692252</v>
      </c>
      <c r="D51">
        <v>15.529660937542186</v>
      </c>
      <c r="G51" s="1">
        <v>2.5315232330692252</v>
      </c>
      <c r="H51" s="1">
        <v>2.4242919410692383</v>
      </c>
      <c r="I51" s="1">
        <v>3.0204558906692407</v>
      </c>
      <c r="J51" s="1">
        <v>2.5160163088692427</v>
      </c>
      <c r="K51" s="1">
        <v>0.21799792796922957</v>
      </c>
      <c r="L51" s="1">
        <v>1.0712564202692405</v>
      </c>
      <c r="M51" s="1">
        <v>3.5479114080692211</v>
      </c>
      <c r="N51" s="1">
        <v>3.5468615474692231</v>
      </c>
      <c r="O51" s="1">
        <v>3.5616315340692255</v>
      </c>
      <c r="P51" s="1">
        <v>4.1160447731392207</v>
      </c>
      <c r="Q51" s="1">
        <v>4.716440559979227</v>
      </c>
      <c r="R51" s="1">
        <v>3.4192657767092252</v>
      </c>
      <c r="S51" s="1">
        <v>4.3843827266992443</v>
      </c>
      <c r="T51" s="1">
        <v>3.738704460969243</v>
      </c>
      <c r="U51" s="1">
        <v>2.5391773460692382</v>
      </c>
      <c r="V51" s="1">
        <v>1.5244433762692298</v>
      </c>
      <c r="W51" s="1">
        <v>1.1166221583692315</v>
      </c>
      <c r="X51" s="1">
        <v>3.7450370694692299</v>
      </c>
      <c r="Y51" s="1">
        <v>3.3026885758992401</v>
      </c>
      <c r="Z51" s="1">
        <v>3.7375478410922232</v>
      </c>
      <c r="AA51" s="1">
        <v>3.2127393982092203</v>
      </c>
      <c r="AB51" s="1">
        <v>2.8442826277692275</v>
      </c>
      <c r="AC51" s="1">
        <v>4.163303717119228</v>
      </c>
      <c r="AD51" s="1">
        <v>2.8356994875692361</v>
      </c>
      <c r="AE51" s="1">
        <v>3.013470621229243</v>
      </c>
      <c r="AF51" s="1">
        <v>3.4358862912692407</v>
      </c>
      <c r="AG51" s="1">
        <v>4.1419505337292053</v>
      </c>
      <c r="AH51" s="1">
        <v>1.6625542466692296</v>
      </c>
      <c r="AI51" s="1">
        <v>0.56966047319922519</v>
      </c>
      <c r="AJ51" s="1">
        <v>7.4266250269225065E-2</v>
      </c>
      <c r="AK51" s="1">
        <v>2.7389921961692316</v>
      </c>
      <c r="AL51" s="1">
        <v>2.6532131311692275</v>
      </c>
      <c r="AM51" s="1">
        <v>2.7449835301692338</v>
      </c>
      <c r="AN51" s="1">
        <v>2.4282919043692339</v>
      </c>
      <c r="AO51" s="1">
        <v>2.4569034265692382</v>
      </c>
      <c r="AP51" s="1">
        <v>1.9575282925692208</v>
      </c>
      <c r="AQ51" s="1">
        <v>0.94188844476923839</v>
      </c>
      <c r="AR51" s="1">
        <v>1.418113753069234</v>
      </c>
      <c r="AS51" s="1">
        <v>2.890156064869227</v>
      </c>
      <c r="AT51" s="1">
        <v>0.72176298916923387</v>
      </c>
      <c r="AU51" s="1">
        <v>0.50067563736922516</v>
      </c>
    </row>
    <row r="52" spans="1:47" x14ac:dyDescent="0.25">
      <c r="A52">
        <v>2024</v>
      </c>
      <c r="D52">
        <v>14.192982220000403</v>
      </c>
      <c r="S52" s="1">
        <v>2.5315232330692252</v>
      </c>
      <c r="T52" s="1">
        <v>2.4242919410692383</v>
      </c>
      <c r="U52" s="1">
        <v>3.0204558906692407</v>
      </c>
      <c r="V52" s="1">
        <v>2.5160163088692427</v>
      </c>
      <c r="W52" s="1">
        <v>0.21799792796922957</v>
      </c>
      <c r="X52" s="1">
        <v>1.0712564202692405</v>
      </c>
      <c r="Y52" s="1">
        <v>3.5479114080692211</v>
      </c>
      <c r="Z52" s="1">
        <v>3.5468615474692231</v>
      </c>
      <c r="AA52" s="1">
        <v>3.5616315340692255</v>
      </c>
      <c r="AB52" s="1">
        <v>4.1160447731392207</v>
      </c>
      <c r="AC52" s="1">
        <v>4.716440559979227</v>
      </c>
      <c r="AD52" s="1">
        <v>3.4192657767092252</v>
      </c>
      <c r="AE52" s="1">
        <v>4.3843827266992443</v>
      </c>
      <c r="AF52" s="1">
        <v>3.738704460969243</v>
      </c>
      <c r="AG52" s="1">
        <v>2.5391773460692382</v>
      </c>
      <c r="AH52" s="1">
        <v>1.5244433762692298</v>
      </c>
      <c r="AI52" s="1">
        <v>1.1166221583692315</v>
      </c>
      <c r="AJ52" s="1">
        <v>3.7450370694692299</v>
      </c>
      <c r="AK52" s="1">
        <v>3.3026885758992401</v>
      </c>
      <c r="AL52" s="1">
        <v>3.7375478410922232</v>
      </c>
      <c r="AM52" s="1">
        <v>3.2127393982092203</v>
      </c>
      <c r="AN52" s="1">
        <v>2.8442826277692275</v>
      </c>
      <c r="AO52" s="1">
        <v>4.163303717119228</v>
      </c>
      <c r="AP52" s="1">
        <v>2.8356994875692361</v>
      </c>
      <c r="AQ52" s="1">
        <v>3.013470621229243</v>
      </c>
      <c r="AR52" s="1">
        <v>3.4358862912692407</v>
      </c>
      <c r="AS52" s="1">
        <v>4.1419505337292053</v>
      </c>
      <c r="AT52" s="1">
        <v>1.6625542466692296</v>
      </c>
      <c r="AU52" s="1">
        <v>0.56966047319922519</v>
      </c>
    </row>
    <row r="53" spans="1:47" x14ac:dyDescent="0.25">
      <c r="AE53" s="1">
        <v>2.5315232330692252</v>
      </c>
      <c r="AF53" s="1">
        <v>2.4242919410692383</v>
      </c>
      <c r="AK53" s="1">
        <v>3.5479114080692211</v>
      </c>
      <c r="AQ53" s="1">
        <v>4.3843827266992443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89A7-3E0A-4719-9CC9-2C2B660AFB07}">
  <dimension ref="A1:AH86"/>
  <sheetViews>
    <sheetView topLeftCell="F69" workbookViewId="0">
      <selection activeCell="J101" sqref="J101"/>
    </sheetView>
  </sheetViews>
  <sheetFormatPr defaultRowHeight="15" x14ac:dyDescent="0.25"/>
  <sheetData>
    <row r="1" spans="1:26" x14ac:dyDescent="0.25">
      <c r="A1" t="s">
        <v>9</v>
      </c>
    </row>
    <row r="14" spans="1:26" x14ac:dyDescent="0.25">
      <c r="V14" t="s">
        <v>20</v>
      </c>
    </row>
    <row r="16" spans="1:26" x14ac:dyDescent="0.25">
      <c r="U16" t="s">
        <v>21</v>
      </c>
      <c r="V16" t="s">
        <v>16</v>
      </c>
      <c r="W16" t="s">
        <v>19</v>
      </c>
      <c r="X16" t="s">
        <v>17</v>
      </c>
      <c r="Y16" t="s">
        <v>51</v>
      </c>
      <c r="Z16" t="s">
        <v>23</v>
      </c>
    </row>
    <row r="17" spans="2:34" ht="15.75" thickBot="1" x14ac:dyDescent="0.3">
      <c r="B17" t="s">
        <v>10</v>
      </c>
      <c r="L17" t="s">
        <v>13</v>
      </c>
      <c r="U17">
        <v>2002</v>
      </c>
      <c r="V17">
        <v>7.9289352713262105</v>
      </c>
      <c r="W17">
        <v>3.5373226747692317</v>
      </c>
      <c r="X17">
        <v>14.926819746523048</v>
      </c>
      <c r="Y17">
        <f>$AA$32+$AA$33*V17+$AA$34*W17</f>
        <v>14.870837784247703</v>
      </c>
    </row>
    <row r="18" spans="2:34" x14ac:dyDescent="0.25">
      <c r="B18" t="s">
        <v>11</v>
      </c>
      <c r="U18">
        <v>2003</v>
      </c>
      <c r="V18">
        <v>6.5865151605051988</v>
      </c>
      <c r="W18">
        <v>2.8748315578692294</v>
      </c>
      <c r="X18">
        <v>14.644804343685616</v>
      </c>
      <c r="Y18">
        <f t="shared" ref="Y18:Y39" si="0">$AA$32+$AA$33*V18+$AA$34*W18</f>
        <v>15.029509667232183</v>
      </c>
      <c r="Z18" s="6" t="s">
        <v>24</v>
      </c>
      <c r="AA18" s="6"/>
    </row>
    <row r="19" spans="2:34" x14ac:dyDescent="0.25">
      <c r="U19">
        <v>2004</v>
      </c>
      <c r="V19">
        <v>8.3656406591318859</v>
      </c>
      <c r="W19">
        <v>1.9076068417692387</v>
      </c>
      <c r="X19">
        <v>15.003569008913368</v>
      </c>
      <c r="Y19">
        <f t="shared" si="0"/>
        <v>15.346891424241024</v>
      </c>
      <c r="Z19" t="s">
        <v>25</v>
      </c>
      <c r="AA19">
        <v>0.59946083000988026</v>
      </c>
      <c r="AB19" t="s">
        <v>50</v>
      </c>
    </row>
    <row r="20" spans="2:34" x14ac:dyDescent="0.25">
      <c r="U20">
        <v>2006</v>
      </c>
      <c r="V20">
        <v>10.700674049247215</v>
      </c>
      <c r="W20">
        <v>1.3046613783592229</v>
      </c>
      <c r="X20">
        <v>15.5967623282573</v>
      </c>
      <c r="Y20">
        <f t="shared" si="0"/>
        <v>15.572847265181379</v>
      </c>
      <c r="Z20" t="s">
        <v>26</v>
      </c>
      <c r="AA20">
        <v>0.35935328671613459</v>
      </c>
    </row>
    <row r="21" spans="2:34" x14ac:dyDescent="0.25">
      <c r="U21">
        <v>2007</v>
      </c>
      <c r="V21">
        <v>8.3283902755709427</v>
      </c>
      <c r="W21">
        <v>-0.5079246517307725</v>
      </c>
      <c r="X21">
        <v>15.492653026518825</v>
      </c>
      <c r="Y21">
        <f t="shared" si="0"/>
        <v>16.036794462765702</v>
      </c>
      <c r="Z21" t="s">
        <v>27</v>
      </c>
      <c r="AA21">
        <v>0.29191679058099085</v>
      </c>
    </row>
    <row r="22" spans="2:34" x14ac:dyDescent="0.25">
      <c r="U22">
        <v>2008</v>
      </c>
      <c r="V22">
        <v>9.2858627695137645</v>
      </c>
      <c r="W22">
        <v>2.1628221249392339</v>
      </c>
      <c r="X22">
        <v>15.180089978239778</v>
      </c>
      <c r="Y22">
        <f t="shared" si="0"/>
        <v>15.295006495867938</v>
      </c>
      <c r="Z22" t="s">
        <v>28</v>
      </c>
      <c r="AA22">
        <v>0.60368566792770673</v>
      </c>
    </row>
    <row r="23" spans="2:34" ht="15.75" thickBot="1" x14ac:dyDescent="0.3">
      <c r="U23">
        <v>2009</v>
      </c>
      <c r="V23">
        <v>-17.701900989211079</v>
      </c>
      <c r="W23">
        <v>2.2741382218892316</v>
      </c>
      <c r="X23">
        <v>14.738078736023924</v>
      </c>
      <c r="Y23">
        <f t="shared" si="0"/>
        <v>14.644433292226335</v>
      </c>
      <c r="Z23" s="4" t="s">
        <v>29</v>
      </c>
      <c r="AA23" s="4">
        <v>22</v>
      </c>
    </row>
    <row r="24" spans="2:34" x14ac:dyDescent="0.25">
      <c r="U24">
        <v>2010</v>
      </c>
      <c r="V24">
        <v>10.613418924032485</v>
      </c>
      <c r="W24">
        <v>3.1445083440692292</v>
      </c>
      <c r="X24">
        <v>15.329736197973364</v>
      </c>
      <c r="Y24">
        <f t="shared" si="0"/>
        <v>15.044715256163878</v>
      </c>
    </row>
    <row r="25" spans="2:34" ht="15.75" thickBot="1" x14ac:dyDescent="0.3">
      <c r="U25">
        <v>2011</v>
      </c>
      <c r="V25">
        <v>7.8263185304325154</v>
      </c>
      <c r="W25">
        <v>2.8559780762592273</v>
      </c>
      <c r="X25">
        <v>14.198612242700044</v>
      </c>
      <c r="Y25">
        <f t="shared" si="0"/>
        <v>15.063325716048645</v>
      </c>
      <c r="Z25" t="s">
        <v>30</v>
      </c>
    </row>
    <row r="26" spans="2:34" x14ac:dyDescent="0.25">
      <c r="U26">
        <v>2012</v>
      </c>
      <c r="V26">
        <v>-15.299091625586676</v>
      </c>
      <c r="W26">
        <v>2.1367981933692386</v>
      </c>
      <c r="X26">
        <v>14.083356508767</v>
      </c>
      <c r="Y26">
        <f t="shared" si="0"/>
        <v>14.738796231633319</v>
      </c>
      <c r="Z26" s="5"/>
      <c r="AA26" s="5" t="s">
        <v>35</v>
      </c>
      <c r="AB26" s="5" t="s">
        <v>36</v>
      </c>
      <c r="AC26" s="5" t="s">
        <v>37</v>
      </c>
      <c r="AD26" s="5" t="s">
        <v>38</v>
      </c>
      <c r="AE26" s="5" t="s">
        <v>39</v>
      </c>
    </row>
    <row r="27" spans="2:34" x14ac:dyDescent="0.25">
      <c r="U27">
        <v>2013</v>
      </c>
      <c r="V27">
        <v>7.4902495400885751</v>
      </c>
      <c r="W27">
        <v>2.994733051169236</v>
      </c>
      <c r="X27">
        <v>14.13976834956668</v>
      </c>
      <c r="Y27">
        <f t="shared" si="0"/>
        <v>15.015941715114979</v>
      </c>
      <c r="Z27" t="s">
        <v>31</v>
      </c>
      <c r="AA27">
        <v>2</v>
      </c>
      <c r="AB27">
        <v>3.8839922146576544</v>
      </c>
      <c r="AC27">
        <v>1.9419961073288272</v>
      </c>
      <c r="AD27">
        <v>5.3287656878848706</v>
      </c>
      <c r="AE27">
        <v>1.4550459987973201E-2</v>
      </c>
    </row>
    <row r="28" spans="2:34" x14ac:dyDescent="0.25">
      <c r="U28">
        <v>2014</v>
      </c>
      <c r="V28">
        <v>10.641276090714182</v>
      </c>
      <c r="W28">
        <v>3.3148665312692316</v>
      </c>
      <c r="X28">
        <v>15.383719474223113</v>
      </c>
      <c r="Y28">
        <f t="shared" si="0"/>
        <v>14.996637478366477</v>
      </c>
      <c r="Z28" t="s">
        <v>32</v>
      </c>
      <c r="AA28">
        <v>19</v>
      </c>
      <c r="AB28">
        <v>6.9242913275651059</v>
      </c>
      <c r="AC28">
        <v>0.36443638566132136</v>
      </c>
    </row>
    <row r="29" spans="2:34" ht="15.75" thickBot="1" x14ac:dyDescent="0.3">
      <c r="U29">
        <v>2015</v>
      </c>
      <c r="V29">
        <v>9.2507452868322613</v>
      </c>
      <c r="W29">
        <v>2.6100064923692252</v>
      </c>
      <c r="X29">
        <v>14.796262439780037</v>
      </c>
      <c r="Y29">
        <f t="shared" si="0"/>
        <v>15.166322363129858</v>
      </c>
      <c r="Z29" s="4" t="s">
        <v>33</v>
      </c>
      <c r="AA29" s="4">
        <v>21</v>
      </c>
      <c r="AB29" s="4">
        <v>10.80828354222276</v>
      </c>
      <c r="AC29" s="4"/>
      <c r="AD29" s="4"/>
      <c r="AE29" s="4"/>
    </row>
    <row r="30" spans="2:34" ht="15.75" thickBot="1" x14ac:dyDescent="0.3">
      <c r="U30">
        <v>2016</v>
      </c>
      <c r="V30">
        <v>11.254352226494204</v>
      </c>
      <c r="W30">
        <v>1.4034630548992453</v>
      </c>
      <c r="X30">
        <v>14.957636606044085</v>
      </c>
      <c r="Y30">
        <f t="shared" si="0"/>
        <v>15.557287480618283</v>
      </c>
    </row>
    <row r="31" spans="2:34" x14ac:dyDescent="0.25">
      <c r="U31">
        <v>2017</v>
      </c>
      <c r="V31">
        <v>12.244444393054888</v>
      </c>
      <c r="W31">
        <v>-3.0684870940772491E-2</v>
      </c>
      <c r="X31">
        <v>16.085304860763262</v>
      </c>
      <c r="Y31">
        <f t="shared" si="0"/>
        <v>15.990102915969892</v>
      </c>
      <c r="Z31" s="5"/>
      <c r="AA31" s="5" t="s">
        <v>40</v>
      </c>
      <c r="AB31" s="5" t="s">
        <v>28</v>
      </c>
      <c r="AC31" s="5" t="s">
        <v>41</v>
      </c>
      <c r="AD31" s="5" t="s">
        <v>42</v>
      </c>
      <c r="AE31" s="5" t="s">
        <v>43</v>
      </c>
      <c r="AF31" s="5" t="s">
        <v>44</v>
      </c>
      <c r="AG31" s="5" t="s">
        <v>45</v>
      </c>
      <c r="AH31" s="5" t="s">
        <v>46</v>
      </c>
    </row>
    <row r="32" spans="2:34" x14ac:dyDescent="0.25">
      <c r="U32">
        <v>2018</v>
      </c>
      <c r="V32">
        <v>12.003472496236668</v>
      </c>
      <c r="W32">
        <v>-3.6238594620772724E-2</v>
      </c>
      <c r="X32">
        <v>16.823492100535002</v>
      </c>
      <c r="Y32">
        <f t="shared" si="0"/>
        <v>15.986166392131555</v>
      </c>
      <c r="Z32" t="s">
        <v>34</v>
      </c>
      <c r="AA32">
        <v>15.700603259428126</v>
      </c>
      <c r="AB32">
        <v>0.24472339782636315</v>
      </c>
      <c r="AC32">
        <v>64.156526915207607</v>
      </c>
      <c r="AD32">
        <v>1.120309832202603E-23</v>
      </c>
      <c r="AE32">
        <v>15.188391301101014</v>
      </c>
      <c r="AF32">
        <v>16.212815217755239</v>
      </c>
      <c r="AG32">
        <v>15.188391301101014</v>
      </c>
      <c r="AH32">
        <v>16.212815217755239</v>
      </c>
    </row>
    <row r="33" spans="2:34" x14ac:dyDescent="0.25">
      <c r="U33">
        <v>2019</v>
      </c>
      <c r="V33">
        <v>-19.432157611796416</v>
      </c>
      <c r="W33">
        <v>0.6355308827592252</v>
      </c>
      <c r="X33">
        <v>15.903020339639326</v>
      </c>
      <c r="Y33">
        <f t="shared" si="0"/>
        <v>15.073348274215665</v>
      </c>
      <c r="Z33" t="s">
        <v>47</v>
      </c>
      <c r="AA33">
        <v>2.2926713000951813E-2</v>
      </c>
      <c r="AB33">
        <v>1.3636099303801226E-2</v>
      </c>
      <c r="AC33">
        <v>1.681324878190108</v>
      </c>
      <c r="AD33" s="3">
        <v>0.10906458667025638</v>
      </c>
      <c r="AE33">
        <v>-5.6139708502045589E-3</v>
      </c>
      <c r="AF33">
        <v>5.1467396852108188E-2</v>
      </c>
      <c r="AG33">
        <v>-5.6139708502045589E-3</v>
      </c>
      <c r="AH33">
        <v>5.1467396852108188E-2</v>
      </c>
    </row>
    <row r="34" spans="2:34" ht="15.75" thickBot="1" x14ac:dyDescent="0.3">
      <c r="U34">
        <v>2020</v>
      </c>
      <c r="V34">
        <v>11.379596354850582</v>
      </c>
      <c r="W34">
        <v>2.0574152523692271</v>
      </c>
      <c r="X34">
        <v>15.560191762708127</v>
      </c>
      <c r="Y34">
        <f t="shared" si="0"/>
        <v>15.37315158390656</v>
      </c>
      <c r="Z34" s="4" t="s">
        <v>48</v>
      </c>
      <c r="AA34" s="4">
        <v>-0.28596483599428335</v>
      </c>
      <c r="AB34" s="4">
        <v>9.9603944104625655E-2</v>
      </c>
      <c r="AC34" s="4">
        <v>-2.8710192007447124</v>
      </c>
      <c r="AD34" s="7">
        <v>9.7814581060098812E-3</v>
      </c>
      <c r="AE34" s="4">
        <v>-0.49443828691920555</v>
      </c>
      <c r="AF34" s="4">
        <v>-7.7491385069361124E-2</v>
      </c>
      <c r="AG34" s="4">
        <v>-0.49443828691920555</v>
      </c>
      <c r="AH34" s="4">
        <v>-7.7491385069361124E-2</v>
      </c>
    </row>
    <row r="35" spans="2:34" x14ac:dyDescent="0.25">
      <c r="U35">
        <v>2021</v>
      </c>
      <c r="V35">
        <v>10.499270609848015</v>
      </c>
      <c r="W35">
        <v>0.16846339816923617</v>
      </c>
      <c r="X35">
        <v>16.226037730658476</v>
      </c>
      <c r="Y35">
        <f t="shared" si="0"/>
        <v>15.893142415390935</v>
      </c>
    </row>
    <row r="36" spans="2:34" x14ac:dyDescent="0.25">
      <c r="B36" t="s">
        <v>12</v>
      </c>
      <c r="L36" t="s">
        <v>13</v>
      </c>
      <c r="U36">
        <v>2022</v>
      </c>
      <c r="V36">
        <v>9.0509948078823843</v>
      </c>
      <c r="W36">
        <v>0.94188844476923839</v>
      </c>
      <c r="X36">
        <v>15.831021983021971</v>
      </c>
      <c r="Y36">
        <f t="shared" si="0"/>
        <v>15.638765845128205</v>
      </c>
      <c r="AD36" t="s">
        <v>49</v>
      </c>
    </row>
    <row r="37" spans="2:34" x14ac:dyDescent="0.25">
      <c r="L37" t="s">
        <v>14</v>
      </c>
      <c r="U37">
        <v>2023</v>
      </c>
      <c r="V37">
        <v>8.8829587924484859</v>
      </c>
      <c r="W37">
        <v>3.013470621229243</v>
      </c>
      <c r="X37">
        <v>15.032462346574873</v>
      </c>
      <c r="Y37">
        <f t="shared" si="0"/>
        <v>15.042513674288461</v>
      </c>
    </row>
    <row r="38" spans="2:34" x14ac:dyDescent="0.25">
      <c r="U38">
        <v>2024</v>
      </c>
      <c r="V38">
        <v>11.034823698128058</v>
      </c>
      <c r="W38">
        <v>4.3843827266992443</v>
      </c>
      <c r="X38">
        <v>16.142953830746173</v>
      </c>
      <c r="Y38">
        <f t="shared" si="0"/>
        <v>14.699816207994493</v>
      </c>
    </row>
    <row r="39" spans="2:34" x14ac:dyDescent="0.25">
      <c r="L39">
        <v>2.532</v>
      </c>
      <c r="M39">
        <v>-0.32519999999999999</v>
      </c>
      <c r="N39">
        <v>15.734999999999999</v>
      </c>
      <c r="O39" t="s">
        <v>15</v>
      </c>
      <c r="Q39">
        <f>N39+M39*L39</f>
        <v>14.9115936</v>
      </c>
      <c r="R39" s="3">
        <f>EXP(Q39)</f>
        <v>2992421.8476508446</v>
      </c>
      <c r="V39">
        <v>9.594425531080466</v>
      </c>
      <c r="W39">
        <v>2.532</v>
      </c>
      <c r="Y39" s="3">
        <f t="shared" si="0"/>
        <v>15.196508935250687</v>
      </c>
      <c r="Z39" s="3">
        <f>EXP(Y39)</f>
        <v>3978872.0606607143</v>
      </c>
    </row>
    <row r="41" spans="2:34" x14ac:dyDescent="0.25">
      <c r="U41" t="s">
        <v>22</v>
      </c>
    </row>
    <row r="56" spans="22:28" x14ac:dyDescent="0.25">
      <c r="V56" t="s">
        <v>57</v>
      </c>
    </row>
    <row r="59" spans="22:28" x14ac:dyDescent="0.25">
      <c r="V59" t="s">
        <v>18</v>
      </c>
      <c r="W59" t="s">
        <v>59</v>
      </c>
      <c r="X59" t="s">
        <v>58</v>
      </c>
      <c r="Y59" t="s">
        <v>51</v>
      </c>
      <c r="Z59" t="s">
        <v>23</v>
      </c>
    </row>
    <row r="60" spans="22:28" ht="15.75" thickBot="1" x14ac:dyDescent="0.3">
      <c r="V60">
        <v>14.910956739649187</v>
      </c>
      <c r="W60">
        <v>0.93481068946924495</v>
      </c>
      <c r="X60">
        <v>14.684027671861875</v>
      </c>
      <c r="Y60">
        <f>$AA$75+$AA$76*V60+$AA$77*W60</f>
        <v>14.713318093161678</v>
      </c>
    </row>
    <row r="61" spans="22:28" x14ac:dyDescent="0.25">
      <c r="V61">
        <v>15.308961681607762</v>
      </c>
      <c r="W61">
        <v>-1.0207669603507683</v>
      </c>
      <c r="X61">
        <v>14.983986858366556</v>
      </c>
      <c r="Y61">
        <f t="shared" ref="Y61:Y86" si="1">$AA$75+$AA$76*V61+$AA$77*W61</f>
        <v>14.902742442822031</v>
      </c>
      <c r="Z61" s="6" t="s">
        <v>24</v>
      </c>
      <c r="AA61" s="6"/>
    </row>
    <row r="62" spans="22:28" x14ac:dyDescent="0.25">
      <c r="V62">
        <v>14.948409388531813</v>
      </c>
      <c r="W62">
        <v>0.36530161782924503</v>
      </c>
      <c r="X62">
        <v>15.293414041875831</v>
      </c>
      <c r="Y62">
        <f t="shared" si="1"/>
        <v>14.747697877738059</v>
      </c>
      <c r="Z62" t="s">
        <v>25</v>
      </c>
      <c r="AA62">
        <v>0.51732307795439469</v>
      </c>
      <c r="AB62" t="s">
        <v>60</v>
      </c>
    </row>
    <row r="63" spans="22:28" x14ac:dyDescent="0.25">
      <c r="V63">
        <v>12.228886283265588</v>
      </c>
      <c r="W63">
        <v>4.2896200438692365</v>
      </c>
      <c r="X63">
        <v>13.278387238609071</v>
      </c>
      <c r="Y63">
        <f t="shared" si="1"/>
        <v>13.858694630650863</v>
      </c>
      <c r="Z63" t="s">
        <v>26</v>
      </c>
      <c r="AA63">
        <v>0.26762316698420868</v>
      </c>
    </row>
    <row r="64" spans="22:28" x14ac:dyDescent="0.25">
      <c r="V64">
        <v>14.926819746523048</v>
      </c>
      <c r="W64">
        <v>3.5373226747692317</v>
      </c>
      <c r="X64">
        <v>15.078416909319417</v>
      </c>
      <c r="Y64">
        <f t="shared" si="1"/>
        <v>14.605755627320075</v>
      </c>
      <c r="Z64" t="s">
        <v>27</v>
      </c>
      <c r="AA64">
        <v>0.20393822498283551</v>
      </c>
    </row>
    <row r="65" spans="2:34" x14ac:dyDescent="0.25">
      <c r="V65">
        <v>14.644804343685616</v>
      </c>
      <c r="W65">
        <v>2.8748315578692294</v>
      </c>
      <c r="X65">
        <v>14.774668710874913</v>
      </c>
      <c r="Y65">
        <f t="shared" si="1"/>
        <v>14.559493038427197</v>
      </c>
      <c r="Z65" t="s">
        <v>28</v>
      </c>
      <c r="AA65">
        <v>0.47232791801878016</v>
      </c>
    </row>
    <row r="66" spans="2:34" ht="15.75" thickBot="1" x14ac:dyDescent="0.3">
      <c r="V66">
        <v>15.003569008913368</v>
      </c>
      <c r="W66">
        <v>1.9076068417692387</v>
      </c>
      <c r="X66">
        <v>14.98802186525956</v>
      </c>
      <c r="Y66">
        <f t="shared" si="1"/>
        <v>14.69607674546117</v>
      </c>
      <c r="Z66" s="4" t="s">
        <v>29</v>
      </c>
      <c r="AA66" s="4">
        <v>26</v>
      </c>
    </row>
    <row r="67" spans="2:34" x14ac:dyDescent="0.25">
      <c r="V67">
        <v>14.593117968405274</v>
      </c>
      <c r="W67">
        <v>2.2880968023692252</v>
      </c>
      <c r="X67">
        <v>15.519494936736582</v>
      </c>
      <c r="Y67">
        <f t="shared" si="1"/>
        <v>14.570997308170233</v>
      </c>
    </row>
    <row r="68" spans="2:34" ht="15.75" thickBot="1" x14ac:dyDescent="0.3">
      <c r="V68">
        <v>15.5967623282573</v>
      </c>
      <c r="W68">
        <v>1.3046613783592229</v>
      </c>
      <c r="X68">
        <v>14.567427915489649</v>
      </c>
      <c r="Y68">
        <f t="shared" si="1"/>
        <v>14.87912278158071</v>
      </c>
      <c r="Z68" t="s">
        <v>30</v>
      </c>
    </row>
    <row r="69" spans="2:34" x14ac:dyDescent="0.25">
      <c r="V69">
        <v>15.492653026518825</v>
      </c>
      <c r="W69">
        <v>-0.5079246517307725</v>
      </c>
      <c r="X69">
        <v>14.849109295036406</v>
      </c>
      <c r="Y69">
        <f t="shared" si="1"/>
        <v>14.929383076800127</v>
      </c>
      <c r="Z69" s="5"/>
      <c r="AA69" s="5" t="s">
        <v>35</v>
      </c>
      <c r="AB69" s="5" t="s">
        <v>36</v>
      </c>
      <c r="AC69" s="5" t="s">
        <v>37</v>
      </c>
      <c r="AD69" s="5" t="s">
        <v>38</v>
      </c>
      <c r="AE69" s="5" t="s">
        <v>39</v>
      </c>
    </row>
    <row r="70" spans="2:34" x14ac:dyDescent="0.25">
      <c r="V70">
        <v>15.180089978239778</v>
      </c>
      <c r="W70">
        <v>2.1628221249392339</v>
      </c>
      <c r="X70">
        <v>15.168145402305552</v>
      </c>
      <c r="Y70">
        <f t="shared" si="1"/>
        <v>14.731881562445201</v>
      </c>
      <c r="Z70" t="s">
        <v>31</v>
      </c>
      <c r="AA70">
        <v>2</v>
      </c>
      <c r="AB70">
        <v>1.8750125389048042</v>
      </c>
      <c r="AC70">
        <v>0.93750626945240212</v>
      </c>
      <c r="AD70">
        <v>4.202298982676913</v>
      </c>
      <c r="AE70">
        <v>2.7825813936865347E-2</v>
      </c>
    </row>
    <row r="71" spans="2:34" x14ac:dyDescent="0.25">
      <c r="V71">
        <v>14.738078736023924</v>
      </c>
      <c r="W71">
        <v>2.2741382218892316</v>
      </c>
      <c r="X71">
        <v>15.166198285306617</v>
      </c>
      <c r="Y71">
        <f t="shared" si="1"/>
        <v>14.610000681048438</v>
      </c>
      <c r="Z71" t="s">
        <v>32</v>
      </c>
      <c r="AA71">
        <v>23</v>
      </c>
      <c r="AB71">
        <v>5.1311542292189767</v>
      </c>
      <c r="AC71">
        <v>0.22309366213995552</v>
      </c>
    </row>
    <row r="72" spans="2:34" ht="15.75" thickBot="1" x14ac:dyDescent="0.3">
      <c r="B72" t="s">
        <v>52</v>
      </c>
      <c r="V72">
        <v>15.329736197973364</v>
      </c>
      <c r="W72">
        <v>3.1445083440692292</v>
      </c>
      <c r="X72">
        <v>14.975003932395133</v>
      </c>
      <c r="Y72">
        <f t="shared" si="1"/>
        <v>14.729368224372873</v>
      </c>
      <c r="Z72" s="4" t="s">
        <v>33</v>
      </c>
      <c r="AA72" s="4">
        <v>25</v>
      </c>
      <c r="AB72" s="4">
        <v>7.0061667681237809</v>
      </c>
      <c r="AC72" s="4"/>
      <c r="AD72" s="4"/>
      <c r="AE72" s="4"/>
    </row>
    <row r="73" spans="2:34" ht="15.75" thickBot="1" x14ac:dyDescent="0.3">
      <c r="B73" t="s">
        <v>53</v>
      </c>
      <c r="L73" t="s">
        <v>54</v>
      </c>
      <c r="V73">
        <v>14.198612242700044</v>
      </c>
      <c r="W73">
        <v>2.8559780762592273</v>
      </c>
      <c r="X73">
        <v>13.951146531019287</v>
      </c>
      <c r="Y73">
        <f t="shared" si="1"/>
        <v>14.442094675928374</v>
      </c>
    </row>
    <row r="74" spans="2:34" x14ac:dyDescent="0.25">
      <c r="M74" t="s">
        <v>55</v>
      </c>
      <c r="V74">
        <v>14.083356508767</v>
      </c>
      <c r="W74">
        <v>2.1367981933692386</v>
      </c>
      <c r="X74">
        <v>14.39027944349535</v>
      </c>
      <c r="Y74">
        <f t="shared" si="1"/>
        <v>14.442445612085741</v>
      </c>
      <c r="Z74" s="5"/>
      <c r="AA74" s="5" t="s">
        <v>40</v>
      </c>
      <c r="AB74" s="5" t="s">
        <v>28</v>
      </c>
      <c r="AC74" s="5" t="s">
        <v>41</v>
      </c>
      <c r="AD74" s="5" t="s">
        <v>42</v>
      </c>
      <c r="AE74" s="5" t="s">
        <v>43</v>
      </c>
      <c r="AF74" s="5" t="s">
        <v>44</v>
      </c>
      <c r="AG74" s="5" t="s">
        <v>45</v>
      </c>
      <c r="AH74" s="5" t="s">
        <v>46</v>
      </c>
    </row>
    <row r="75" spans="2:34" x14ac:dyDescent="0.25">
      <c r="V75">
        <v>14.13976834956668</v>
      </c>
      <c r="W75">
        <v>2.994733051169236</v>
      </c>
      <c r="X75">
        <v>14.536801254755606</v>
      </c>
      <c r="Y75">
        <f t="shared" si="1"/>
        <v>14.420546541946193</v>
      </c>
      <c r="Z75" t="s">
        <v>34</v>
      </c>
      <c r="AA75">
        <v>10.8031588576819</v>
      </c>
      <c r="AB75">
        <v>2.2907612029945676</v>
      </c>
      <c r="AC75">
        <v>4.7159690165695194</v>
      </c>
      <c r="AD75">
        <v>9.4483928362874554E-5</v>
      </c>
      <c r="AE75">
        <v>6.0643582614544922</v>
      </c>
      <c r="AF75">
        <v>15.541959453909309</v>
      </c>
      <c r="AG75">
        <v>6.0643582614544922</v>
      </c>
      <c r="AH75">
        <v>15.541959453909309</v>
      </c>
    </row>
    <row r="76" spans="2:34" x14ac:dyDescent="0.25">
      <c r="L76">
        <v>4.3840000000000003</v>
      </c>
      <c r="M76">
        <v>-0.15340000000000001</v>
      </c>
      <c r="N76">
        <v>14.991</v>
      </c>
      <c r="O76" t="s">
        <v>56</v>
      </c>
      <c r="P76">
        <f>N76+M76*L76</f>
        <v>14.318494399999999</v>
      </c>
      <c r="Q76" s="3">
        <f>EXP(P76)</f>
        <v>1653648.1413792996</v>
      </c>
      <c r="V76">
        <v>15.383719474223113</v>
      </c>
      <c r="W76">
        <v>3.3148665312692316</v>
      </c>
      <c r="X76">
        <v>14.503184461684716</v>
      </c>
      <c r="Y76">
        <f t="shared" si="1"/>
        <v>14.736353774485943</v>
      </c>
      <c r="Z76" t="s">
        <v>47</v>
      </c>
      <c r="AA76">
        <v>0.26492630830823705</v>
      </c>
      <c r="AB76">
        <v>0.14461538220402712</v>
      </c>
      <c r="AC76">
        <v>1.8319372688478752</v>
      </c>
      <c r="AD76" s="3">
        <v>7.9942917927711923E-2</v>
      </c>
      <c r="AE76">
        <v>-3.4233402671783153E-2</v>
      </c>
      <c r="AF76">
        <v>0.5640860192882573</v>
      </c>
      <c r="AG76">
        <v>-3.4233402671783153E-2</v>
      </c>
      <c r="AH76">
        <v>0.5640860192882573</v>
      </c>
    </row>
    <row r="77" spans="2:34" ht="15.75" thickBot="1" x14ac:dyDescent="0.3">
      <c r="V77">
        <v>14.796262439780037</v>
      </c>
      <c r="W77">
        <v>2.6100064923692252</v>
      </c>
      <c r="X77">
        <v>14.866240131843483</v>
      </c>
      <c r="Y77">
        <f t="shared" si="1"/>
        <v>14.610991196979764</v>
      </c>
      <c r="Z77" s="4" t="s">
        <v>48</v>
      </c>
      <c r="AA77" s="4">
        <v>-4.2945044757778633E-2</v>
      </c>
      <c r="AB77" s="4">
        <v>9.1102083949553381E-2</v>
      </c>
      <c r="AC77" s="4">
        <v>-0.47139475735328851</v>
      </c>
      <c r="AD77" s="7">
        <v>0.64179973049307204</v>
      </c>
      <c r="AE77" s="4">
        <v>-0.23140406404505734</v>
      </c>
      <c r="AF77" s="4">
        <v>0.14551397452950007</v>
      </c>
      <c r="AG77" s="4">
        <v>-0.23140406404505734</v>
      </c>
      <c r="AH77" s="4">
        <v>0.14551397452950007</v>
      </c>
    </row>
    <row r="78" spans="2:34" x14ac:dyDescent="0.25">
      <c r="V78">
        <v>14.957636606044085</v>
      </c>
      <c r="W78">
        <v>1.4034630548992453</v>
      </c>
      <c r="X78">
        <v>14.140651550457862</v>
      </c>
      <c r="Y78">
        <f t="shared" si="1"/>
        <v>14.705558521028772</v>
      </c>
    </row>
    <row r="79" spans="2:34" x14ac:dyDescent="0.25">
      <c r="V79">
        <v>16.085304860763262</v>
      </c>
      <c r="W79">
        <v>-3.0684870940772491E-2</v>
      </c>
      <c r="X79">
        <v>14.677801713987265</v>
      </c>
      <c r="Y79">
        <f t="shared" si="1"/>
        <v>15.065897055612391</v>
      </c>
      <c r="AD79" t="s">
        <v>61</v>
      </c>
    </row>
    <row r="80" spans="2:34" x14ac:dyDescent="0.25">
      <c r="V80">
        <v>16.823492100535002</v>
      </c>
      <c r="W80">
        <v>-3.6238594620772724E-2</v>
      </c>
      <c r="X80">
        <v>15.148034485601434</v>
      </c>
      <c r="Y80">
        <f t="shared" si="1"/>
        <v>15.261700780797375</v>
      </c>
      <c r="AD80" t="s">
        <v>62</v>
      </c>
    </row>
    <row r="81" spans="22:26" x14ac:dyDescent="0.25">
      <c r="V81">
        <v>15.903020339639326</v>
      </c>
      <c r="W81">
        <v>0.6355308827592252</v>
      </c>
      <c r="X81">
        <v>14.60086271289838</v>
      </c>
      <c r="Y81">
        <f t="shared" si="1"/>
        <v>14.988994425008308</v>
      </c>
    </row>
    <row r="82" spans="22:26" x14ac:dyDescent="0.25">
      <c r="V82">
        <v>15.560191762708127</v>
      </c>
      <c r="W82">
        <v>2.0574152523692271</v>
      </c>
      <c r="X82">
        <v>13.828692022815048</v>
      </c>
      <c r="Y82">
        <f t="shared" si="1"/>
        <v>14.837107227846071</v>
      </c>
    </row>
    <row r="83" spans="22:26" x14ac:dyDescent="0.25">
      <c r="V83">
        <v>16.226037730658476</v>
      </c>
      <c r="W83">
        <v>0.16846339816923617</v>
      </c>
      <c r="X83">
        <v>15.061213444351052</v>
      </c>
      <c r="Y83">
        <f t="shared" si="1"/>
        <v>15.094628463960989</v>
      </c>
    </row>
    <row r="84" spans="22:26" x14ac:dyDescent="0.25">
      <c r="V84">
        <v>15.831021983021971</v>
      </c>
      <c r="W84">
        <v>0.94188844476923839</v>
      </c>
      <c r="X84">
        <v>15.529660937542186</v>
      </c>
      <c r="Y84">
        <f t="shared" si="1"/>
        <v>14.956763626973009</v>
      </c>
    </row>
    <row r="85" spans="22:26" x14ac:dyDescent="0.25">
      <c r="V85">
        <v>15.032462346574873</v>
      </c>
      <c r="W85">
        <v>3.013470621229243</v>
      </c>
      <c r="X85">
        <v>14.192982220000403</v>
      </c>
      <c r="Y85">
        <f t="shared" si="1"/>
        <v>14.65623998123762</v>
      </c>
    </row>
    <row r="86" spans="22:26" x14ac:dyDescent="0.25">
      <c r="V86">
        <v>16.142953830746173</v>
      </c>
      <c r="W86">
        <v>4.3843827266992443</v>
      </c>
      <c r="Y86">
        <f t="shared" si="1"/>
        <v>14.891564508818467</v>
      </c>
      <c r="Z86" s="3">
        <f>EXP(Y86)</f>
        <v>2933082.5969620878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EBD9D-B543-476C-9D9A-1069DBFB8646}">
  <dimension ref="A1:X203"/>
  <sheetViews>
    <sheetView tabSelected="1" topLeftCell="A174" workbookViewId="0">
      <selection activeCell="U50" sqref="U50"/>
    </sheetView>
  </sheetViews>
  <sheetFormatPr defaultRowHeight="15" x14ac:dyDescent="0.25"/>
  <cols>
    <col min="7" max="9" width="9.28515625" bestFit="1" customWidth="1"/>
    <col min="10" max="10" width="9.7109375" customWidth="1"/>
    <col min="11" max="11" width="9.5703125" bestFit="1" customWidth="1"/>
    <col min="12" max="12" width="11.5703125" bestFit="1" customWidth="1"/>
    <col min="13" max="13" width="10.5703125" bestFit="1" customWidth="1"/>
    <col min="14" max="15" width="9.28515625" bestFit="1" customWidth="1"/>
    <col min="16" max="16" width="10.7109375" bestFit="1" customWidth="1"/>
    <col min="17" max="18" width="10.5703125" bestFit="1" customWidth="1"/>
    <col min="19" max="23" width="9.28515625" bestFit="1" customWidth="1"/>
  </cols>
  <sheetData>
    <row r="1" spans="1:18" x14ac:dyDescent="0.25">
      <c r="A1" t="s">
        <v>63</v>
      </c>
      <c r="B1" t="s">
        <v>9</v>
      </c>
    </row>
    <row r="2" spans="1:18" x14ac:dyDescent="0.25">
      <c r="B2" s="8"/>
      <c r="C2" s="8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B3" s="8"/>
      <c r="C3" s="8" t="s">
        <v>64</v>
      </c>
    </row>
    <row r="4" spans="1:18" x14ac:dyDescent="0.25">
      <c r="B4" s="8" t="s">
        <v>65</v>
      </c>
      <c r="C4" s="8" t="s">
        <v>66</v>
      </c>
      <c r="D4" t="s">
        <v>67</v>
      </c>
      <c r="E4" t="s">
        <v>68</v>
      </c>
    </row>
    <row r="5" spans="1:18" x14ac:dyDescent="0.25">
      <c r="B5">
        <v>1963</v>
      </c>
      <c r="C5">
        <v>1597997.2654610099</v>
      </c>
      <c r="D5">
        <f t="shared" ref="D5:D66" si="0">LN(C5)</f>
        <v>14.284261694080993</v>
      </c>
    </row>
    <row r="6" spans="1:18" x14ac:dyDescent="0.25">
      <c r="B6">
        <v>1964</v>
      </c>
      <c r="C6">
        <v>2413804.47874837</v>
      </c>
      <c r="D6">
        <f t="shared" si="0"/>
        <v>14.69671468264038</v>
      </c>
      <c r="E6">
        <f>D6-D5</f>
        <v>0.41245298855938728</v>
      </c>
    </row>
    <row r="7" spans="1:18" x14ac:dyDescent="0.25">
      <c r="B7">
        <v>1965</v>
      </c>
      <c r="C7">
        <v>1302507.0925453999</v>
      </c>
      <c r="D7">
        <f t="shared" si="0"/>
        <v>14.079801497927194</v>
      </c>
      <c r="E7">
        <f t="shared" ref="E7:E66" si="1">D7-D6</f>
        <v>-0.61691318471318546</v>
      </c>
    </row>
    <row r="8" spans="1:18" x14ac:dyDescent="0.25">
      <c r="B8">
        <v>1966</v>
      </c>
      <c r="C8">
        <v>2500620.8895489201</v>
      </c>
      <c r="D8">
        <f t="shared" si="0"/>
        <v>14.732049614822795</v>
      </c>
      <c r="E8">
        <f t="shared" si="1"/>
        <v>0.65224811689560092</v>
      </c>
    </row>
    <row r="9" spans="1:18" ht="15.75" thickBot="1" x14ac:dyDescent="0.3">
      <c r="B9">
        <v>1967</v>
      </c>
      <c r="C9">
        <v>1150410.2061982199</v>
      </c>
      <c r="D9" s="4">
        <f t="shared" si="0"/>
        <v>13.95562913777867</v>
      </c>
      <c r="E9" s="4">
        <f t="shared" si="1"/>
        <v>-0.77642047704412498</v>
      </c>
      <c r="F9" s="4"/>
      <c r="G9" s="4"/>
      <c r="H9" s="4"/>
      <c r="I9" s="4"/>
      <c r="J9" s="4"/>
    </row>
    <row r="10" spans="1:18" x14ac:dyDescent="0.25">
      <c r="B10">
        <v>1968</v>
      </c>
      <c r="C10">
        <v>1547964.8904021999</v>
      </c>
      <c r="D10">
        <f t="shared" si="0"/>
        <v>14.252451652255866</v>
      </c>
      <c r="E10">
        <f t="shared" si="1"/>
        <v>0.29682251447719565</v>
      </c>
    </row>
    <row r="11" spans="1:18" x14ac:dyDescent="0.25">
      <c r="B11">
        <v>1969</v>
      </c>
      <c r="C11">
        <v>1351285.1733454</v>
      </c>
      <c r="D11">
        <f t="shared" si="0"/>
        <v>14.116566677824638</v>
      </c>
      <c r="E11">
        <f t="shared" si="1"/>
        <v>-0.13588497443122804</v>
      </c>
    </row>
    <row r="12" spans="1:18" x14ac:dyDescent="0.25">
      <c r="B12">
        <v>1970</v>
      </c>
      <c r="C12">
        <v>2238536.8513556099</v>
      </c>
      <c r="D12">
        <f t="shared" si="0"/>
        <v>14.621333019049702</v>
      </c>
      <c r="E12">
        <f t="shared" si="1"/>
        <v>0.50476634122506425</v>
      </c>
    </row>
    <row r="13" spans="1:18" x14ac:dyDescent="0.25">
      <c r="B13">
        <v>1971</v>
      </c>
      <c r="C13">
        <v>2063662.4618698</v>
      </c>
      <c r="D13">
        <f t="shared" si="0"/>
        <v>14.53999285629434</v>
      </c>
      <c r="E13">
        <f t="shared" si="1"/>
        <v>-8.1340162755362044E-2</v>
      </c>
    </row>
    <row r="14" spans="1:18" x14ac:dyDescent="0.25">
      <c r="B14">
        <v>1972</v>
      </c>
      <c r="C14">
        <v>998549.90867300006</v>
      </c>
      <c r="D14">
        <f t="shared" si="0"/>
        <v>13.814059414237338</v>
      </c>
      <c r="E14">
        <f t="shared" si="1"/>
        <v>-0.72593344205700205</v>
      </c>
    </row>
    <row r="15" spans="1:18" x14ac:dyDescent="0.25">
      <c r="B15">
        <v>1973</v>
      </c>
      <c r="C15">
        <v>735060.42099890695</v>
      </c>
      <c r="D15">
        <f t="shared" si="0"/>
        <v>13.507707980256981</v>
      </c>
      <c r="E15">
        <f t="shared" si="1"/>
        <v>-0.3063514339803568</v>
      </c>
    </row>
    <row r="16" spans="1:18" x14ac:dyDescent="0.25">
      <c r="B16">
        <v>1974</v>
      </c>
      <c r="C16">
        <v>2244579.1680520098</v>
      </c>
      <c r="D16">
        <f t="shared" si="0"/>
        <v>14.624028608603471</v>
      </c>
      <c r="E16">
        <f t="shared" si="1"/>
        <v>1.1163206283464895</v>
      </c>
    </row>
    <row r="17" spans="2:10" x14ac:dyDescent="0.25">
      <c r="B17">
        <v>1975</v>
      </c>
      <c r="C17">
        <v>1773846.772266</v>
      </c>
      <c r="D17">
        <f t="shared" si="0"/>
        <v>14.388661063975766</v>
      </c>
      <c r="E17">
        <f t="shared" si="1"/>
        <v>-0.23536754462770482</v>
      </c>
    </row>
    <row r="18" spans="2:10" x14ac:dyDescent="0.25">
      <c r="B18">
        <v>1976</v>
      </c>
      <c r="C18">
        <v>1711906.9725213</v>
      </c>
      <c r="D18">
        <f t="shared" si="0"/>
        <v>14.353118495726887</v>
      </c>
      <c r="E18">
        <f t="shared" si="1"/>
        <v>-3.5542568248878581E-2</v>
      </c>
    </row>
    <row r="19" spans="2:10" x14ac:dyDescent="0.25">
      <c r="B19">
        <v>1977</v>
      </c>
      <c r="C19">
        <v>812891.66831901402</v>
      </c>
      <c r="D19">
        <f t="shared" si="0"/>
        <v>13.608353130351365</v>
      </c>
      <c r="E19">
        <f t="shared" si="1"/>
        <v>-0.74476536537552285</v>
      </c>
    </row>
    <row r="20" spans="2:10" x14ac:dyDescent="0.25">
      <c r="B20">
        <v>1978</v>
      </c>
      <c r="C20">
        <v>4706520.4887718698</v>
      </c>
      <c r="D20">
        <f t="shared" si="0"/>
        <v>15.364459443252588</v>
      </c>
      <c r="E20">
        <f t="shared" si="1"/>
        <v>1.756106312901224</v>
      </c>
    </row>
    <row r="21" spans="2:10" x14ac:dyDescent="0.25">
      <c r="B21">
        <v>1979</v>
      </c>
      <c r="C21">
        <v>4185627.68964103</v>
      </c>
      <c r="D21" s="9">
        <f t="shared" si="0"/>
        <v>15.247167236236308</v>
      </c>
      <c r="E21" s="9">
        <f t="shared" si="1"/>
        <v>-0.11729220701628051</v>
      </c>
      <c r="F21" s="9"/>
      <c r="G21" s="9"/>
      <c r="H21" s="9"/>
      <c r="I21" s="9"/>
      <c r="J21" s="9"/>
    </row>
    <row r="22" spans="2:10" x14ac:dyDescent="0.25">
      <c r="B22">
        <v>1980</v>
      </c>
      <c r="C22">
        <v>6143341.6075489996</v>
      </c>
      <c r="D22">
        <f t="shared" si="0"/>
        <v>15.630879387837922</v>
      </c>
      <c r="E22">
        <f t="shared" si="1"/>
        <v>0.38371215160161398</v>
      </c>
    </row>
    <row r="23" spans="2:10" x14ac:dyDescent="0.25">
      <c r="B23">
        <v>1981</v>
      </c>
      <c r="C23">
        <v>6009033.2819340099</v>
      </c>
      <c r="D23">
        <f t="shared" si="0"/>
        <v>15.608774441981707</v>
      </c>
      <c r="E23">
        <f t="shared" si="1"/>
        <v>-2.2104945856215252E-2</v>
      </c>
    </row>
    <row r="24" spans="2:10" x14ac:dyDescent="0.25">
      <c r="B24">
        <v>1982</v>
      </c>
      <c r="C24">
        <v>4093669.8102682801</v>
      </c>
      <c r="D24">
        <f t="shared" si="0"/>
        <v>15.224952389842432</v>
      </c>
      <c r="E24">
        <f t="shared" si="1"/>
        <v>-0.38382205213927456</v>
      </c>
    </row>
    <row r="25" spans="2:10" x14ac:dyDescent="0.25">
      <c r="B25">
        <v>1983</v>
      </c>
      <c r="C25">
        <v>4106631.4812741098</v>
      </c>
      <c r="D25">
        <f t="shared" si="0"/>
        <v>15.228113659493269</v>
      </c>
      <c r="E25">
        <f t="shared" si="1"/>
        <v>3.161269650837184E-3</v>
      </c>
    </row>
    <row r="26" spans="2:10" x14ac:dyDescent="0.25">
      <c r="B26">
        <v>1984</v>
      </c>
      <c r="C26">
        <v>2349711.6499100099</v>
      </c>
      <c r="D26">
        <f t="shared" si="0"/>
        <v>14.669803176425862</v>
      </c>
      <c r="E26">
        <f t="shared" si="1"/>
        <v>-0.55831048306740705</v>
      </c>
    </row>
    <row r="27" spans="2:10" x14ac:dyDescent="0.25">
      <c r="B27">
        <v>1985</v>
      </c>
      <c r="C27">
        <v>1527764.2240860099</v>
      </c>
      <c r="D27">
        <f t="shared" si="0"/>
        <v>14.239315933193945</v>
      </c>
      <c r="E27">
        <f t="shared" si="1"/>
        <v>-0.43048724323191756</v>
      </c>
    </row>
    <row r="28" spans="2:10" x14ac:dyDescent="0.25">
      <c r="B28">
        <v>1986</v>
      </c>
      <c r="C28">
        <v>2106059.9511315101</v>
      </c>
      <c r="D28">
        <f t="shared" si="0"/>
        <v>14.560329438094964</v>
      </c>
      <c r="E28">
        <f t="shared" si="1"/>
        <v>0.32101350490101943</v>
      </c>
    </row>
    <row r="29" spans="2:10" x14ac:dyDescent="0.25">
      <c r="B29">
        <v>1987</v>
      </c>
      <c r="C29">
        <v>3517784.9190218099</v>
      </c>
      <c r="D29">
        <f t="shared" si="0"/>
        <v>15.073342065122963</v>
      </c>
      <c r="E29">
        <f t="shared" si="1"/>
        <v>0.5130126270279991</v>
      </c>
    </row>
    <row r="30" spans="2:10" x14ac:dyDescent="0.25">
      <c r="B30">
        <v>1988</v>
      </c>
      <c r="C30">
        <v>2000001.5174030201</v>
      </c>
      <c r="D30">
        <f t="shared" si="0"/>
        <v>14.508658497225442</v>
      </c>
      <c r="E30">
        <f t="shared" si="1"/>
        <v>-0.5646835678975215</v>
      </c>
    </row>
    <row r="31" spans="2:10" x14ac:dyDescent="0.25">
      <c r="B31">
        <v>1989</v>
      </c>
      <c r="C31">
        <v>3099741.6348600001</v>
      </c>
      <c r="D31">
        <f t="shared" si="0"/>
        <v>14.946829322388556</v>
      </c>
      <c r="E31">
        <f t="shared" si="1"/>
        <v>0.43817082516311423</v>
      </c>
    </row>
    <row r="32" spans="2:10" x14ac:dyDescent="0.25">
      <c r="B32">
        <v>1990</v>
      </c>
      <c r="C32">
        <v>3195122.8660048</v>
      </c>
      <c r="D32">
        <f t="shared" si="0"/>
        <v>14.977136100767922</v>
      </c>
      <c r="E32">
        <f t="shared" si="1"/>
        <v>3.0306778379365795E-2</v>
      </c>
    </row>
    <row r="33" spans="2:5" x14ac:dyDescent="0.25">
      <c r="B33">
        <v>1991</v>
      </c>
      <c r="C33">
        <v>4506270.8089567004</v>
      </c>
      <c r="D33">
        <f t="shared" si="0"/>
        <v>15.320980497803724</v>
      </c>
      <c r="E33">
        <f t="shared" si="1"/>
        <v>0.34384439703580227</v>
      </c>
    </row>
    <row r="34" spans="2:5" x14ac:dyDescent="0.25">
      <c r="B34">
        <v>1992</v>
      </c>
      <c r="C34">
        <v>3071689.7788077001</v>
      </c>
      <c r="D34">
        <f t="shared" si="0"/>
        <v>14.937738384689492</v>
      </c>
      <c r="E34">
        <f t="shared" si="1"/>
        <v>-0.38324211311423184</v>
      </c>
    </row>
    <row r="35" spans="2:5" x14ac:dyDescent="0.25">
      <c r="B35">
        <v>1993</v>
      </c>
      <c r="C35">
        <v>4748131.8766660001</v>
      </c>
      <c r="D35">
        <f t="shared" si="0"/>
        <v>15.373261809529426</v>
      </c>
      <c r="E35">
        <f t="shared" si="1"/>
        <v>0.43552342483993378</v>
      </c>
    </row>
    <row r="36" spans="2:5" x14ac:dyDescent="0.25">
      <c r="B36">
        <v>1994</v>
      </c>
      <c r="C36">
        <v>3696594.3995041</v>
      </c>
      <c r="D36">
        <f t="shared" si="0"/>
        <v>15.12292252118983</v>
      </c>
      <c r="E36">
        <f t="shared" si="1"/>
        <v>-0.25033928833959607</v>
      </c>
    </row>
    <row r="37" spans="2:5" x14ac:dyDescent="0.25">
      <c r="B37">
        <v>1995</v>
      </c>
      <c r="C37">
        <v>4938613.2223370997</v>
      </c>
      <c r="D37">
        <f t="shared" si="0"/>
        <v>15.412595125530425</v>
      </c>
      <c r="E37">
        <f t="shared" si="1"/>
        <v>0.28967260434059483</v>
      </c>
    </row>
    <row r="38" spans="2:5" x14ac:dyDescent="0.25">
      <c r="B38">
        <v>1996</v>
      </c>
      <c r="C38">
        <v>5959843.7347010104</v>
      </c>
      <c r="D38">
        <f t="shared" si="0"/>
        <v>15.600554819687911</v>
      </c>
      <c r="E38">
        <f t="shared" si="1"/>
        <v>0.18795969415748637</v>
      </c>
    </row>
    <row r="39" spans="2:5" x14ac:dyDescent="0.25">
      <c r="B39">
        <v>1997</v>
      </c>
      <c r="C39">
        <v>3879033.8960746098</v>
      </c>
      <c r="D39">
        <f t="shared" si="0"/>
        <v>15.171096684737782</v>
      </c>
      <c r="E39">
        <f t="shared" si="1"/>
        <v>-0.42945813495012963</v>
      </c>
    </row>
    <row r="40" spans="2:5" x14ac:dyDescent="0.25">
      <c r="B40">
        <v>1998</v>
      </c>
      <c r="C40">
        <v>4421017.6579492697</v>
      </c>
      <c r="D40">
        <f t="shared" si="0"/>
        <v>15.301880466907907</v>
      </c>
      <c r="E40">
        <f t="shared" si="1"/>
        <v>0.13078378217012521</v>
      </c>
    </row>
    <row r="41" spans="2:5" x14ac:dyDescent="0.25">
      <c r="B41">
        <v>1999</v>
      </c>
      <c r="C41">
        <v>7403081.0158050004</v>
      </c>
      <c r="D41">
        <f t="shared" si="0"/>
        <v>15.817406825010497</v>
      </c>
      <c r="E41">
        <f t="shared" si="1"/>
        <v>0.51552635810259062</v>
      </c>
    </row>
    <row r="42" spans="2:5" x14ac:dyDescent="0.25">
      <c r="B42">
        <v>2000</v>
      </c>
      <c r="C42">
        <v>6541118.444344</v>
      </c>
      <c r="D42">
        <f t="shared" si="0"/>
        <v>15.69361872476656</v>
      </c>
      <c r="E42">
        <f t="shared" si="1"/>
        <v>-0.12378810024393694</v>
      </c>
    </row>
    <row r="43" spans="2:5" x14ac:dyDescent="0.25">
      <c r="B43">
        <v>2001</v>
      </c>
      <c r="C43">
        <v>4644098.5774400001</v>
      </c>
      <c r="D43">
        <f t="shared" si="0"/>
        <v>15.351107848413564</v>
      </c>
      <c r="E43">
        <f t="shared" si="1"/>
        <v>-0.34251087635299626</v>
      </c>
    </row>
    <row r="44" spans="2:5" x14ac:dyDescent="0.25">
      <c r="B44">
        <v>2002</v>
      </c>
      <c r="C44">
        <v>3859721.5446231999</v>
      </c>
      <c r="D44">
        <f t="shared" si="0"/>
        <v>15.16610560014024</v>
      </c>
      <c r="E44">
        <f t="shared" si="1"/>
        <v>-0.18500224827332445</v>
      </c>
    </row>
    <row r="45" spans="2:5" x14ac:dyDescent="0.25">
      <c r="B45">
        <v>2003</v>
      </c>
      <c r="C45">
        <v>6233372.1852422003</v>
      </c>
      <c r="D45">
        <f t="shared" si="0"/>
        <v>15.645428026063836</v>
      </c>
      <c r="E45">
        <f t="shared" si="1"/>
        <v>0.47932242592359664</v>
      </c>
    </row>
    <row r="46" spans="2:5" x14ac:dyDescent="0.25">
      <c r="B46">
        <v>2004</v>
      </c>
      <c r="C46">
        <v>6430474.9702239102</v>
      </c>
      <c r="D46">
        <f t="shared" si="0"/>
        <v>15.676558961327684</v>
      </c>
      <c r="E46">
        <f t="shared" si="1"/>
        <v>3.1130935263847803E-2</v>
      </c>
    </row>
    <row r="47" spans="2:5" x14ac:dyDescent="0.25">
      <c r="B47">
        <v>2005</v>
      </c>
      <c r="C47">
        <v>5881534.4264180996</v>
      </c>
      <c r="D47">
        <f t="shared" si="0"/>
        <v>15.587328242705313</v>
      </c>
      <c r="E47">
        <f t="shared" si="1"/>
        <v>-8.9230718622371086E-2</v>
      </c>
    </row>
    <row r="48" spans="2:5" x14ac:dyDescent="0.25">
      <c r="B48">
        <v>2006</v>
      </c>
      <c r="C48">
        <v>12640215.190229001</v>
      </c>
      <c r="D48">
        <f t="shared" si="0"/>
        <v>16.352393971081504</v>
      </c>
      <c r="E48">
        <f t="shared" si="1"/>
        <v>0.76506572837619125</v>
      </c>
    </row>
    <row r="49" spans="2:5" x14ac:dyDescent="0.25">
      <c r="B49">
        <v>2007</v>
      </c>
      <c r="C49">
        <v>7794243.4668660099</v>
      </c>
      <c r="D49">
        <f t="shared" si="0"/>
        <v>15.868896002122698</v>
      </c>
      <c r="E49">
        <f t="shared" si="1"/>
        <v>-0.48349796895880637</v>
      </c>
    </row>
    <row r="50" spans="2:5" x14ac:dyDescent="0.25">
      <c r="B50">
        <v>2008</v>
      </c>
      <c r="C50">
        <v>6804843.2400100604</v>
      </c>
      <c r="D50">
        <f t="shared" si="0"/>
        <v>15.73314515780091</v>
      </c>
      <c r="E50">
        <f t="shared" si="1"/>
        <v>-0.13575084432178741</v>
      </c>
    </row>
    <row r="51" spans="2:5" x14ac:dyDescent="0.25">
      <c r="B51">
        <v>2009</v>
      </c>
      <c r="C51">
        <v>6673678.5115900002</v>
      </c>
      <c r="D51">
        <f t="shared" si="0"/>
        <v>15.713681766859033</v>
      </c>
      <c r="E51">
        <f t="shared" si="1"/>
        <v>-1.9463390941877989E-2</v>
      </c>
    </row>
    <row r="52" spans="2:5" x14ac:dyDescent="0.25">
      <c r="B52">
        <v>2010</v>
      </c>
      <c r="C52">
        <v>8809666.8735792991</v>
      </c>
      <c r="D52">
        <f t="shared" si="0"/>
        <v>15.99136018489091</v>
      </c>
      <c r="E52">
        <f t="shared" si="1"/>
        <v>0.27767841803187743</v>
      </c>
    </row>
    <row r="53" spans="2:5" x14ac:dyDescent="0.25">
      <c r="B53">
        <v>2011</v>
      </c>
      <c r="C53">
        <v>4949205.89158093</v>
      </c>
      <c r="D53">
        <f t="shared" si="0"/>
        <v>15.414737695732008</v>
      </c>
      <c r="E53">
        <f t="shared" si="1"/>
        <v>-0.57662248915890224</v>
      </c>
    </row>
    <row r="54" spans="2:5" x14ac:dyDescent="0.25">
      <c r="B54">
        <v>2012</v>
      </c>
      <c r="C54">
        <v>2699118.6580611798</v>
      </c>
      <c r="D54">
        <f t="shared" si="0"/>
        <v>14.808435854746689</v>
      </c>
      <c r="E54">
        <f t="shared" si="1"/>
        <v>-0.60630184098531892</v>
      </c>
    </row>
    <row r="55" spans="2:5" x14ac:dyDescent="0.25">
      <c r="B55">
        <v>2013</v>
      </c>
      <c r="C55">
        <v>3286868.2634390001</v>
      </c>
      <c r="D55">
        <f t="shared" si="0"/>
        <v>15.005445773789971</v>
      </c>
      <c r="E55">
        <f t="shared" si="1"/>
        <v>0.19700991904328191</v>
      </c>
    </row>
    <row r="56" spans="2:5" x14ac:dyDescent="0.25">
      <c r="B56">
        <v>2014</v>
      </c>
      <c r="C56">
        <v>7169894.7591530103</v>
      </c>
      <c r="D56">
        <f t="shared" si="0"/>
        <v>15.785401534525684</v>
      </c>
      <c r="E56">
        <f t="shared" si="1"/>
        <v>0.77995576073571371</v>
      </c>
    </row>
    <row r="57" spans="2:5" x14ac:dyDescent="0.25">
      <c r="B57">
        <v>2015</v>
      </c>
      <c r="C57">
        <v>5019585.2252090201</v>
      </c>
      <c r="D57">
        <f t="shared" si="0"/>
        <v>15.428857863793969</v>
      </c>
      <c r="E57">
        <f t="shared" si="1"/>
        <v>-0.35654367073171578</v>
      </c>
    </row>
    <row r="58" spans="2:5" x14ac:dyDescent="0.25">
      <c r="B58">
        <v>2016</v>
      </c>
      <c r="C58">
        <v>6384574.6288096001</v>
      </c>
      <c r="D58">
        <f t="shared" si="0"/>
        <v>15.6693954248395</v>
      </c>
      <c r="E58">
        <f t="shared" si="1"/>
        <v>0.24053756104553159</v>
      </c>
    </row>
    <row r="59" spans="2:5" x14ac:dyDescent="0.25">
      <c r="B59">
        <v>2017</v>
      </c>
      <c r="C59">
        <v>11287413.550995</v>
      </c>
      <c r="D59">
        <f t="shared" si="0"/>
        <v>16.23919881785147</v>
      </c>
      <c r="E59">
        <f t="shared" si="1"/>
        <v>0.56980339301196992</v>
      </c>
    </row>
    <row r="60" spans="2:5" x14ac:dyDescent="0.25">
      <c r="B60">
        <v>2018</v>
      </c>
      <c r="C60">
        <v>22680172.710960101</v>
      </c>
      <c r="D60">
        <f t="shared" si="0"/>
        <v>16.937001651916528</v>
      </c>
      <c r="E60">
        <f t="shared" si="1"/>
        <v>0.69780283406505816</v>
      </c>
    </row>
    <row r="61" spans="2:5" x14ac:dyDescent="0.25">
      <c r="B61">
        <v>2019</v>
      </c>
      <c r="C61">
        <v>12340740.140092099</v>
      </c>
      <c r="D61">
        <f t="shared" si="0"/>
        <v>16.328416553580624</v>
      </c>
      <c r="E61">
        <f t="shared" si="1"/>
        <v>-0.60858509833590446</v>
      </c>
    </row>
    <row r="62" spans="2:5" x14ac:dyDescent="0.25">
      <c r="B62">
        <v>2020</v>
      </c>
      <c r="C62">
        <v>8004914.9433829999</v>
      </c>
      <c r="D62">
        <f t="shared" si="0"/>
        <v>15.895566278920274</v>
      </c>
      <c r="E62">
        <f t="shared" si="1"/>
        <v>-0.43285027466034975</v>
      </c>
    </row>
    <row r="63" spans="2:5" x14ac:dyDescent="0.25">
      <c r="B63">
        <v>2021</v>
      </c>
      <c r="C63">
        <v>12670319.950875301</v>
      </c>
      <c r="D63">
        <f t="shared" si="0"/>
        <v>16.354772804612679</v>
      </c>
      <c r="E63">
        <f t="shared" si="1"/>
        <v>0.45920652569240517</v>
      </c>
    </row>
    <row r="64" spans="2:5" x14ac:dyDescent="0.25">
      <c r="B64">
        <v>2022</v>
      </c>
      <c r="C64">
        <v>12410175.8702737</v>
      </c>
      <c r="D64">
        <f t="shared" si="0"/>
        <v>16.334027328738205</v>
      </c>
      <c r="E64">
        <f t="shared" si="1"/>
        <v>-2.074547587447384E-2</v>
      </c>
    </row>
    <row r="65" spans="2:5" x14ac:dyDescent="0.25">
      <c r="B65">
        <v>2023</v>
      </c>
      <c r="C65">
        <v>10418936.252577201</v>
      </c>
      <c r="D65">
        <f t="shared" si="0"/>
        <v>16.159135501993532</v>
      </c>
      <c r="E65">
        <f t="shared" si="1"/>
        <v>-0.1748918267446733</v>
      </c>
    </row>
    <row r="66" spans="2:5" x14ac:dyDescent="0.25">
      <c r="B66">
        <v>2024</v>
      </c>
      <c r="C66">
        <v>12276225.3959476</v>
      </c>
      <c r="D66">
        <f t="shared" si="0"/>
        <v>16.323175055252751</v>
      </c>
      <c r="E66">
        <f t="shared" si="1"/>
        <v>0.16403955325921871</v>
      </c>
    </row>
    <row r="67" spans="2:5" x14ac:dyDescent="0.25">
      <c r="B67">
        <v>2025</v>
      </c>
      <c r="D67" s="3"/>
    </row>
    <row r="84" spans="1:24" x14ac:dyDescent="0.25">
      <c r="J84" t="s">
        <v>69</v>
      </c>
      <c r="K84" t="s">
        <v>70</v>
      </c>
    </row>
    <row r="85" spans="1:24" x14ac:dyDescent="0.25">
      <c r="K85" t="s">
        <v>71</v>
      </c>
      <c r="P85">
        <f>0.0295*2024-43.491</f>
        <v>16.216999999999999</v>
      </c>
      <c r="Q85" t="s">
        <v>72</v>
      </c>
      <c r="S85" s="3">
        <f>EXP(P85)</f>
        <v>11039606.996097278</v>
      </c>
      <c r="U85" t="s">
        <v>73</v>
      </c>
      <c r="W85">
        <v>12276225.3959476</v>
      </c>
      <c r="X85" t="s">
        <v>74</v>
      </c>
    </row>
    <row r="86" spans="1:24" x14ac:dyDescent="0.25">
      <c r="U86" t="s">
        <v>75</v>
      </c>
      <c r="W86" s="10">
        <v>7840000</v>
      </c>
      <c r="X86" t="s">
        <v>76</v>
      </c>
    </row>
    <row r="89" spans="1:24" x14ac:dyDescent="0.25">
      <c r="P89" s="11"/>
    </row>
    <row r="90" spans="1:24" x14ac:dyDescent="0.25">
      <c r="B90" t="s">
        <v>77</v>
      </c>
      <c r="C90" t="s">
        <v>78</v>
      </c>
      <c r="D90" t="s">
        <v>79</v>
      </c>
      <c r="E90" s="12" t="s">
        <v>80</v>
      </c>
      <c r="F90" t="s">
        <v>81</v>
      </c>
      <c r="G90" t="s">
        <v>82</v>
      </c>
      <c r="H90" t="s">
        <v>83</v>
      </c>
      <c r="I90" t="s">
        <v>84</v>
      </c>
      <c r="J90" t="s">
        <v>85</v>
      </c>
      <c r="K90" t="s">
        <v>86</v>
      </c>
      <c r="L90" t="s">
        <v>87</v>
      </c>
    </row>
    <row r="91" spans="1:24" x14ac:dyDescent="0.25">
      <c r="A91">
        <v>435</v>
      </c>
      <c r="B91" t="s">
        <v>88</v>
      </c>
      <c r="C91" t="s">
        <v>9</v>
      </c>
      <c r="D91">
        <v>1963</v>
      </c>
      <c r="E91" s="12">
        <v>1597997.26549029</v>
      </c>
      <c r="F91" s="12">
        <v>5684.0519111008698</v>
      </c>
      <c r="G91" s="12">
        <v>907851.77727246995</v>
      </c>
      <c r="H91" s="12">
        <v>451855.84221835801</v>
      </c>
      <c r="I91" s="12">
        <v>0</v>
      </c>
      <c r="J91" s="12">
        <v>15165.685424179101</v>
      </c>
      <c r="K91" s="12">
        <v>172394.87093155901</v>
      </c>
      <c r="L91" s="12">
        <v>45045.037732612203</v>
      </c>
      <c r="M91" s="12"/>
      <c r="N91" s="12"/>
      <c r="O91" s="12"/>
      <c r="P91" s="12"/>
      <c r="Q91" s="12"/>
    </row>
    <row r="92" spans="1:24" x14ac:dyDescent="0.25">
      <c r="A92">
        <v>436</v>
      </c>
      <c r="B92" t="s">
        <v>88</v>
      </c>
      <c r="C92" t="s">
        <v>9</v>
      </c>
      <c r="D92">
        <v>1964</v>
      </c>
      <c r="E92" s="12">
        <v>2413804.4784538802</v>
      </c>
      <c r="F92" s="12">
        <v>0</v>
      </c>
      <c r="G92" s="12">
        <v>1610957.7167137901</v>
      </c>
      <c r="H92" s="12">
        <v>458540.10882726999</v>
      </c>
      <c r="I92" s="12">
        <v>0</v>
      </c>
      <c r="J92" s="12">
        <v>69.113979069916994</v>
      </c>
      <c r="K92" s="12">
        <v>316785.127560066</v>
      </c>
      <c r="L92" s="12">
        <v>26802.9752143814</v>
      </c>
      <c r="M92" s="12"/>
      <c r="N92" s="12"/>
      <c r="O92" s="12"/>
      <c r="P92" s="12"/>
      <c r="Q92" s="12"/>
    </row>
    <row r="93" spans="1:24" x14ac:dyDescent="0.25">
      <c r="A93">
        <v>437</v>
      </c>
      <c r="B93" t="s">
        <v>88</v>
      </c>
      <c r="C93" t="s">
        <v>9</v>
      </c>
      <c r="D93">
        <v>1965</v>
      </c>
      <c r="E93" s="12">
        <v>1302507.0925119</v>
      </c>
      <c r="F93" s="12">
        <v>1738.6534659557999</v>
      </c>
      <c r="G93" s="12">
        <v>218861.03415526799</v>
      </c>
      <c r="H93" s="12">
        <v>942240.99980919599</v>
      </c>
      <c r="I93" s="12">
        <v>0</v>
      </c>
      <c r="J93" s="12">
        <v>0</v>
      </c>
      <c r="K93" s="12">
        <v>96536.343391462098</v>
      </c>
      <c r="L93" s="12">
        <v>39543.197710787899</v>
      </c>
      <c r="M93" s="12"/>
      <c r="N93" s="12"/>
      <c r="O93" s="12"/>
      <c r="P93" s="12"/>
      <c r="Q93" s="12"/>
    </row>
    <row r="94" spans="1:24" x14ac:dyDescent="0.25">
      <c r="A94">
        <v>438</v>
      </c>
      <c r="B94" t="s">
        <v>88</v>
      </c>
      <c r="C94" t="s">
        <v>9</v>
      </c>
      <c r="D94">
        <v>1966</v>
      </c>
      <c r="E94" s="12">
        <v>2500620.8891508202</v>
      </c>
      <c r="F94" s="12">
        <v>0</v>
      </c>
      <c r="G94" s="12">
        <v>970914.64973933797</v>
      </c>
      <c r="H94" s="12">
        <v>1422998.08556377</v>
      </c>
      <c r="I94" s="12">
        <v>4276.7046355019902</v>
      </c>
      <c r="J94" s="12">
        <v>95.312342895718601</v>
      </c>
      <c r="K94" s="12">
        <v>13439.7367194322</v>
      </c>
      <c r="L94" s="12">
        <v>88896.400149859997</v>
      </c>
      <c r="M94" s="12"/>
      <c r="N94" s="12"/>
      <c r="O94" s="13"/>
      <c r="P94" s="12"/>
      <c r="Q94" s="12"/>
    </row>
    <row r="95" spans="1:24" x14ac:dyDescent="0.25">
      <c r="A95">
        <v>439</v>
      </c>
      <c r="B95" t="s">
        <v>88</v>
      </c>
      <c r="C95" t="s">
        <v>9</v>
      </c>
      <c r="D95">
        <v>1967</v>
      </c>
      <c r="E95" s="12">
        <v>1150410.20622635</v>
      </c>
      <c r="F95" s="12">
        <v>116.582274060514</v>
      </c>
      <c r="G95" s="12">
        <v>591145.49794445594</v>
      </c>
      <c r="H95" s="12">
        <v>422690.02579566999</v>
      </c>
      <c r="I95" s="12">
        <v>871.10061085153097</v>
      </c>
      <c r="J95" s="12">
        <v>658.87978775232102</v>
      </c>
      <c r="K95" s="12">
        <v>109138.191690113</v>
      </c>
      <c r="L95" s="12">
        <v>25286.287828037501</v>
      </c>
      <c r="M95" s="12"/>
      <c r="N95" s="12"/>
      <c r="O95" s="12"/>
      <c r="P95" s="12"/>
      <c r="Q95" s="12"/>
    </row>
    <row r="96" spans="1:24" x14ac:dyDescent="0.25">
      <c r="A96">
        <v>440</v>
      </c>
      <c r="B96" t="s">
        <v>88</v>
      </c>
      <c r="C96" t="s">
        <v>9</v>
      </c>
      <c r="D96">
        <v>1968</v>
      </c>
      <c r="E96" s="12">
        <v>1547964.8903326199</v>
      </c>
      <c r="F96" s="12">
        <v>594.89673926840305</v>
      </c>
      <c r="G96" s="12">
        <v>492966.16415008903</v>
      </c>
      <c r="H96" s="12">
        <v>947040.95137942804</v>
      </c>
      <c r="I96" s="12">
        <v>4123.8056087022997</v>
      </c>
      <c r="J96" s="12">
        <v>909.88675164676101</v>
      </c>
      <c r="K96" s="12">
        <v>53834.900269408201</v>
      </c>
      <c r="L96" s="12">
        <v>40572.316351911599</v>
      </c>
      <c r="M96" s="12"/>
      <c r="N96" s="12"/>
      <c r="O96" s="12"/>
      <c r="P96" s="12"/>
      <c r="Q96" s="12"/>
    </row>
    <row r="97" spans="1:17" x14ac:dyDescent="0.25">
      <c r="A97">
        <v>441</v>
      </c>
      <c r="B97" t="s">
        <v>88</v>
      </c>
      <c r="C97" t="s">
        <v>9</v>
      </c>
      <c r="D97">
        <v>1969</v>
      </c>
      <c r="E97" s="12">
        <v>1351285.1733298099</v>
      </c>
      <c r="F97" s="12">
        <v>5583.5770579390801</v>
      </c>
      <c r="G97" s="12">
        <v>597032.00169663003</v>
      </c>
      <c r="H97" s="12">
        <v>320745.70068997901</v>
      </c>
      <c r="I97" s="12">
        <v>0</v>
      </c>
      <c r="J97" s="12">
        <v>133.75063020471899</v>
      </c>
      <c r="K97" s="12">
        <v>386106.39269852301</v>
      </c>
      <c r="L97" s="12">
        <v>39341.300699358602</v>
      </c>
      <c r="M97" s="12"/>
      <c r="N97" s="12"/>
      <c r="O97" s="12"/>
      <c r="P97" s="12"/>
      <c r="Q97" s="12"/>
    </row>
    <row r="98" spans="1:17" x14ac:dyDescent="0.25">
      <c r="A98">
        <v>442</v>
      </c>
      <c r="B98" t="s">
        <v>88</v>
      </c>
      <c r="C98" t="s">
        <v>9</v>
      </c>
      <c r="D98">
        <v>1970</v>
      </c>
      <c r="E98" s="12">
        <v>2238536.8509950698</v>
      </c>
      <c r="F98" s="12">
        <v>1499.1189006054401</v>
      </c>
      <c r="G98" s="12">
        <v>959032.291440072</v>
      </c>
      <c r="H98" s="12">
        <v>1024258.46061966</v>
      </c>
      <c r="I98" s="12">
        <v>0</v>
      </c>
      <c r="J98" s="12">
        <v>222.945943665236</v>
      </c>
      <c r="K98" s="12">
        <v>171818.55637686301</v>
      </c>
      <c r="L98" s="12">
        <v>80891.317593311498</v>
      </c>
      <c r="M98" s="12"/>
      <c r="N98" s="12"/>
      <c r="O98" s="12"/>
      <c r="P98" s="12"/>
      <c r="Q98" s="12"/>
    </row>
    <row r="99" spans="1:17" x14ac:dyDescent="0.25">
      <c r="A99">
        <v>443</v>
      </c>
      <c r="B99" t="s">
        <v>88</v>
      </c>
      <c r="C99" t="s">
        <v>9</v>
      </c>
      <c r="D99">
        <v>1971</v>
      </c>
      <c r="E99" s="12">
        <v>2063662.4615215701</v>
      </c>
      <c r="F99" s="12">
        <v>909.07671223027796</v>
      </c>
      <c r="G99" s="12">
        <v>575431.03756825696</v>
      </c>
      <c r="H99" s="12">
        <v>1205631.3266413501</v>
      </c>
      <c r="I99" s="12">
        <v>4897.4118006458302</v>
      </c>
      <c r="J99" s="12">
        <v>526.90982545764598</v>
      </c>
      <c r="K99" s="12">
        <v>50018.470416795601</v>
      </c>
      <c r="L99" s="12">
        <v>218812.856945715</v>
      </c>
      <c r="M99" s="12"/>
      <c r="N99" s="12"/>
      <c r="O99" s="12"/>
      <c r="P99" s="12"/>
      <c r="Q99" s="12"/>
    </row>
    <row r="100" spans="1:17" x14ac:dyDescent="0.25">
      <c r="A100">
        <v>444</v>
      </c>
      <c r="B100" t="s">
        <v>88</v>
      </c>
      <c r="C100" t="s">
        <v>9</v>
      </c>
      <c r="D100">
        <v>1972</v>
      </c>
      <c r="E100" s="12">
        <v>998549.90872512502</v>
      </c>
      <c r="F100" s="12">
        <v>0</v>
      </c>
      <c r="G100" s="12">
        <v>552271.92782014003</v>
      </c>
      <c r="H100" s="12">
        <v>289066.893231739</v>
      </c>
      <c r="I100" s="12">
        <v>5650.1737942255304</v>
      </c>
      <c r="J100" s="12">
        <v>0</v>
      </c>
      <c r="K100" s="12">
        <v>81500.388184108</v>
      </c>
      <c r="L100" s="12">
        <v>64076.249765661501</v>
      </c>
      <c r="M100" s="12"/>
      <c r="N100" s="12"/>
      <c r="O100" s="12"/>
      <c r="P100" s="12"/>
      <c r="Q100" s="12"/>
    </row>
    <row r="101" spans="1:17" x14ac:dyDescent="0.25">
      <c r="A101">
        <v>445</v>
      </c>
      <c r="B101" t="s">
        <v>88</v>
      </c>
      <c r="C101" t="s">
        <v>9</v>
      </c>
      <c r="D101">
        <v>1973</v>
      </c>
      <c r="E101" s="12">
        <v>735060.420955437</v>
      </c>
      <c r="F101" s="12">
        <v>3951.79627789803</v>
      </c>
      <c r="G101" s="12">
        <v>60777.279354536797</v>
      </c>
      <c r="H101" s="12">
        <v>565465.41375333304</v>
      </c>
      <c r="I101" s="12">
        <v>653.44450923208399</v>
      </c>
      <c r="J101" s="12">
        <v>0</v>
      </c>
      <c r="K101" s="12">
        <v>3925.9209358561102</v>
      </c>
      <c r="L101" s="12">
        <v>97783.4731386973</v>
      </c>
      <c r="M101" s="12"/>
      <c r="N101" s="12"/>
      <c r="O101" s="12"/>
      <c r="P101" s="12"/>
      <c r="Q101" s="12"/>
    </row>
    <row r="102" spans="1:17" x14ac:dyDescent="0.25">
      <c r="A102">
        <v>446</v>
      </c>
      <c r="B102" t="s">
        <v>88</v>
      </c>
      <c r="C102" t="s">
        <v>9</v>
      </c>
      <c r="D102">
        <v>1974</v>
      </c>
      <c r="E102" s="12">
        <v>2244579.1681841901</v>
      </c>
      <c r="F102" s="12">
        <v>1697.14879982656</v>
      </c>
      <c r="G102" s="12">
        <v>1387914.79812861</v>
      </c>
      <c r="H102" s="12">
        <v>438023.64569934801</v>
      </c>
      <c r="I102" s="12">
        <v>4461.6740816029996</v>
      </c>
      <c r="J102" s="12">
        <v>4458.8832633784896</v>
      </c>
      <c r="K102" s="12">
        <v>383877.88410048297</v>
      </c>
      <c r="L102" s="12">
        <v>21676.805474012999</v>
      </c>
      <c r="M102" s="12"/>
      <c r="N102" s="12"/>
      <c r="O102" s="12"/>
      <c r="P102" s="12"/>
      <c r="Q102" s="12"/>
    </row>
    <row r="103" spans="1:17" x14ac:dyDescent="0.25">
      <c r="A103">
        <v>447</v>
      </c>
      <c r="B103" t="s">
        <v>88</v>
      </c>
      <c r="C103" t="s">
        <v>9</v>
      </c>
      <c r="D103">
        <v>1975</v>
      </c>
      <c r="E103" s="12">
        <v>1773846.77253956</v>
      </c>
      <c r="F103" s="12">
        <v>1706.68174855033</v>
      </c>
      <c r="G103" s="12">
        <v>444270.19073760801</v>
      </c>
      <c r="H103" s="12">
        <v>1022201.29821619</v>
      </c>
      <c r="I103" s="12">
        <v>10313.051330742799</v>
      </c>
      <c r="J103" s="12">
        <v>0</v>
      </c>
      <c r="K103" s="12">
        <v>179643.393114365</v>
      </c>
      <c r="L103" s="12">
        <v>94956.694194031006</v>
      </c>
      <c r="M103" s="12"/>
      <c r="N103" s="12"/>
      <c r="O103" s="12"/>
      <c r="P103" s="12"/>
      <c r="Q103" s="12"/>
    </row>
    <row r="104" spans="1:17" x14ac:dyDescent="0.25">
      <c r="A104">
        <v>448</v>
      </c>
      <c r="B104" t="s">
        <v>88</v>
      </c>
      <c r="C104" t="s">
        <v>9</v>
      </c>
      <c r="D104">
        <v>1976</v>
      </c>
      <c r="E104" s="12">
        <v>1711906.9724785101</v>
      </c>
      <c r="F104" s="12">
        <v>1244.9169221822499</v>
      </c>
      <c r="G104" s="12">
        <v>802385.790496881</v>
      </c>
      <c r="H104" s="12">
        <v>643532.14080018899</v>
      </c>
      <c r="I104" s="13">
        <v>4.42608986126002E-9</v>
      </c>
      <c r="J104" s="12">
        <v>0</v>
      </c>
      <c r="K104" s="12">
        <v>202944.74286174701</v>
      </c>
      <c r="L104" s="12">
        <v>49931.465700750399</v>
      </c>
      <c r="M104" s="12"/>
      <c r="N104" s="12"/>
      <c r="O104" s="12"/>
      <c r="P104" s="12"/>
      <c r="Q104" s="12"/>
    </row>
    <row r="105" spans="1:17" x14ac:dyDescent="0.25">
      <c r="A105">
        <v>449</v>
      </c>
      <c r="B105" t="s">
        <v>88</v>
      </c>
      <c r="C105" t="s">
        <v>9</v>
      </c>
      <c r="D105">
        <v>1977</v>
      </c>
      <c r="E105" s="12">
        <v>812891.66828357999</v>
      </c>
      <c r="F105" s="12">
        <v>2408.9306824135901</v>
      </c>
      <c r="G105" s="12">
        <v>233282.44767934</v>
      </c>
      <c r="H105" s="12">
        <v>422944.757278256</v>
      </c>
      <c r="I105" s="13">
        <v>4.8266272026056903E-9</v>
      </c>
      <c r="J105" s="12">
        <v>0</v>
      </c>
      <c r="K105" s="12">
        <v>41827.507257236299</v>
      </c>
      <c r="L105" s="12">
        <v>111166.929608936</v>
      </c>
      <c r="M105" s="12"/>
      <c r="N105" s="12"/>
      <c r="O105" s="12"/>
      <c r="P105" s="12"/>
      <c r="Q105" s="12"/>
    </row>
    <row r="106" spans="1:17" x14ac:dyDescent="0.25">
      <c r="A106">
        <v>450</v>
      </c>
      <c r="B106" t="s">
        <v>88</v>
      </c>
      <c r="C106" t="s">
        <v>9</v>
      </c>
      <c r="D106">
        <v>1978</v>
      </c>
      <c r="E106" s="12">
        <v>4706520.4882137803</v>
      </c>
      <c r="F106" s="12">
        <v>30667.3261490408</v>
      </c>
      <c r="G106" s="12">
        <v>3403445.3128929702</v>
      </c>
      <c r="H106" s="12">
        <v>1154122.5975488001</v>
      </c>
      <c r="I106" s="12">
        <v>34888.900875054504</v>
      </c>
      <c r="J106" s="12">
        <v>4257.3351714180899</v>
      </c>
      <c r="K106" s="12">
        <v>44713.573914548702</v>
      </c>
      <c r="L106" s="12">
        <v>22008.3507876437</v>
      </c>
      <c r="M106" s="12"/>
      <c r="N106" s="12"/>
      <c r="O106" s="12"/>
      <c r="P106" s="12"/>
      <c r="Q106" s="12"/>
    </row>
    <row r="107" spans="1:17" x14ac:dyDescent="0.25">
      <c r="A107">
        <v>451</v>
      </c>
      <c r="B107" t="s">
        <v>88</v>
      </c>
      <c r="C107" t="s">
        <v>9</v>
      </c>
      <c r="D107">
        <v>1979</v>
      </c>
      <c r="E107" s="12">
        <v>4185627.68916847</v>
      </c>
      <c r="F107" s="12">
        <v>1967.11000113719</v>
      </c>
      <c r="G107" s="12">
        <v>1796332.40782871</v>
      </c>
      <c r="H107" s="12">
        <v>1924881.3477303099</v>
      </c>
      <c r="I107" s="13">
        <v>6.7944761181035201E-9</v>
      </c>
      <c r="J107" s="12">
        <v>0</v>
      </c>
      <c r="K107" s="12">
        <v>437456.18706457497</v>
      </c>
      <c r="L107" s="12">
        <v>24990.636543714601</v>
      </c>
      <c r="M107" s="12"/>
      <c r="N107" s="12"/>
      <c r="O107" s="13"/>
      <c r="P107" s="12"/>
      <c r="Q107" s="12"/>
    </row>
    <row r="108" spans="1:17" x14ac:dyDescent="0.25">
      <c r="A108">
        <v>452</v>
      </c>
      <c r="B108" t="s">
        <v>88</v>
      </c>
      <c r="C108" t="s">
        <v>9</v>
      </c>
      <c r="D108">
        <v>1980</v>
      </c>
      <c r="E108" s="12">
        <v>6143341.60775181</v>
      </c>
      <c r="F108" s="12">
        <v>19300.033298316499</v>
      </c>
      <c r="G108" s="12">
        <v>2652958.1233345801</v>
      </c>
      <c r="H108" s="12">
        <v>2809723.6579070399</v>
      </c>
      <c r="I108" s="12">
        <v>8334.1258960967698</v>
      </c>
      <c r="J108" s="12">
        <v>4012.52055309873</v>
      </c>
      <c r="K108" s="12">
        <v>548783.16709090001</v>
      </c>
      <c r="L108" s="12">
        <v>100229.979671772</v>
      </c>
      <c r="M108" s="12"/>
      <c r="N108" s="12"/>
      <c r="O108" s="12"/>
      <c r="P108" s="12"/>
      <c r="Q108" s="12"/>
    </row>
    <row r="109" spans="1:17" x14ac:dyDescent="0.25">
      <c r="A109">
        <v>453</v>
      </c>
      <c r="B109" t="s">
        <v>88</v>
      </c>
      <c r="C109" t="s">
        <v>9</v>
      </c>
      <c r="D109">
        <v>1981</v>
      </c>
      <c r="E109" s="12">
        <v>6009033.2819865998</v>
      </c>
      <c r="F109" s="12">
        <v>0</v>
      </c>
      <c r="G109" s="12">
        <v>1275546.0063623199</v>
      </c>
      <c r="H109" s="12">
        <v>3010832.9340488501</v>
      </c>
      <c r="I109" s="12">
        <v>7864.4829338427198</v>
      </c>
      <c r="J109" s="13">
        <v>4.2692913042287097E-9</v>
      </c>
      <c r="K109" s="12">
        <v>617473.48903734703</v>
      </c>
      <c r="L109" s="12">
        <v>1097316.3696042299</v>
      </c>
      <c r="M109" s="12"/>
      <c r="N109" s="12"/>
      <c r="O109" s="12"/>
      <c r="P109" s="12"/>
      <c r="Q109" s="12"/>
    </row>
    <row r="110" spans="1:17" x14ac:dyDescent="0.25">
      <c r="A110">
        <v>454</v>
      </c>
      <c r="B110" t="s">
        <v>88</v>
      </c>
      <c r="C110" t="s">
        <v>9</v>
      </c>
      <c r="D110">
        <v>1982</v>
      </c>
      <c r="E110" s="12">
        <v>4093669.8096478502</v>
      </c>
      <c r="F110" s="12">
        <v>16285.531554359501</v>
      </c>
      <c r="G110" s="12">
        <v>1274165.7896847001</v>
      </c>
      <c r="H110" s="12">
        <v>2444584.0746758999</v>
      </c>
      <c r="I110" s="12">
        <v>9226.8480397336298</v>
      </c>
      <c r="J110" s="12">
        <v>2793.6264405562201</v>
      </c>
      <c r="K110" s="12">
        <v>55897.767227260803</v>
      </c>
      <c r="L110" s="12">
        <v>290716.17201806401</v>
      </c>
      <c r="M110" s="12"/>
      <c r="N110" s="12"/>
      <c r="O110" s="12"/>
      <c r="P110" s="12"/>
      <c r="Q110" s="12"/>
    </row>
    <row r="111" spans="1:17" x14ac:dyDescent="0.25">
      <c r="A111">
        <v>455</v>
      </c>
      <c r="B111" t="s">
        <v>88</v>
      </c>
      <c r="C111" t="s">
        <v>9</v>
      </c>
      <c r="D111">
        <v>1983</v>
      </c>
      <c r="E111" s="12">
        <v>4106631.4810955198</v>
      </c>
      <c r="F111" s="12">
        <v>0</v>
      </c>
      <c r="G111" s="12">
        <v>2360528.68984207</v>
      </c>
      <c r="H111" s="12">
        <v>688659.05222028506</v>
      </c>
      <c r="I111" s="13">
        <v>8.0048630421884505E-8</v>
      </c>
      <c r="J111" s="12">
        <v>0</v>
      </c>
      <c r="K111" s="12">
        <v>1025110.07196319</v>
      </c>
      <c r="L111" s="12">
        <v>27016.395875983999</v>
      </c>
      <c r="M111" s="12"/>
      <c r="N111" s="12"/>
      <c r="O111" s="12"/>
      <c r="P111" s="12"/>
      <c r="Q111" s="12"/>
    </row>
    <row r="112" spans="1:17" x14ac:dyDescent="0.25">
      <c r="A112">
        <v>456</v>
      </c>
      <c r="B112" t="s">
        <v>88</v>
      </c>
      <c r="C112" t="s">
        <v>9</v>
      </c>
      <c r="D112">
        <v>1984</v>
      </c>
      <c r="E112" s="12">
        <v>2349711.65034803</v>
      </c>
      <c r="F112" s="12">
        <v>0</v>
      </c>
      <c r="G112" s="12">
        <v>472215.58542726701</v>
      </c>
      <c r="H112" s="12">
        <v>1708952.7703783901</v>
      </c>
      <c r="I112" s="12">
        <v>13287.7593908854</v>
      </c>
      <c r="J112" s="12">
        <v>0</v>
      </c>
      <c r="K112" s="12">
        <v>31620.175850741602</v>
      </c>
      <c r="L112" s="12">
        <v>113190.511026957</v>
      </c>
      <c r="M112" s="12"/>
      <c r="N112" s="12"/>
      <c r="O112" s="12"/>
      <c r="P112" s="12"/>
      <c r="Q112" s="12"/>
    </row>
    <row r="113" spans="1:21" x14ac:dyDescent="0.25">
      <c r="A113">
        <v>457</v>
      </c>
      <c r="B113" t="s">
        <v>88</v>
      </c>
      <c r="C113" t="s">
        <v>9</v>
      </c>
      <c r="D113">
        <v>1985</v>
      </c>
      <c r="E113" s="12">
        <v>1527764.22408613</v>
      </c>
      <c r="F113" s="12">
        <v>3627.6675050408198</v>
      </c>
      <c r="G113" s="12">
        <v>613921.91581727797</v>
      </c>
      <c r="H113" s="12">
        <v>810844.44978614198</v>
      </c>
      <c r="I113" s="12">
        <v>1419.3112309815799</v>
      </c>
      <c r="J113" s="12">
        <v>0</v>
      </c>
      <c r="K113" s="12">
        <v>72533.626691238693</v>
      </c>
      <c r="L113" s="12">
        <v>25417.253055437599</v>
      </c>
      <c r="M113" s="12"/>
      <c r="N113" s="12"/>
      <c r="O113" s="12"/>
      <c r="P113" s="12"/>
      <c r="Q113" s="12"/>
    </row>
    <row r="114" spans="1:21" x14ac:dyDescent="0.25">
      <c r="A114">
        <v>458</v>
      </c>
      <c r="B114" t="s">
        <v>88</v>
      </c>
      <c r="C114" t="s">
        <v>9</v>
      </c>
      <c r="D114">
        <v>1986</v>
      </c>
      <c r="E114" s="12">
        <v>2106059.9512210698</v>
      </c>
      <c r="F114" s="12">
        <v>1358.7012204068201</v>
      </c>
      <c r="G114" s="12">
        <v>533178.13233240298</v>
      </c>
      <c r="H114" s="12">
        <v>1383072.00303869</v>
      </c>
      <c r="I114" s="12">
        <v>1486.0253929038099</v>
      </c>
      <c r="J114" s="12">
        <v>0</v>
      </c>
      <c r="K114" s="12">
        <v>69787.379880502893</v>
      </c>
      <c r="L114" s="12">
        <v>114712.43031805599</v>
      </c>
      <c r="M114" s="12"/>
      <c r="N114" s="12"/>
      <c r="O114" s="12"/>
      <c r="P114" s="12"/>
      <c r="Q114" s="12"/>
    </row>
    <row r="115" spans="1:21" x14ac:dyDescent="0.25">
      <c r="A115">
        <v>459</v>
      </c>
      <c r="B115" t="s">
        <v>88</v>
      </c>
      <c r="C115" t="s">
        <v>9</v>
      </c>
      <c r="D115">
        <v>1987</v>
      </c>
      <c r="E115" s="12">
        <v>3517784.9187519001</v>
      </c>
      <c r="F115" s="12">
        <v>381.82393014765699</v>
      </c>
      <c r="G115" s="12">
        <v>1839382.7712034499</v>
      </c>
      <c r="H115" s="12">
        <v>1388422.6035871101</v>
      </c>
      <c r="I115" s="12">
        <v>3.9408084365035699E-2</v>
      </c>
      <c r="J115" s="12">
        <v>0</v>
      </c>
      <c r="K115" s="12">
        <v>125734.280589424</v>
      </c>
      <c r="L115" s="12">
        <v>162821.83205050099</v>
      </c>
      <c r="M115" s="12"/>
      <c r="N115" s="12"/>
      <c r="O115" s="12"/>
      <c r="P115" s="12"/>
      <c r="Q115" s="12"/>
    </row>
    <row r="116" spans="1:21" x14ac:dyDescent="0.25">
      <c r="A116">
        <v>460</v>
      </c>
      <c r="B116" t="s">
        <v>88</v>
      </c>
      <c r="C116" t="s">
        <v>9</v>
      </c>
      <c r="D116">
        <v>1988</v>
      </c>
      <c r="E116" s="12">
        <v>2000001.5173192101</v>
      </c>
      <c r="F116" s="12">
        <v>1454.5210962476799</v>
      </c>
      <c r="G116" s="12">
        <v>586695.16295289504</v>
      </c>
      <c r="H116" s="12">
        <v>1353389.36796088</v>
      </c>
      <c r="I116" s="12">
        <v>12821.388528474599</v>
      </c>
      <c r="J116" s="12">
        <v>0</v>
      </c>
      <c r="K116" s="12">
        <v>15113.776634776599</v>
      </c>
      <c r="L116" s="12">
        <v>21586.232279172302</v>
      </c>
      <c r="M116" s="12"/>
      <c r="N116" s="12"/>
      <c r="O116" s="12"/>
      <c r="P116" s="12"/>
      <c r="Q116" s="12"/>
    </row>
    <row r="117" spans="1:21" x14ac:dyDescent="0.25">
      <c r="A117">
        <v>461</v>
      </c>
      <c r="B117" t="s">
        <v>88</v>
      </c>
      <c r="C117" t="s">
        <v>9</v>
      </c>
      <c r="D117">
        <v>1989</v>
      </c>
      <c r="E117" s="12">
        <v>3099741.63442238</v>
      </c>
      <c r="F117" s="12">
        <v>2186.6541011609802</v>
      </c>
      <c r="G117" s="12">
        <v>1380822.3018524901</v>
      </c>
      <c r="H117" s="12">
        <v>1498999.8937290199</v>
      </c>
      <c r="I117" s="12">
        <v>2817.8962881264301</v>
      </c>
      <c r="J117" s="12">
        <v>0</v>
      </c>
      <c r="K117" s="12">
        <v>80678.962183085197</v>
      </c>
      <c r="L117" s="12">
        <v>113649.568475079</v>
      </c>
      <c r="M117" s="12"/>
      <c r="N117" s="12"/>
      <c r="O117" s="12"/>
      <c r="P117" s="12"/>
      <c r="Q117" s="12"/>
    </row>
    <row r="118" spans="1:21" x14ac:dyDescent="0.25">
      <c r="A118">
        <v>462</v>
      </c>
      <c r="B118" t="s">
        <v>88</v>
      </c>
      <c r="C118" t="s">
        <v>9</v>
      </c>
      <c r="D118">
        <v>1990</v>
      </c>
      <c r="E118" s="12">
        <v>3195122.8662257101</v>
      </c>
      <c r="F118" s="12">
        <v>0</v>
      </c>
      <c r="G118" s="12">
        <v>1225883.7543590199</v>
      </c>
      <c r="H118" s="12">
        <v>1822593.9798624199</v>
      </c>
      <c r="I118" s="12">
        <v>16112.150419322799</v>
      </c>
      <c r="J118" s="12">
        <v>0</v>
      </c>
      <c r="K118" s="12">
        <v>44470.353687581897</v>
      </c>
      <c r="L118" s="12">
        <v>34557.8850816372</v>
      </c>
      <c r="M118" s="12"/>
      <c r="N118" s="12"/>
      <c r="O118" s="12"/>
      <c r="P118" s="12"/>
      <c r="Q118" s="12"/>
    </row>
    <row r="119" spans="1:21" x14ac:dyDescent="0.25">
      <c r="A119">
        <v>463</v>
      </c>
      <c r="B119" t="s">
        <v>88</v>
      </c>
      <c r="C119" t="s">
        <v>9</v>
      </c>
      <c r="D119">
        <v>1991</v>
      </c>
      <c r="E119" s="12">
        <v>4506270.8090181705</v>
      </c>
      <c r="F119" s="12">
        <v>1123.7296046615199</v>
      </c>
      <c r="G119" s="12">
        <v>1579965.3542073299</v>
      </c>
      <c r="H119" s="12">
        <v>2760108.0628574798</v>
      </c>
      <c r="I119" s="12">
        <v>3604.7063058312001</v>
      </c>
      <c r="J119" s="12">
        <v>148.419423677987</v>
      </c>
      <c r="K119" s="12">
        <v>52691.498504409697</v>
      </c>
      <c r="L119" s="12">
        <v>24716.386097643499</v>
      </c>
      <c r="M119" s="12"/>
      <c r="N119" s="12"/>
      <c r="O119" s="12"/>
      <c r="P119" s="12"/>
      <c r="Q119" s="12"/>
    </row>
    <row r="120" spans="1:21" x14ac:dyDescent="0.25">
      <c r="A120">
        <v>464</v>
      </c>
      <c r="B120" t="s">
        <v>88</v>
      </c>
      <c r="C120" t="s">
        <v>9</v>
      </c>
      <c r="D120">
        <v>1992</v>
      </c>
      <c r="E120" s="12">
        <v>3071689.77900013</v>
      </c>
      <c r="F120" s="12">
        <v>4109.9437280668199</v>
      </c>
      <c r="G120" s="12">
        <v>1850506.3231707599</v>
      </c>
      <c r="H120" s="12">
        <v>991109.36923248903</v>
      </c>
      <c r="I120" s="12">
        <v>20885.222385262801</v>
      </c>
      <c r="J120" s="12">
        <v>0</v>
      </c>
      <c r="K120" s="12">
        <v>87904.722326222298</v>
      </c>
      <c r="L120" s="12">
        <v>78154.664071849504</v>
      </c>
      <c r="M120" s="12"/>
      <c r="N120" s="12"/>
      <c r="O120" s="12"/>
      <c r="P120" s="12"/>
      <c r="Q120" s="12"/>
    </row>
    <row r="121" spans="1:21" x14ac:dyDescent="0.25">
      <c r="A121">
        <v>465</v>
      </c>
      <c r="B121" t="s">
        <v>88</v>
      </c>
      <c r="C121" t="s">
        <v>9</v>
      </c>
      <c r="D121">
        <v>1993</v>
      </c>
      <c r="E121" s="12">
        <v>4748131.8770794403</v>
      </c>
      <c r="F121" s="12">
        <v>1442.11172103988</v>
      </c>
      <c r="G121" s="12">
        <v>2563487.2642702898</v>
      </c>
      <c r="H121" s="12">
        <v>1935323.26109797</v>
      </c>
      <c r="I121" s="12">
        <v>6776.7594982792898</v>
      </c>
      <c r="J121" s="12">
        <v>0</v>
      </c>
      <c r="K121" s="12">
        <v>90116.864201594202</v>
      </c>
      <c r="L121" s="12">
        <v>121126.06894751301</v>
      </c>
      <c r="M121" s="12"/>
      <c r="N121" s="12"/>
      <c r="O121" s="12"/>
      <c r="P121" s="12"/>
      <c r="Q121" s="12"/>
    </row>
    <row r="122" spans="1:21" x14ac:dyDescent="0.25">
      <c r="A122">
        <v>466</v>
      </c>
      <c r="B122" t="s">
        <v>88</v>
      </c>
      <c r="C122" t="s">
        <v>9</v>
      </c>
      <c r="D122">
        <v>1994</v>
      </c>
      <c r="E122" s="12">
        <v>3696594.4000166501</v>
      </c>
      <c r="F122" s="12">
        <v>12307.0191636498</v>
      </c>
      <c r="G122" s="12">
        <v>1122283.38620057</v>
      </c>
      <c r="H122" s="12">
        <v>2443446.5283081899</v>
      </c>
      <c r="I122" s="12">
        <v>12680.1691006537</v>
      </c>
      <c r="J122" s="12">
        <v>1436.3186535508</v>
      </c>
      <c r="K122" s="12">
        <v>23863.734053257202</v>
      </c>
      <c r="L122" s="12">
        <v>57211.932450185697</v>
      </c>
      <c r="M122" s="13"/>
      <c r="N122" s="12"/>
      <c r="O122" s="12"/>
      <c r="P122" s="12"/>
      <c r="Q122" s="12"/>
    </row>
    <row r="123" spans="1:21" x14ac:dyDescent="0.25">
      <c r="A123">
        <v>467</v>
      </c>
      <c r="B123" t="s">
        <v>88</v>
      </c>
      <c r="C123" t="s">
        <v>9</v>
      </c>
      <c r="D123">
        <v>1995</v>
      </c>
      <c r="E123" s="12">
        <v>4938613.2222320903</v>
      </c>
      <c r="F123" s="12">
        <v>1295.2268207384</v>
      </c>
      <c r="G123" s="12">
        <v>2739166.7270259699</v>
      </c>
      <c r="H123" s="12">
        <v>1824009.0048264901</v>
      </c>
      <c r="I123" s="12">
        <v>2446.6048538487298</v>
      </c>
      <c r="J123" s="12">
        <v>0</v>
      </c>
      <c r="K123" s="12">
        <v>301350.52014633402</v>
      </c>
      <c r="L123" s="12">
        <v>46746.600626391097</v>
      </c>
      <c r="M123" s="12"/>
      <c r="N123" s="12"/>
      <c r="O123" s="12"/>
      <c r="P123" s="12"/>
      <c r="Q123" s="12"/>
    </row>
    <row r="124" spans="1:21" x14ac:dyDescent="0.25">
      <c r="A124">
        <v>468</v>
      </c>
      <c r="B124" t="s">
        <v>88</v>
      </c>
      <c r="C124" t="s">
        <v>9</v>
      </c>
      <c r="D124">
        <v>1996</v>
      </c>
      <c r="E124" s="12">
        <v>5959843.7347738603</v>
      </c>
      <c r="F124" s="12">
        <v>0</v>
      </c>
      <c r="G124" s="12">
        <v>2380885.8356767702</v>
      </c>
      <c r="H124" s="12">
        <v>3167633.2494195602</v>
      </c>
      <c r="I124" s="12">
        <v>4644.3534413258703</v>
      </c>
      <c r="J124" s="12">
        <v>0</v>
      </c>
      <c r="K124" s="12">
        <v>51076.786022293702</v>
      </c>
      <c r="L124" s="12">
        <v>264539.85356797499</v>
      </c>
      <c r="M124" s="12"/>
      <c r="N124" s="12"/>
      <c r="O124" s="12"/>
      <c r="P124" s="12"/>
      <c r="Q124" s="12"/>
    </row>
    <row r="125" spans="1:21" x14ac:dyDescent="0.25">
      <c r="A125">
        <v>469</v>
      </c>
      <c r="B125" t="s">
        <v>88</v>
      </c>
      <c r="C125" t="s">
        <v>9</v>
      </c>
      <c r="D125">
        <v>1997</v>
      </c>
      <c r="E125" s="12">
        <v>3879033.8951872298</v>
      </c>
      <c r="F125" s="12">
        <v>10891.949866631299</v>
      </c>
      <c r="G125" s="12">
        <v>1710296.46458879</v>
      </c>
      <c r="H125" s="12">
        <v>1931608.9975222701</v>
      </c>
      <c r="I125" s="12">
        <v>65018.480449931303</v>
      </c>
      <c r="J125" s="12">
        <v>0</v>
      </c>
      <c r="K125" s="12">
        <v>85258.556913156499</v>
      </c>
      <c r="L125" s="12">
        <v>66659.765271747805</v>
      </c>
      <c r="M125" s="13"/>
      <c r="N125" s="12"/>
      <c r="O125" s="12"/>
      <c r="P125" s="12"/>
      <c r="Q125" s="12"/>
    </row>
    <row r="126" spans="1:21" x14ac:dyDescent="0.25">
      <c r="A126" s="14">
        <v>470</v>
      </c>
      <c r="B126" s="14" t="s">
        <v>88</v>
      </c>
      <c r="C126" s="14" t="s">
        <v>9</v>
      </c>
      <c r="D126" s="14">
        <v>1998</v>
      </c>
      <c r="E126" s="15">
        <v>4421017.6577807302</v>
      </c>
      <c r="F126" s="15">
        <v>7336.0782276209502</v>
      </c>
      <c r="G126" s="15">
        <v>2990516.69954421</v>
      </c>
      <c r="H126" s="15">
        <v>1233241.43524435</v>
      </c>
      <c r="I126" s="16">
        <v>6.13591167732951E-9</v>
      </c>
      <c r="J126" s="15">
        <v>489.35967325407103</v>
      </c>
      <c r="K126" s="15">
        <v>138580.944540375</v>
      </c>
      <c r="L126" s="15">
        <v>45423.709213146401</v>
      </c>
      <c r="M126" s="12"/>
      <c r="N126" s="12"/>
      <c r="O126" s="12"/>
      <c r="P126" s="12"/>
      <c r="Q126" s="12" t="s">
        <v>16</v>
      </c>
      <c r="R126" t="s">
        <v>17</v>
      </c>
      <c r="S126" t="s">
        <v>18</v>
      </c>
      <c r="T126" t="s">
        <v>19</v>
      </c>
      <c r="U126" t="s">
        <v>58</v>
      </c>
    </row>
    <row r="127" spans="1:21" x14ac:dyDescent="0.25">
      <c r="A127">
        <v>471</v>
      </c>
      <c r="B127" t="s">
        <v>88</v>
      </c>
      <c r="C127" t="s">
        <v>9</v>
      </c>
      <c r="D127">
        <v>1999</v>
      </c>
      <c r="E127" s="12">
        <v>7403081.0156409303</v>
      </c>
      <c r="F127" s="12">
        <v>0</v>
      </c>
      <c r="G127" s="12">
        <v>4452434.9381490601</v>
      </c>
      <c r="H127" s="12">
        <v>2383373.9596454301</v>
      </c>
      <c r="I127" s="12">
        <v>2587.7593668442901</v>
      </c>
      <c r="J127" s="12">
        <v>0</v>
      </c>
      <c r="K127" s="12">
        <v>400065.85280224099</v>
      </c>
      <c r="L127" s="12">
        <v>163436.763538962</v>
      </c>
      <c r="M127" s="12"/>
      <c r="N127" s="12"/>
      <c r="O127" s="12"/>
      <c r="P127" s="12"/>
      <c r="Q127" s="1">
        <f>LN(F126)</f>
        <v>8.9005596774046563</v>
      </c>
      <c r="R127" s="17">
        <f>LN(G127)</f>
        <v>15.308961681607762</v>
      </c>
      <c r="S127">
        <f>LN(G126)</f>
        <v>14.910956739649187</v>
      </c>
      <c r="T127">
        <v>-1.0207669603507683</v>
      </c>
      <c r="U127">
        <f>LN(H127)</f>
        <v>14.684027671861875</v>
      </c>
    </row>
    <row r="128" spans="1:21" x14ac:dyDescent="0.25">
      <c r="A128">
        <v>472</v>
      </c>
      <c r="B128" t="s">
        <v>88</v>
      </c>
      <c r="C128" t="s">
        <v>9</v>
      </c>
      <c r="D128">
        <v>2000</v>
      </c>
      <c r="E128" s="12">
        <v>6541118.4443876604</v>
      </c>
      <c r="F128" s="12">
        <v>0</v>
      </c>
      <c r="G128" s="12">
        <v>3104643.3031303301</v>
      </c>
      <c r="H128" s="12">
        <v>3217087.0279288702</v>
      </c>
      <c r="I128" s="12">
        <v>2874.0261944692802</v>
      </c>
      <c r="J128" s="12">
        <v>0</v>
      </c>
      <c r="K128" s="12">
        <v>117398.06477986</v>
      </c>
      <c r="L128" s="12">
        <v>99116.022354133398</v>
      </c>
      <c r="M128" s="12"/>
      <c r="N128" s="12"/>
      <c r="O128" s="12"/>
      <c r="P128" s="12"/>
      <c r="Q128" s="1" t="e">
        <f t="shared" ref="Q128:Q153" si="2">LN(F127)</f>
        <v>#NUM!</v>
      </c>
      <c r="R128" s="17">
        <f t="shared" ref="R128:R152" si="3">LN(G128)</f>
        <v>14.948409388531813</v>
      </c>
      <c r="S128">
        <f t="shared" ref="S128:S153" si="4">LN(G127)</f>
        <v>15.308961681607762</v>
      </c>
      <c r="T128">
        <v>0.36530161782924503</v>
      </c>
      <c r="U128">
        <f t="shared" ref="U128:U152" si="5">LN(H128)</f>
        <v>14.983986858366556</v>
      </c>
    </row>
    <row r="129" spans="1:21" x14ac:dyDescent="0.25">
      <c r="A129">
        <v>473</v>
      </c>
      <c r="B129" t="s">
        <v>88</v>
      </c>
      <c r="C129" t="s">
        <v>9</v>
      </c>
      <c r="D129">
        <v>2001</v>
      </c>
      <c r="E129" s="12">
        <v>4644098.5776573103</v>
      </c>
      <c r="F129" s="12">
        <v>2776.4690439871601</v>
      </c>
      <c r="G129" s="12">
        <v>204615.171809202</v>
      </c>
      <c r="H129" s="12">
        <v>4383745.4472119203</v>
      </c>
      <c r="I129" s="12">
        <v>9319.0340126165502</v>
      </c>
      <c r="J129" s="12">
        <v>0</v>
      </c>
      <c r="K129" s="12">
        <v>2900.44984345796</v>
      </c>
      <c r="L129" s="12">
        <v>40742.005736127503</v>
      </c>
      <c r="M129" s="12"/>
      <c r="N129" s="12"/>
      <c r="O129" s="12"/>
      <c r="P129" s="12"/>
      <c r="Q129" s="1" t="e">
        <f t="shared" si="2"/>
        <v>#NUM!</v>
      </c>
      <c r="R129" s="17">
        <f t="shared" si="3"/>
        <v>12.228886283265588</v>
      </c>
      <c r="S129">
        <f t="shared" si="4"/>
        <v>14.948409388531813</v>
      </c>
      <c r="T129">
        <v>4.2896200438692365</v>
      </c>
      <c r="U129">
        <f t="shared" si="5"/>
        <v>15.293414041875831</v>
      </c>
    </row>
    <row r="130" spans="1:21" x14ac:dyDescent="0.25">
      <c r="A130">
        <v>474</v>
      </c>
      <c r="B130" t="s">
        <v>88</v>
      </c>
      <c r="C130" t="s">
        <v>9</v>
      </c>
      <c r="D130">
        <v>2002</v>
      </c>
      <c r="E130" s="12">
        <v>3859721.54490447</v>
      </c>
      <c r="F130" s="12">
        <v>725.24908437512602</v>
      </c>
      <c r="G130" s="12">
        <v>3038333.5432707998</v>
      </c>
      <c r="H130" s="12">
        <v>584427.04651197605</v>
      </c>
      <c r="I130" s="12">
        <v>21332.982083597901</v>
      </c>
      <c r="J130" s="12">
        <v>899.98738251796203</v>
      </c>
      <c r="K130" s="12">
        <v>194836.391392085</v>
      </c>
      <c r="L130" s="12">
        <v>17322.848252896601</v>
      </c>
      <c r="M130" s="12"/>
      <c r="N130" s="12"/>
      <c r="O130" s="12"/>
      <c r="P130" s="12"/>
      <c r="Q130" s="1">
        <f t="shared" si="2"/>
        <v>7.9289352713262105</v>
      </c>
      <c r="R130" s="17">
        <f t="shared" si="3"/>
        <v>14.926819746523048</v>
      </c>
      <c r="S130">
        <f t="shared" si="4"/>
        <v>12.228886283265588</v>
      </c>
      <c r="T130">
        <v>3.5373226747692317</v>
      </c>
      <c r="U130">
        <f t="shared" si="5"/>
        <v>13.278387238609071</v>
      </c>
    </row>
    <row r="131" spans="1:21" x14ac:dyDescent="0.25">
      <c r="A131">
        <v>475</v>
      </c>
      <c r="B131" t="s">
        <v>88</v>
      </c>
      <c r="C131" t="s">
        <v>9</v>
      </c>
      <c r="D131">
        <v>2003</v>
      </c>
      <c r="E131" s="12">
        <v>6233372.1844539996</v>
      </c>
      <c r="F131" s="12">
        <v>4296.8636813708999</v>
      </c>
      <c r="G131" s="12">
        <v>2291699.7375729899</v>
      </c>
      <c r="H131" s="12">
        <v>3535682.5047206902</v>
      </c>
      <c r="I131" s="12">
        <v>25529.2719401949</v>
      </c>
      <c r="J131" s="12">
        <v>447.80302124863999</v>
      </c>
      <c r="K131" s="12">
        <v>148016.764366941</v>
      </c>
      <c r="L131" s="12">
        <v>227699.239150571</v>
      </c>
      <c r="M131" s="12"/>
      <c r="N131" s="12"/>
      <c r="O131" s="12"/>
      <c r="P131" s="12"/>
      <c r="Q131" s="1">
        <f t="shared" si="2"/>
        <v>6.5865151605051988</v>
      </c>
      <c r="R131" s="17">
        <f t="shared" si="3"/>
        <v>14.644804343685616</v>
      </c>
      <c r="S131">
        <f t="shared" si="4"/>
        <v>14.926819746523048</v>
      </c>
      <c r="T131">
        <v>2.8748315578692294</v>
      </c>
      <c r="U131">
        <f t="shared" si="5"/>
        <v>15.078416909319417</v>
      </c>
    </row>
    <row r="132" spans="1:21" x14ac:dyDescent="0.25">
      <c r="A132">
        <v>476</v>
      </c>
      <c r="B132" t="s">
        <v>88</v>
      </c>
      <c r="C132" t="s">
        <v>9</v>
      </c>
      <c r="D132">
        <v>2004</v>
      </c>
      <c r="E132" s="12">
        <v>6430474.9702753304</v>
      </c>
      <c r="F132" s="12">
        <v>0</v>
      </c>
      <c r="G132" s="12">
        <v>3280705.3694885499</v>
      </c>
      <c r="H132" s="12">
        <v>2609498.7495521898</v>
      </c>
      <c r="I132" s="12">
        <v>5315.4644098567096</v>
      </c>
      <c r="J132" s="12">
        <v>0</v>
      </c>
      <c r="K132" s="12">
        <v>399870.91090727301</v>
      </c>
      <c r="L132" s="12">
        <v>134874.82330354399</v>
      </c>
      <c r="M132" s="12"/>
      <c r="N132" s="12"/>
      <c r="O132" s="12"/>
      <c r="P132" s="12"/>
      <c r="Q132" s="1">
        <f t="shared" si="2"/>
        <v>8.3656406591318859</v>
      </c>
      <c r="R132" s="17">
        <f t="shared" si="3"/>
        <v>15.003569008913368</v>
      </c>
      <c r="S132">
        <f t="shared" si="4"/>
        <v>14.644804343685616</v>
      </c>
      <c r="T132">
        <v>1.9076068417692387</v>
      </c>
      <c r="U132">
        <f t="shared" si="5"/>
        <v>14.774668710874913</v>
      </c>
    </row>
    <row r="133" spans="1:21" x14ac:dyDescent="0.25">
      <c r="A133">
        <v>477</v>
      </c>
      <c r="B133" t="s">
        <v>88</v>
      </c>
      <c r="C133" t="s">
        <v>9</v>
      </c>
      <c r="D133">
        <v>2005</v>
      </c>
      <c r="E133" s="12">
        <v>5881534.42570714</v>
      </c>
      <c r="F133" s="12">
        <v>44385.763239694999</v>
      </c>
      <c r="G133" s="12">
        <v>2176259.1366582098</v>
      </c>
      <c r="H133" s="12">
        <v>3230094.2206703299</v>
      </c>
      <c r="I133" s="12">
        <v>8218.8868422598807</v>
      </c>
      <c r="J133" s="12">
        <v>0</v>
      </c>
      <c r="K133" s="12">
        <v>112747.78829428399</v>
      </c>
      <c r="L133" s="12">
        <v>309514.19756625901</v>
      </c>
      <c r="M133" s="12"/>
      <c r="N133" s="12"/>
      <c r="O133" s="12"/>
      <c r="P133" s="12"/>
      <c r="Q133" s="1" t="e">
        <f t="shared" si="2"/>
        <v>#NUM!</v>
      </c>
      <c r="R133" s="17">
        <f t="shared" si="3"/>
        <v>14.593117968405274</v>
      </c>
      <c r="S133">
        <f t="shared" si="4"/>
        <v>15.003569008913368</v>
      </c>
      <c r="T133">
        <v>2.2880968023692252</v>
      </c>
      <c r="U133">
        <f t="shared" si="5"/>
        <v>14.98802186525956</v>
      </c>
    </row>
    <row r="134" spans="1:21" x14ac:dyDescent="0.25">
      <c r="A134">
        <v>478</v>
      </c>
      <c r="B134" t="s">
        <v>88</v>
      </c>
      <c r="C134" t="s">
        <v>9</v>
      </c>
      <c r="D134">
        <v>2006</v>
      </c>
      <c r="E134" s="12">
        <v>12640215.191230601</v>
      </c>
      <c r="F134" s="12">
        <v>4139.7483318812401</v>
      </c>
      <c r="G134" s="12">
        <v>5937283.8844685601</v>
      </c>
      <c r="H134" s="12">
        <v>5495801.1794883199</v>
      </c>
      <c r="I134" s="12">
        <v>60784.774456273903</v>
      </c>
      <c r="J134" s="12">
        <v>0</v>
      </c>
      <c r="K134" s="12">
        <v>562702.14051543397</v>
      </c>
      <c r="L134" s="12">
        <v>550290.43523391301</v>
      </c>
      <c r="M134" s="12"/>
      <c r="N134" s="12"/>
      <c r="O134" s="12"/>
      <c r="P134" s="12"/>
      <c r="Q134" s="1">
        <f t="shared" si="2"/>
        <v>10.700674049247215</v>
      </c>
      <c r="R134" s="17">
        <f t="shared" si="3"/>
        <v>15.5967623282573</v>
      </c>
      <c r="S134">
        <f t="shared" si="4"/>
        <v>14.593117968405274</v>
      </c>
      <c r="T134">
        <v>1.3046613783592229</v>
      </c>
      <c r="U134">
        <f t="shared" si="5"/>
        <v>15.519494936736582</v>
      </c>
    </row>
    <row r="135" spans="1:21" x14ac:dyDescent="0.25">
      <c r="A135">
        <v>479</v>
      </c>
      <c r="B135" t="s">
        <v>88</v>
      </c>
      <c r="C135" t="s">
        <v>9</v>
      </c>
      <c r="D135">
        <v>2007</v>
      </c>
      <c r="E135" s="12">
        <v>7794243.4667124599</v>
      </c>
      <c r="F135" s="12">
        <v>10784.4738201332</v>
      </c>
      <c r="G135" s="12">
        <v>5350245.6115471805</v>
      </c>
      <c r="H135" s="12">
        <v>2121062.9563350701</v>
      </c>
      <c r="I135" s="12">
        <v>13526.8353224493</v>
      </c>
      <c r="J135" s="12">
        <v>0</v>
      </c>
      <c r="K135" s="12">
        <v>236544.50056418599</v>
      </c>
      <c r="L135" s="12">
        <v>62043.871467434503</v>
      </c>
      <c r="M135" s="13"/>
      <c r="N135" s="12"/>
      <c r="O135" s="12"/>
      <c r="P135" s="12"/>
      <c r="Q135" s="1">
        <f t="shared" si="2"/>
        <v>8.3283902755709427</v>
      </c>
      <c r="R135" s="17">
        <f t="shared" si="3"/>
        <v>15.492653026518825</v>
      </c>
      <c r="S135">
        <f t="shared" si="4"/>
        <v>15.5967623282573</v>
      </c>
      <c r="T135">
        <v>-0.5079246517307725</v>
      </c>
      <c r="U135">
        <f t="shared" si="5"/>
        <v>14.567427915489649</v>
      </c>
    </row>
    <row r="136" spans="1:21" x14ac:dyDescent="0.25">
      <c r="A136">
        <v>480</v>
      </c>
      <c r="B136" t="s">
        <v>88</v>
      </c>
      <c r="C136" t="s">
        <v>9</v>
      </c>
      <c r="D136">
        <v>2008</v>
      </c>
      <c r="E136" s="12">
        <v>6804843.2396599399</v>
      </c>
      <c r="F136" s="13">
        <v>2.0519278271612899E-8</v>
      </c>
      <c r="G136" s="12">
        <v>3914076.5245426102</v>
      </c>
      <c r="H136" s="12">
        <v>2811164.2941113398</v>
      </c>
      <c r="I136" s="13">
        <v>1.7099459716092801E-8</v>
      </c>
      <c r="J136" s="12">
        <v>0</v>
      </c>
      <c r="K136" s="12">
        <v>37752.998420790696</v>
      </c>
      <c r="L136" s="12">
        <v>41849.422585139102</v>
      </c>
      <c r="M136" s="12"/>
      <c r="N136" s="12"/>
      <c r="O136" s="12"/>
      <c r="P136" s="12"/>
      <c r="Q136" s="1">
        <f t="shared" si="2"/>
        <v>9.2858627695137645</v>
      </c>
      <c r="R136" s="17">
        <f t="shared" si="3"/>
        <v>15.180089978239778</v>
      </c>
      <c r="S136">
        <f t="shared" si="4"/>
        <v>15.492653026518825</v>
      </c>
      <c r="T136">
        <v>2.1628221249392339</v>
      </c>
      <c r="U136">
        <f t="shared" si="5"/>
        <v>14.849109295036406</v>
      </c>
    </row>
    <row r="137" spans="1:21" x14ac:dyDescent="0.25">
      <c r="A137">
        <v>481</v>
      </c>
      <c r="B137" t="s">
        <v>88</v>
      </c>
      <c r="C137" t="s">
        <v>9</v>
      </c>
      <c r="D137">
        <v>2009</v>
      </c>
      <c r="E137" s="12">
        <v>6673678.5113654397</v>
      </c>
      <c r="F137" s="12">
        <v>40677.033473201103</v>
      </c>
      <c r="G137" s="12">
        <v>2515742.9766102601</v>
      </c>
      <c r="H137" s="12">
        <v>3867602.6482008598</v>
      </c>
      <c r="I137" s="12">
        <v>49755.504751816799</v>
      </c>
      <c r="J137" s="12">
        <v>0</v>
      </c>
      <c r="K137" s="12">
        <v>112868.38695744101</v>
      </c>
      <c r="L137" s="12">
        <v>87031.961371857702</v>
      </c>
      <c r="M137" s="12"/>
      <c r="N137" s="12"/>
      <c r="O137" s="12"/>
      <c r="P137" s="12"/>
      <c r="Q137" s="1">
        <f t="shared" si="2"/>
        <v>-17.701900989211079</v>
      </c>
      <c r="R137" s="17">
        <f t="shared" si="3"/>
        <v>14.738078736023924</v>
      </c>
      <c r="S137">
        <f t="shared" si="4"/>
        <v>15.180089978239778</v>
      </c>
      <c r="T137">
        <v>2.2741382218892316</v>
      </c>
      <c r="U137">
        <f t="shared" si="5"/>
        <v>15.168145402305552</v>
      </c>
    </row>
    <row r="138" spans="1:21" x14ac:dyDescent="0.25">
      <c r="A138">
        <v>482</v>
      </c>
      <c r="B138" t="s">
        <v>88</v>
      </c>
      <c r="C138" t="s">
        <v>9</v>
      </c>
      <c r="D138">
        <v>2010</v>
      </c>
      <c r="E138" s="12">
        <v>8809666.8734829798</v>
      </c>
      <c r="F138" s="12">
        <v>2505.6877592648998</v>
      </c>
      <c r="G138" s="12">
        <v>4545899.6007836303</v>
      </c>
      <c r="H138" s="12">
        <v>3860079.3001357899</v>
      </c>
      <c r="I138" s="12">
        <v>23501.066258540799</v>
      </c>
      <c r="J138" s="12">
        <v>2333.6343169915899</v>
      </c>
      <c r="K138" s="12">
        <v>235871.35307530299</v>
      </c>
      <c r="L138" s="12">
        <v>137251.199610012</v>
      </c>
      <c r="M138" s="12"/>
      <c r="N138" s="12"/>
      <c r="O138" s="12"/>
      <c r="P138" s="12"/>
      <c r="Q138" s="1">
        <f t="shared" si="2"/>
        <v>10.613418924032485</v>
      </c>
      <c r="R138" s="17">
        <f t="shared" si="3"/>
        <v>15.329736197973364</v>
      </c>
      <c r="S138">
        <f t="shared" si="4"/>
        <v>14.738078736023924</v>
      </c>
      <c r="T138">
        <v>3.1445083440692292</v>
      </c>
      <c r="U138">
        <f t="shared" si="5"/>
        <v>15.166198285306617</v>
      </c>
    </row>
    <row r="139" spans="1:21" x14ac:dyDescent="0.25">
      <c r="A139">
        <v>483</v>
      </c>
      <c r="B139" t="s">
        <v>88</v>
      </c>
      <c r="C139" t="s">
        <v>9</v>
      </c>
      <c r="D139">
        <v>2011</v>
      </c>
      <c r="E139" s="12">
        <v>4949205.8916695099</v>
      </c>
      <c r="F139" s="13">
        <v>2.26823960305547E-7</v>
      </c>
      <c r="G139" s="12">
        <v>1466827.1764191701</v>
      </c>
      <c r="H139" s="12">
        <v>3188317.58366476</v>
      </c>
      <c r="I139" s="12">
        <v>9697.7055768056707</v>
      </c>
      <c r="J139" s="12">
        <v>0</v>
      </c>
      <c r="K139" s="12">
        <v>185856.810906484</v>
      </c>
      <c r="L139" s="12">
        <v>95462.812688341699</v>
      </c>
      <c r="M139" s="12"/>
      <c r="N139" s="12"/>
      <c r="O139" s="12"/>
      <c r="P139" s="12"/>
      <c r="Q139" s="1">
        <f t="shared" si="2"/>
        <v>7.8263185304325154</v>
      </c>
      <c r="R139" s="17">
        <f t="shared" si="3"/>
        <v>14.198612242700044</v>
      </c>
      <c r="S139">
        <f t="shared" si="4"/>
        <v>15.329736197973364</v>
      </c>
      <c r="T139">
        <v>2.8559780762592273</v>
      </c>
      <c r="U139">
        <f t="shared" si="5"/>
        <v>14.975003932395133</v>
      </c>
    </row>
    <row r="140" spans="1:21" x14ac:dyDescent="0.25">
      <c r="A140">
        <v>484</v>
      </c>
      <c r="B140" t="s">
        <v>88</v>
      </c>
      <c r="C140" t="s">
        <v>9</v>
      </c>
      <c r="D140">
        <v>2012</v>
      </c>
      <c r="E140" s="12">
        <v>2699118.6582341599</v>
      </c>
      <c r="F140" s="12">
        <v>1790.4988373393601</v>
      </c>
      <c r="G140" s="12">
        <v>1307145.7597490901</v>
      </c>
      <c r="H140" s="12">
        <v>1145264.91041637</v>
      </c>
      <c r="I140" s="12">
        <v>16183.7096447736</v>
      </c>
      <c r="J140" s="12">
        <v>0</v>
      </c>
      <c r="K140" s="12">
        <v>175481.71070260601</v>
      </c>
      <c r="L140" s="12">
        <v>52955.201419819103</v>
      </c>
      <c r="M140" s="12"/>
      <c r="N140" s="12"/>
      <c r="O140" s="12"/>
      <c r="P140" s="12"/>
      <c r="Q140" s="1">
        <f t="shared" si="2"/>
        <v>-15.299091625586676</v>
      </c>
      <c r="R140" s="17">
        <f t="shared" si="3"/>
        <v>14.083356508767</v>
      </c>
      <c r="S140">
        <f t="shared" si="4"/>
        <v>14.198612242700044</v>
      </c>
      <c r="T140">
        <v>2.1367981933692386</v>
      </c>
      <c r="U140">
        <f t="shared" si="5"/>
        <v>13.951146531019287</v>
      </c>
    </row>
    <row r="141" spans="1:21" x14ac:dyDescent="0.25">
      <c r="A141">
        <v>485</v>
      </c>
      <c r="B141" t="s">
        <v>88</v>
      </c>
      <c r="C141" t="s">
        <v>9</v>
      </c>
      <c r="D141">
        <v>2013</v>
      </c>
      <c r="E141" s="12">
        <v>3286868.2631640998</v>
      </c>
      <c r="F141" s="12">
        <v>41826.111089992199</v>
      </c>
      <c r="G141" s="12">
        <v>1383003.7879312499</v>
      </c>
      <c r="H141" s="12">
        <v>1776719.8537941801</v>
      </c>
      <c r="I141" s="12">
        <v>1275.51125372052</v>
      </c>
      <c r="J141" s="12">
        <v>1627.1686348396599</v>
      </c>
      <c r="K141" s="12">
        <v>47806.703789344101</v>
      </c>
      <c r="L141" s="12">
        <v>34609.126670767502</v>
      </c>
      <c r="M141" s="12"/>
      <c r="N141" s="12"/>
      <c r="O141" s="12"/>
      <c r="P141" s="12"/>
      <c r="Q141" s="1">
        <f t="shared" si="2"/>
        <v>7.4902495400885751</v>
      </c>
      <c r="R141" s="17">
        <f t="shared" si="3"/>
        <v>14.13976834956668</v>
      </c>
      <c r="S141">
        <f t="shared" si="4"/>
        <v>14.083356508767</v>
      </c>
      <c r="T141">
        <v>2.994733051169236</v>
      </c>
      <c r="U141">
        <f t="shared" si="5"/>
        <v>14.39027944349535</v>
      </c>
    </row>
    <row r="142" spans="1:21" x14ac:dyDescent="0.25">
      <c r="A142">
        <v>486</v>
      </c>
      <c r="B142" t="s">
        <v>88</v>
      </c>
      <c r="C142" t="s">
        <v>9</v>
      </c>
      <c r="D142">
        <v>2014</v>
      </c>
      <c r="E142" s="12">
        <v>7169894.7586674299</v>
      </c>
      <c r="F142" s="12">
        <v>10412.322992723501</v>
      </c>
      <c r="G142" s="12">
        <v>4798046.7895628698</v>
      </c>
      <c r="H142" s="12">
        <v>2057086.5729716399</v>
      </c>
      <c r="I142" s="12">
        <v>20585.256121386901</v>
      </c>
      <c r="J142" s="12">
        <v>1237.6418262591001</v>
      </c>
      <c r="K142" s="12">
        <v>209067.537679206</v>
      </c>
      <c r="L142" s="12">
        <v>67158.029985948306</v>
      </c>
      <c r="M142" s="12"/>
      <c r="N142" s="12"/>
      <c r="O142" s="12"/>
      <c r="P142" s="12"/>
      <c r="Q142" s="1">
        <f t="shared" si="2"/>
        <v>10.641276090714182</v>
      </c>
      <c r="R142" s="17">
        <f t="shared" si="3"/>
        <v>15.383719474223113</v>
      </c>
      <c r="S142">
        <f t="shared" si="4"/>
        <v>14.13976834956668</v>
      </c>
      <c r="T142">
        <v>3.3148665312692316</v>
      </c>
      <c r="U142">
        <f t="shared" si="5"/>
        <v>14.536801254755606</v>
      </c>
    </row>
    <row r="143" spans="1:21" x14ac:dyDescent="0.25">
      <c r="A143">
        <v>487</v>
      </c>
      <c r="B143" t="s">
        <v>88</v>
      </c>
      <c r="C143" t="s">
        <v>9</v>
      </c>
      <c r="D143">
        <v>2015</v>
      </c>
      <c r="E143" s="12">
        <v>5019585.2251876798</v>
      </c>
      <c r="F143" s="12">
        <v>77215.247770754402</v>
      </c>
      <c r="G143" s="12">
        <v>2666460.3514589602</v>
      </c>
      <c r="H143" s="12">
        <v>1989083.3485011801</v>
      </c>
      <c r="I143" s="13">
        <v>8.0666844444130897E-9</v>
      </c>
      <c r="J143" s="12">
        <v>2945.87341413578</v>
      </c>
      <c r="K143" s="12">
        <v>214841.857614901</v>
      </c>
      <c r="L143" s="12">
        <v>68012.311823009397</v>
      </c>
      <c r="M143" s="12"/>
      <c r="N143" s="12"/>
      <c r="O143" s="12"/>
      <c r="P143" s="12"/>
      <c r="Q143" s="1">
        <f t="shared" si="2"/>
        <v>9.2507452868322613</v>
      </c>
      <c r="R143" s="17">
        <f t="shared" si="3"/>
        <v>14.796262439780037</v>
      </c>
      <c r="S143">
        <f t="shared" si="4"/>
        <v>15.383719474223113</v>
      </c>
      <c r="T143">
        <v>2.6100064923692252</v>
      </c>
      <c r="U143">
        <f t="shared" si="5"/>
        <v>14.503184461684716</v>
      </c>
    </row>
    <row r="144" spans="1:21" x14ac:dyDescent="0.25">
      <c r="A144">
        <v>488</v>
      </c>
      <c r="B144" t="s">
        <v>88</v>
      </c>
      <c r="C144" t="s">
        <v>9</v>
      </c>
      <c r="D144">
        <v>2016</v>
      </c>
      <c r="E144" s="12">
        <v>6384574.6289297901</v>
      </c>
      <c r="F144" s="12">
        <v>207823.49008528501</v>
      </c>
      <c r="G144" s="12">
        <v>3133423.0966978902</v>
      </c>
      <c r="H144" s="12">
        <v>2859736.7463922598</v>
      </c>
      <c r="I144" s="12">
        <v>13532.947891506499</v>
      </c>
      <c r="J144" s="12">
        <v>0</v>
      </c>
      <c r="K144" s="12">
        <v>105680.451345522</v>
      </c>
      <c r="L144" s="12">
        <v>58421.461477447199</v>
      </c>
      <c r="M144" s="12"/>
      <c r="N144" s="12"/>
      <c r="O144" s="12"/>
      <c r="P144" s="12"/>
      <c r="Q144" s="1">
        <f t="shared" si="2"/>
        <v>11.254352226494204</v>
      </c>
      <c r="R144" s="17">
        <f t="shared" si="3"/>
        <v>14.957636606044085</v>
      </c>
      <c r="S144">
        <f t="shared" si="4"/>
        <v>14.796262439780037</v>
      </c>
      <c r="T144">
        <v>1.4034630548992453</v>
      </c>
      <c r="U144">
        <f t="shared" si="5"/>
        <v>14.866240131843483</v>
      </c>
    </row>
    <row r="145" spans="1:21" x14ac:dyDescent="0.25">
      <c r="A145">
        <v>489</v>
      </c>
      <c r="B145" t="s">
        <v>88</v>
      </c>
      <c r="C145" t="s">
        <v>9</v>
      </c>
      <c r="D145">
        <v>2017</v>
      </c>
      <c r="E145" s="12">
        <v>11287413.550867699</v>
      </c>
      <c r="F145" s="12">
        <v>163320.939223872</v>
      </c>
      <c r="G145" s="12">
        <v>9677409.9931780808</v>
      </c>
      <c r="H145" s="12">
        <v>1384225.7976698701</v>
      </c>
      <c r="I145" s="12">
        <v>1099.2044002401001</v>
      </c>
      <c r="J145" s="12">
        <v>0</v>
      </c>
      <c r="K145" s="12">
        <v>56375.811879954003</v>
      </c>
      <c r="L145" s="12">
        <v>1099.20440026861</v>
      </c>
      <c r="M145" s="12"/>
      <c r="N145" s="12"/>
      <c r="O145" s="12"/>
      <c r="P145" s="12"/>
      <c r="Q145" s="1">
        <f t="shared" si="2"/>
        <v>12.244444393054888</v>
      </c>
      <c r="R145" s="17">
        <f t="shared" si="3"/>
        <v>16.085304860763262</v>
      </c>
      <c r="S145">
        <f t="shared" si="4"/>
        <v>14.957636606044085</v>
      </c>
      <c r="T145">
        <v>-3.0684870940772491E-2</v>
      </c>
      <c r="U145">
        <f t="shared" si="5"/>
        <v>14.140651550457862</v>
      </c>
    </row>
    <row r="146" spans="1:21" x14ac:dyDescent="0.25">
      <c r="A146">
        <v>490</v>
      </c>
      <c r="B146" t="s">
        <v>88</v>
      </c>
      <c r="C146" t="s">
        <v>9</v>
      </c>
      <c r="D146">
        <v>2018</v>
      </c>
      <c r="E146" s="12">
        <v>22680172.7123584</v>
      </c>
      <c r="F146" s="13">
        <v>3.6368147328297598E-9</v>
      </c>
      <c r="G146" s="12">
        <v>20246491.971511599</v>
      </c>
      <c r="H146" s="12">
        <v>2368581.2708852701</v>
      </c>
      <c r="I146" s="13">
        <v>7.2736139439641397E-9</v>
      </c>
      <c r="J146" s="12">
        <v>3535.2554643354401</v>
      </c>
      <c r="K146" s="12">
        <v>57516.868770779198</v>
      </c>
      <c r="L146" s="13">
        <v>3.0912760198818501E-8</v>
      </c>
      <c r="M146" s="12"/>
      <c r="N146" s="12"/>
      <c r="O146" s="12"/>
      <c r="P146" s="12"/>
      <c r="Q146" s="1">
        <f t="shared" si="2"/>
        <v>12.003472496236668</v>
      </c>
      <c r="R146" s="17">
        <f t="shared" si="3"/>
        <v>16.823492100535002</v>
      </c>
      <c r="S146">
        <f t="shared" si="4"/>
        <v>16.085304860763262</v>
      </c>
      <c r="T146">
        <v>-3.6238594620772724E-2</v>
      </c>
      <c r="U146">
        <f t="shared" si="5"/>
        <v>14.677801713987265</v>
      </c>
    </row>
    <row r="147" spans="1:21" x14ac:dyDescent="0.25">
      <c r="A147">
        <v>491</v>
      </c>
      <c r="B147" t="s">
        <v>88</v>
      </c>
      <c r="C147" t="s">
        <v>9</v>
      </c>
      <c r="D147">
        <v>2019</v>
      </c>
      <c r="E147" s="12">
        <v>12340740.139324199</v>
      </c>
      <c r="F147" s="12">
        <v>87517.701509469203</v>
      </c>
      <c r="G147" s="12">
        <v>8064807.00764855</v>
      </c>
      <c r="H147" s="12">
        <v>3790598.52063182</v>
      </c>
      <c r="I147" s="12">
        <v>75.932846119777693</v>
      </c>
      <c r="J147" s="12">
        <v>4770.9418555972898</v>
      </c>
      <c r="K147" s="12">
        <v>340940.06745255197</v>
      </c>
      <c r="L147" s="12">
        <v>52029.967380082599</v>
      </c>
      <c r="M147" s="12"/>
      <c r="N147" s="12"/>
      <c r="O147" s="12"/>
      <c r="P147" s="12"/>
      <c r="Q147" s="1">
        <f t="shared" si="2"/>
        <v>-19.432157611796416</v>
      </c>
      <c r="R147" s="17">
        <f t="shared" si="3"/>
        <v>15.903020339639326</v>
      </c>
      <c r="S147">
        <f t="shared" si="4"/>
        <v>16.823492100535002</v>
      </c>
      <c r="T147">
        <v>0.6355308827592252</v>
      </c>
      <c r="U147">
        <f t="shared" si="5"/>
        <v>15.148034485601434</v>
      </c>
    </row>
    <row r="148" spans="1:21" x14ac:dyDescent="0.25">
      <c r="A148">
        <v>492</v>
      </c>
      <c r="B148" t="s">
        <v>88</v>
      </c>
      <c r="C148" t="s">
        <v>9</v>
      </c>
      <c r="D148">
        <v>2020</v>
      </c>
      <c r="E148" s="12">
        <v>8004914.9431250496</v>
      </c>
      <c r="F148" s="12">
        <v>36289.0241619886</v>
      </c>
      <c r="G148" s="12">
        <v>5724076.3761257296</v>
      </c>
      <c r="H148" s="12">
        <v>2193179.1436145101</v>
      </c>
      <c r="I148" s="12">
        <v>975.10969304426203</v>
      </c>
      <c r="J148" s="12">
        <v>0</v>
      </c>
      <c r="K148" s="12">
        <v>38541.971432979801</v>
      </c>
      <c r="L148" s="12">
        <v>11853.3180968008</v>
      </c>
      <c r="M148" s="12"/>
      <c r="N148" s="12"/>
      <c r="O148" s="12"/>
      <c r="P148" s="12"/>
      <c r="Q148" s="1">
        <f t="shared" si="2"/>
        <v>11.379596354850582</v>
      </c>
      <c r="R148" s="17">
        <f t="shared" si="3"/>
        <v>15.560191762708127</v>
      </c>
      <c r="S148">
        <f t="shared" si="4"/>
        <v>15.903020339639326</v>
      </c>
      <c r="T148">
        <v>2.0574152523692271</v>
      </c>
      <c r="U148">
        <f t="shared" si="5"/>
        <v>14.60086271289838</v>
      </c>
    </row>
    <row r="149" spans="1:21" x14ac:dyDescent="0.25">
      <c r="A149">
        <v>493</v>
      </c>
      <c r="B149" t="s">
        <v>88</v>
      </c>
      <c r="C149" t="s">
        <v>9</v>
      </c>
      <c r="D149">
        <v>2021</v>
      </c>
      <c r="E149" s="12">
        <v>12670319.9539715</v>
      </c>
      <c r="F149" s="12">
        <v>8527.0164497954993</v>
      </c>
      <c r="G149" s="12">
        <v>11139832.2127566</v>
      </c>
      <c r="H149" s="12">
        <v>1013268.72333528</v>
      </c>
      <c r="I149" s="12">
        <v>120.99837367115499</v>
      </c>
      <c r="J149" s="12">
        <v>3526.4025898443101</v>
      </c>
      <c r="K149" s="12">
        <v>429452.95480157301</v>
      </c>
      <c r="L149" s="12">
        <v>75591.645653200394</v>
      </c>
      <c r="M149" s="13"/>
      <c r="N149" s="13"/>
      <c r="O149" s="13"/>
      <c r="P149" s="13"/>
      <c r="Q149" s="1">
        <f t="shared" si="2"/>
        <v>10.499270609848015</v>
      </c>
      <c r="R149" s="17">
        <f t="shared" si="3"/>
        <v>16.226037730658476</v>
      </c>
      <c r="S149">
        <f t="shared" si="4"/>
        <v>15.560191762708127</v>
      </c>
      <c r="T149">
        <v>0.16846339816923617</v>
      </c>
      <c r="U149">
        <f t="shared" si="5"/>
        <v>13.828692022815048</v>
      </c>
    </row>
    <row r="150" spans="1:21" x14ac:dyDescent="0.25">
      <c r="A150">
        <v>494</v>
      </c>
      <c r="B150" t="s">
        <v>88</v>
      </c>
      <c r="C150" t="s">
        <v>9</v>
      </c>
      <c r="D150">
        <v>2022</v>
      </c>
      <c r="E150" s="12">
        <v>12410175.8702548</v>
      </c>
      <c r="F150" s="12">
        <v>7208.0864472179201</v>
      </c>
      <c r="G150" s="12">
        <v>7504564.42223249</v>
      </c>
      <c r="H150" s="12">
        <v>3475376.73603094</v>
      </c>
      <c r="I150" s="12">
        <v>13005.462521701</v>
      </c>
      <c r="J150" s="13">
        <v>1.0455456151960301E-6</v>
      </c>
      <c r="K150" s="12">
        <v>1226114.09871949</v>
      </c>
      <c r="L150" s="12">
        <v>183907.06249633699</v>
      </c>
      <c r="M150" s="13"/>
      <c r="N150" s="13"/>
      <c r="O150" s="13"/>
      <c r="P150" s="13"/>
      <c r="Q150" s="1">
        <f t="shared" si="2"/>
        <v>9.0509948078823843</v>
      </c>
      <c r="R150" s="17">
        <f t="shared" si="3"/>
        <v>15.831021983021971</v>
      </c>
      <c r="S150">
        <f t="shared" si="4"/>
        <v>16.226037730658476</v>
      </c>
      <c r="T150">
        <v>0.94188844476923839</v>
      </c>
      <c r="U150">
        <f t="shared" si="5"/>
        <v>15.061213444351052</v>
      </c>
    </row>
    <row r="151" spans="1:21" x14ac:dyDescent="0.25">
      <c r="A151">
        <v>495</v>
      </c>
      <c r="B151" t="s">
        <v>88</v>
      </c>
      <c r="C151" t="s">
        <v>9</v>
      </c>
      <c r="D151">
        <v>2023</v>
      </c>
      <c r="E151" s="12">
        <v>10418936.252978999</v>
      </c>
      <c r="F151" s="12">
        <v>61995.910249144901</v>
      </c>
      <c r="G151" s="12">
        <v>3376878.58960114</v>
      </c>
      <c r="H151" s="12">
        <v>5551956.4523559501</v>
      </c>
      <c r="I151" s="12">
        <v>1524.5964171678299</v>
      </c>
      <c r="J151" s="12">
        <v>1337.2246987522799</v>
      </c>
      <c r="K151" s="12">
        <v>401733.631242237</v>
      </c>
      <c r="L151" s="12">
        <v>1023509.8484034</v>
      </c>
      <c r="M151" s="13"/>
      <c r="N151" s="13"/>
      <c r="O151" s="13"/>
      <c r="P151" s="13"/>
      <c r="Q151" s="1">
        <f t="shared" si="2"/>
        <v>8.8829587924484859</v>
      </c>
      <c r="R151" s="17">
        <f t="shared" si="3"/>
        <v>15.032462346574873</v>
      </c>
      <c r="S151">
        <f t="shared" si="4"/>
        <v>15.831021983021971</v>
      </c>
      <c r="T151">
        <v>3.013470621229243</v>
      </c>
      <c r="U151">
        <f t="shared" si="5"/>
        <v>15.529660937542186</v>
      </c>
    </row>
    <row r="152" spans="1:21" x14ac:dyDescent="0.25">
      <c r="A152">
        <v>496</v>
      </c>
      <c r="B152" t="s">
        <v>88</v>
      </c>
      <c r="C152" t="s">
        <v>9</v>
      </c>
      <c r="D152">
        <v>2024</v>
      </c>
      <c r="E152" s="12">
        <v>12276225.3959476</v>
      </c>
      <c r="F152" s="12">
        <v>14682.704729564601</v>
      </c>
      <c r="G152" s="12">
        <v>10251697.204271</v>
      </c>
      <c r="H152" s="12">
        <v>1458592.1096781599</v>
      </c>
      <c r="I152" s="12">
        <v>6978.1191940491699</v>
      </c>
      <c r="J152" s="13">
        <v>1.02155801044599E-6</v>
      </c>
      <c r="K152" s="12">
        <v>448760.16208425601</v>
      </c>
      <c r="L152" s="12">
        <v>95515.093815390195</v>
      </c>
      <c r="M152" s="12"/>
      <c r="N152" s="13"/>
      <c r="O152" s="13"/>
      <c r="P152" s="13"/>
      <c r="Q152" s="1">
        <f t="shared" si="2"/>
        <v>11.034823698128058</v>
      </c>
      <c r="R152" s="17">
        <f t="shared" si="3"/>
        <v>16.142953830746173</v>
      </c>
      <c r="S152">
        <f t="shared" si="4"/>
        <v>15.032462346574873</v>
      </c>
      <c r="T152">
        <v>4.3843827266992443</v>
      </c>
      <c r="U152">
        <f t="shared" si="5"/>
        <v>14.192982220000403</v>
      </c>
    </row>
    <row r="153" spans="1:21" x14ac:dyDescent="0.25">
      <c r="A153" t="s">
        <v>89</v>
      </c>
      <c r="Q153" s="1">
        <f t="shared" si="2"/>
        <v>9.594425531080466</v>
      </c>
      <c r="R153" s="12"/>
      <c r="S153">
        <f t="shared" si="4"/>
        <v>16.142953830746173</v>
      </c>
    </row>
    <row r="154" spans="1:21" x14ac:dyDescent="0.25">
      <c r="D154" t="s">
        <v>90</v>
      </c>
      <c r="E154" s="12">
        <f>AVERAGE(E127:E152)</f>
        <v>8281315.1803907361</v>
      </c>
      <c r="F154" s="12">
        <f t="shared" ref="F154:L154" si="6">AVERAGE(F127:F152)</f>
        <v>31880.782383896414</v>
      </c>
      <c r="G154" s="12">
        <f t="shared" si="6"/>
        <v>5059715.559122147</v>
      </c>
      <c r="H154" s="12">
        <f t="shared" si="6"/>
        <v>2782754.1194021152</v>
      </c>
      <c r="I154" s="12">
        <f t="shared" si="6"/>
        <v>11838.467675889971</v>
      </c>
      <c r="J154" s="12">
        <f t="shared" si="6"/>
        <v>871.61281563804448</v>
      </c>
      <c r="K154" s="12">
        <f t="shared" si="6"/>
        <v>249990.2400131223</v>
      </c>
      <c r="L154" s="12">
        <f t="shared" si="6"/>
        <v>141972.99517237282</v>
      </c>
      <c r="N154" t="s">
        <v>91</v>
      </c>
      <c r="P154" s="18">
        <f>E154-G154-H154</f>
        <v>438845.50186647382</v>
      </c>
      <c r="Q154" s="1"/>
      <c r="R154" s="12"/>
    </row>
    <row r="155" spans="1:21" x14ac:dyDescent="0.25">
      <c r="D155" t="s">
        <v>92</v>
      </c>
      <c r="F155" s="19">
        <f>F154/$E$154</f>
        <v>3.8497245533398701E-3</v>
      </c>
      <c r="G155" s="20">
        <f t="shared" ref="G155:L155" si="7">G154/$E$154</f>
        <v>0.61097971142349583</v>
      </c>
      <c r="H155" s="20">
        <f t="shared" si="7"/>
        <v>0.3360280412936556</v>
      </c>
      <c r="I155" s="19">
        <f t="shared" si="7"/>
        <v>1.4295395620157279E-3</v>
      </c>
      <c r="J155" s="19">
        <f t="shared" si="7"/>
        <v>1.0525053045945285E-4</v>
      </c>
      <c r="K155" s="19">
        <f t="shared" si="7"/>
        <v>3.0187263081723096E-2</v>
      </c>
      <c r="L155" s="19">
        <f t="shared" si="7"/>
        <v>1.7143773915108268E-2</v>
      </c>
      <c r="N155" t="s">
        <v>93</v>
      </c>
    </row>
    <row r="174" spans="10:18" x14ac:dyDescent="0.25">
      <c r="J174" t="s">
        <v>94</v>
      </c>
      <c r="K174" s="12">
        <v>10251697.204271</v>
      </c>
      <c r="L174" t="s">
        <v>95</v>
      </c>
      <c r="M174" s="18">
        <f>J175*K174^K175</f>
        <v>3448585.0982721616</v>
      </c>
      <c r="N174" t="s">
        <v>96</v>
      </c>
      <c r="O174" t="s">
        <v>97</v>
      </c>
      <c r="Q174" t="s">
        <v>98</v>
      </c>
      <c r="R174" t="s">
        <v>99</v>
      </c>
    </row>
    <row r="175" spans="10:18" x14ac:dyDescent="0.25">
      <c r="J175">
        <v>23099</v>
      </c>
      <c r="K175">
        <v>0.31009999999999999</v>
      </c>
    </row>
    <row r="193" spans="2:20" x14ac:dyDescent="0.25">
      <c r="B193" t="s">
        <v>100</v>
      </c>
    </row>
    <row r="194" spans="2:20" x14ac:dyDescent="0.25">
      <c r="B194">
        <v>2024</v>
      </c>
      <c r="C194" s="12">
        <v>14682.704729564601</v>
      </c>
      <c r="D194" t="s">
        <v>101</v>
      </c>
      <c r="F194" s="3">
        <f>D195+C195*C194</f>
        <v>4252110.4948835606</v>
      </c>
      <c r="H194" t="s">
        <v>97</v>
      </c>
      <c r="J194" t="s">
        <v>102</v>
      </c>
      <c r="K194" t="s">
        <v>103</v>
      </c>
    </row>
    <row r="195" spans="2:20" x14ac:dyDescent="0.25">
      <c r="C195">
        <v>54.546999999999997</v>
      </c>
      <c r="D195">
        <v>3451213</v>
      </c>
    </row>
    <row r="196" spans="2:20" ht="15.75" thickBot="1" x14ac:dyDescent="0.3"/>
    <row r="197" spans="2:20" x14ac:dyDescent="0.25">
      <c r="H197" t="s">
        <v>104</v>
      </c>
      <c r="K197" t="s">
        <v>105</v>
      </c>
      <c r="P197" s="21" t="s">
        <v>106</v>
      </c>
      <c r="Q197" s="22"/>
      <c r="R197" s="22"/>
      <c r="S197" s="22"/>
      <c r="T197" s="23"/>
    </row>
    <row r="198" spans="2:20" x14ac:dyDescent="0.25">
      <c r="C198">
        <v>1.2</v>
      </c>
      <c r="D198" s="3">
        <v>4252110.4948835606</v>
      </c>
      <c r="E198" t="s">
        <v>107</v>
      </c>
      <c r="H198" t="s">
        <v>102</v>
      </c>
      <c r="K198" s="3">
        <v>2992421.8476508446</v>
      </c>
      <c r="L198" t="s">
        <v>108</v>
      </c>
      <c r="P198" s="24">
        <v>3978872.0606607143</v>
      </c>
      <c r="R198" t="s">
        <v>109</v>
      </c>
      <c r="T198" s="25"/>
    </row>
    <row r="199" spans="2:20" x14ac:dyDescent="0.25">
      <c r="C199">
        <v>1.3</v>
      </c>
      <c r="D199" s="3">
        <v>3448585.0982721616</v>
      </c>
      <c r="E199" t="s">
        <v>107</v>
      </c>
      <c r="H199" t="s">
        <v>98</v>
      </c>
      <c r="K199" s="3">
        <v>1653648.1413792996</v>
      </c>
      <c r="L199" t="s">
        <v>110</v>
      </c>
      <c r="P199" s="24">
        <v>2933082.5969620878</v>
      </c>
      <c r="R199" t="s">
        <v>111</v>
      </c>
      <c r="T199" s="25"/>
    </row>
    <row r="200" spans="2:20" x14ac:dyDescent="0.25">
      <c r="C200" t="s">
        <v>112</v>
      </c>
      <c r="D200" s="18">
        <v>438845.50186647382</v>
      </c>
      <c r="E200" t="s">
        <v>113</v>
      </c>
      <c r="L200" t="s">
        <v>114</v>
      </c>
      <c r="O200">
        <f>EXP(15)</f>
        <v>3269017.3724721107</v>
      </c>
      <c r="P200" s="24">
        <v>438845.50186647382</v>
      </c>
      <c r="R200" t="s">
        <v>113</v>
      </c>
      <c r="T200" s="25"/>
    </row>
    <row r="201" spans="2:20" x14ac:dyDescent="0.25">
      <c r="D201" s="3"/>
      <c r="P201" s="26"/>
      <c r="T201" s="25"/>
    </row>
    <row r="202" spans="2:20" x14ac:dyDescent="0.25">
      <c r="D202" s="3"/>
      <c r="P202" s="26"/>
      <c r="T202" s="25"/>
    </row>
    <row r="203" spans="2:20" ht="15.75" thickBot="1" x14ac:dyDescent="0.3">
      <c r="C203" t="s">
        <v>115</v>
      </c>
      <c r="D203" s="3">
        <f>SUM(D198:D202)</f>
        <v>8139541.095022196</v>
      </c>
      <c r="H203" t="s">
        <v>116</v>
      </c>
      <c r="O203" t="s">
        <v>115</v>
      </c>
      <c r="P203" s="27">
        <f>SUM(P198:P202)</f>
        <v>7350800.1594892759</v>
      </c>
      <c r="Q203" s="4"/>
      <c r="R203" s="4" t="s">
        <v>117</v>
      </c>
      <c r="S203" s="4"/>
      <c r="T203" s="2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Cors</vt:lpstr>
      <vt:lpstr>ENVIRO</vt:lpstr>
      <vt:lpstr>MAINPRED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MacCall</dc:creator>
  <cp:lastModifiedBy>Alec MacCall</cp:lastModifiedBy>
  <dcterms:created xsi:type="dcterms:W3CDTF">2025-04-29T14:45:27Z</dcterms:created>
  <dcterms:modified xsi:type="dcterms:W3CDTF">2025-05-20T16:04:51Z</dcterms:modified>
</cp:coreProperties>
</file>