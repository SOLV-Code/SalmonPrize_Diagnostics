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ec&amp;BarbsFiles\Alec\AlecScience\SalmonPrize\2025Prize\ORG2025spreadsheets\"/>
    </mc:Choice>
  </mc:AlternateContent>
  <xr:revisionPtr revIDLastSave="0" documentId="8_{624677B6-6B25-4289-AECE-99B04BBCD9A7}" xr6:coauthVersionLast="47" xr6:coauthVersionMax="47" xr10:uidLastSave="{00000000-0000-0000-0000-000000000000}"/>
  <bookViews>
    <workbookView xWindow="-120" yWindow="-120" windowWidth="29040" windowHeight="15720" activeTab="1" xr2:uid="{F2506C93-5B32-4D82-B9C1-43481305A108}"/>
  </bookViews>
  <sheets>
    <sheet name="Cors" sheetId="5" r:id="rId1"/>
    <sheet name="ENVIRO" sheetId="6" r:id="rId2"/>
    <sheet name="MAINPRED" sheetId="7" r:id="rId3"/>
  </sheets>
  <externalReferences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2" i="7" l="1"/>
  <c r="D232" i="7"/>
  <c r="T219" i="7"/>
  <c r="T220" i="7" s="1"/>
  <c r="L215" i="7"/>
  <c r="D215" i="7"/>
  <c r="E215" i="7" s="1"/>
  <c r="N175" i="7"/>
  <c r="O155" i="7"/>
  <c r="N155" i="7"/>
  <c r="N156" i="7" s="1"/>
  <c r="M155" i="7"/>
  <c r="L155" i="7"/>
  <c r="L156" i="7" s="1"/>
  <c r="K155" i="7"/>
  <c r="J155" i="7"/>
  <c r="J156" i="7" s="1"/>
  <c r="I155" i="7"/>
  <c r="H155" i="7"/>
  <c r="H156" i="7" s="1"/>
  <c r="G155" i="7"/>
  <c r="F155" i="7"/>
  <c r="F156" i="7" s="1"/>
  <c r="E155" i="7"/>
  <c r="I156" i="7" s="1"/>
  <c r="N153" i="7"/>
  <c r="M153" i="7"/>
  <c r="H153" i="7"/>
  <c r="G153" i="7"/>
  <c r="O152" i="7"/>
  <c r="N152" i="7"/>
  <c r="M152" i="7"/>
  <c r="L152" i="7"/>
  <c r="K152" i="7"/>
  <c r="J152" i="7"/>
  <c r="I152" i="7"/>
  <c r="H152" i="7"/>
  <c r="G152" i="7"/>
  <c r="F152" i="7"/>
  <c r="F153" i="7" s="1"/>
  <c r="E152" i="7"/>
  <c r="R150" i="7"/>
  <c r="S150" i="7" s="1"/>
  <c r="Q150" i="7"/>
  <c r="S149" i="7"/>
  <c r="R149" i="7"/>
  <c r="Q149" i="7"/>
  <c r="S148" i="7"/>
  <c r="R148" i="7"/>
  <c r="Q148" i="7"/>
  <c r="R147" i="7"/>
  <c r="Q147" i="7"/>
  <c r="R146" i="7"/>
  <c r="S146" i="7" s="1"/>
  <c r="Q146" i="7"/>
  <c r="S147" i="7" s="1"/>
  <c r="R145" i="7"/>
  <c r="S145" i="7" s="1"/>
  <c r="Q145" i="7"/>
  <c r="R144" i="7"/>
  <c r="S144" i="7" s="1"/>
  <c r="Q144" i="7"/>
  <c r="R143" i="7"/>
  <c r="Q143" i="7"/>
  <c r="R142" i="7"/>
  <c r="S142" i="7" s="1"/>
  <c r="Q142" i="7"/>
  <c r="R141" i="7"/>
  <c r="S141" i="7" s="1"/>
  <c r="Q141" i="7"/>
  <c r="R140" i="7"/>
  <c r="S140" i="7" s="1"/>
  <c r="Q140" i="7"/>
  <c r="S139" i="7"/>
  <c r="R139" i="7"/>
  <c r="Q139" i="7"/>
  <c r="R138" i="7"/>
  <c r="S138" i="7" s="1"/>
  <c r="Q138" i="7"/>
  <c r="R137" i="7"/>
  <c r="Q137" i="7"/>
  <c r="R136" i="7"/>
  <c r="S136" i="7" s="1"/>
  <c r="Q136" i="7"/>
  <c r="R135" i="7"/>
  <c r="S135" i="7" s="1"/>
  <c r="Q135" i="7"/>
  <c r="R134" i="7"/>
  <c r="Q134" i="7"/>
  <c r="R133" i="7"/>
  <c r="S133" i="7" s="1"/>
  <c r="Q133" i="7"/>
  <c r="S134" i="7" s="1"/>
  <c r="R132" i="7"/>
  <c r="S132" i="7" s="1"/>
  <c r="Q132" i="7"/>
  <c r="R131" i="7"/>
  <c r="Q131" i="7"/>
  <c r="P84" i="7"/>
  <c r="S84" i="7" s="1"/>
  <c r="O64" i="7" s="1"/>
  <c r="L65" i="7"/>
  <c r="J65" i="7"/>
  <c r="D65" i="7"/>
  <c r="E65" i="7" s="1"/>
  <c r="J64" i="7"/>
  <c r="L64" i="7" s="1"/>
  <c r="I64" i="7"/>
  <c r="H64" i="7"/>
  <c r="G64" i="7"/>
  <c r="E64" i="7"/>
  <c r="D64" i="7"/>
  <c r="F65" i="7" s="1"/>
  <c r="O63" i="7"/>
  <c r="I63" i="7"/>
  <c r="H63" i="7"/>
  <c r="D63" i="7"/>
  <c r="J62" i="7"/>
  <c r="L62" i="7" s="1"/>
  <c r="D62" i="7"/>
  <c r="H65" i="7" s="1"/>
  <c r="J61" i="7"/>
  <c r="L61" i="7" s="1"/>
  <c r="I61" i="7"/>
  <c r="G61" i="7"/>
  <c r="F61" i="7"/>
  <c r="D61" i="7"/>
  <c r="F62" i="7" s="1"/>
  <c r="J60" i="7"/>
  <c r="L60" i="7" s="1"/>
  <c r="I60" i="7"/>
  <c r="F60" i="7"/>
  <c r="D60" i="7"/>
  <c r="G62" i="7" s="1"/>
  <c r="I59" i="7"/>
  <c r="H59" i="7"/>
  <c r="D59" i="7"/>
  <c r="H62" i="7" s="1"/>
  <c r="J58" i="7"/>
  <c r="L58" i="7" s="1"/>
  <c r="G58" i="7"/>
  <c r="F58" i="7"/>
  <c r="D58" i="7"/>
  <c r="F59" i="7" s="1"/>
  <c r="J57" i="7"/>
  <c r="L57" i="7" s="1"/>
  <c r="I57" i="7"/>
  <c r="H57" i="7"/>
  <c r="G57" i="7"/>
  <c r="F57" i="7"/>
  <c r="K57" i="7" s="1"/>
  <c r="D57" i="7"/>
  <c r="G59" i="7" s="1"/>
  <c r="H56" i="7"/>
  <c r="D56" i="7"/>
  <c r="J55" i="7"/>
  <c r="L55" i="7" s="1"/>
  <c r="G55" i="7"/>
  <c r="D55" i="7"/>
  <c r="F56" i="7" s="1"/>
  <c r="J54" i="7"/>
  <c r="L54" i="7" s="1"/>
  <c r="I54" i="7"/>
  <c r="G54" i="7"/>
  <c r="F54" i="7"/>
  <c r="D54" i="7"/>
  <c r="E55" i="7" s="1"/>
  <c r="L53" i="7"/>
  <c r="H53" i="7"/>
  <c r="D53" i="7"/>
  <c r="G52" i="7"/>
  <c r="D52" i="7"/>
  <c r="I56" i="7" s="1"/>
  <c r="J51" i="7"/>
  <c r="L51" i="7" s="1"/>
  <c r="G51" i="7"/>
  <c r="F51" i="7"/>
  <c r="D51" i="7"/>
  <c r="I55" i="7" s="1"/>
  <c r="J50" i="7"/>
  <c r="L50" i="7" s="1"/>
  <c r="I50" i="7"/>
  <c r="H50" i="7"/>
  <c r="G50" i="7"/>
  <c r="D50" i="7"/>
  <c r="H49" i="7"/>
  <c r="D49" i="7"/>
  <c r="F50" i="7" s="1"/>
  <c r="H48" i="7"/>
  <c r="G48" i="7"/>
  <c r="D48" i="7"/>
  <c r="J53" i="7" s="1"/>
  <c r="J47" i="7"/>
  <c r="L47" i="7" s="1"/>
  <c r="H47" i="7"/>
  <c r="G47" i="7"/>
  <c r="F47" i="7"/>
  <c r="D47" i="7"/>
  <c r="D46" i="7"/>
  <c r="H45" i="7"/>
  <c r="D45" i="7"/>
  <c r="F46" i="7" s="1"/>
  <c r="J44" i="7"/>
  <c r="L44" i="7" s="1"/>
  <c r="H44" i="7"/>
  <c r="G44" i="7"/>
  <c r="D44" i="7"/>
  <c r="J49" i="7" s="1"/>
  <c r="L49" i="7" s="1"/>
  <c r="G43" i="7"/>
  <c r="F43" i="7"/>
  <c r="D43" i="7"/>
  <c r="H46" i="7" s="1"/>
  <c r="D42" i="7"/>
  <c r="I46" i="7" s="1"/>
  <c r="I41" i="7"/>
  <c r="H41" i="7"/>
  <c r="G41" i="7"/>
  <c r="D41" i="7"/>
  <c r="J46" i="7" s="1"/>
  <c r="L46" i="7" s="1"/>
  <c r="F40" i="7"/>
  <c r="D40" i="7"/>
  <c r="H43" i="7" s="1"/>
  <c r="J39" i="7"/>
  <c r="L39" i="7" s="1"/>
  <c r="I39" i="7"/>
  <c r="H39" i="7"/>
  <c r="G39" i="7"/>
  <c r="D39" i="7"/>
  <c r="I43" i="7" s="1"/>
  <c r="H38" i="7"/>
  <c r="F38" i="7"/>
  <c r="D38" i="7"/>
  <c r="I42" i="7" s="1"/>
  <c r="J37" i="7"/>
  <c r="L37" i="7" s="1"/>
  <c r="D37" i="7"/>
  <c r="H40" i="7" s="1"/>
  <c r="J36" i="7"/>
  <c r="L36" i="7" s="1"/>
  <c r="I36" i="7"/>
  <c r="H36" i="7"/>
  <c r="G36" i="7"/>
  <c r="F36" i="7"/>
  <c r="K36" i="7" s="1"/>
  <c r="D36" i="7"/>
  <c r="I35" i="7"/>
  <c r="H35" i="7"/>
  <c r="D35" i="7"/>
  <c r="E35" i="7" s="1"/>
  <c r="I34" i="7"/>
  <c r="D34" i="7"/>
  <c r="J33" i="7"/>
  <c r="L33" i="7" s="1"/>
  <c r="G33" i="7"/>
  <c r="F33" i="7"/>
  <c r="D33" i="7"/>
  <c r="J32" i="7"/>
  <c r="L32" i="7" s="1"/>
  <c r="I32" i="7"/>
  <c r="G32" i="7"/>
  <c r="F32" i="7"/>
  <c r="D32" i="7"/>
  <c r="G34" i="7" s="1"/>
  <c r="J31" i="7"/>
  <c r="L31" i="7" s="1"/>
  <c r="D31" i="7"/>
  <c r="H34" i="7" s="1"/>
  <c r="I30" i="7"/>
  <c r="G30" i="7"/>
  <c r="D30" i="7"/>
  <c r="F31" i="7" s="1"/>
  <c r="I29" i="7"/>
  <c r="H29" i="7"/>
  <c r="G29" i="7"/>
  <c r="F29" i="7"/>
  <c r="D29" i="7"/>
  <c r="G31" i="7" s="1"/>
  <c r="G28" i="7"/>
  <c r="D28" i="7"/>
  <c r="E28" i="7" s="1"/>
  <c r="G27" i="7"/>
  <c r="F27" i="7"/>
  <c r="D27" i="7"/>
  <c r="I31" i="7" s="1"/>
  <c r="D26" i="7"/>
  <c r="I25" i="7"/>
  <c r="G25" i="7"/>
  <c r="D25" i="7"/>
  <c r="H28" i="7" s="1"/>
  <c r="L24" i="7"/>
  <c r="Q24" i="7" s="1"/>
  <c r="F24" i="7"/>
  <c r="M24" i="7" s="1"/>
  <c r="D24" i="7"/>
  <c r="I23" i="7"/>
  <c r="D23" i="7"/>
  <c r="E23" i="7" s="1"/>
  <c r="Q22" i="7"/>
  <c r="P22" i="7"/>
  <c r="L22" i="7"/>
  <c r="H22" i="7"/>
  <c r="O22" i="7" s="1"/>
  <c r="F22" i="7"/>
  <c r="M22" i="7" s="1"/>
  <c r="D22" i="7"/>
  <c r="I26" i="7" s="1"/>
  <c r="I21" i="7"/>
  <c r="D21" i="7"/>
  <c r="Q20" i="7"/>
  <c r="O20" i="7"/>
  <c r="M20" i="7"/>
  <c r="L20" i="7"/>
  <c r="H20" i="7"/>
  <c r="F20" i="7"/>
  <c r="D20" i="7"/>
  <c r="I24" i="7" s="1"/>
  <c r="P24" i="7" s="1"/>
  <c r="I19" i="7"/>
  <c r="D19" i="7"/>
  <c r="J24" i="7" s="1"/>
  <c r="H18" i="7"/>
  <c r="F18" i="7"/>
  <c r="D18" i="7"/>
  <c r="I22" i="7" s="1"/>
  <c r="J17" i="7"/>
  <c r="D17" i="7"/>
  <c r="J22" i="7" s="1"/>
  <c r="G16" i="7"/>
  <c r="F16" i="7"/>
  <c r="D16" i="7"/>
  <c r="I20" i="7" s="1"/>
  <c r="P20" i="7" s="1"/>
  <c r="J15" i="7"/>
  <c r="L15" i="7" s="1"/>
  <c r="I15" i="7"/>
  <c r="P15" i="7" s="1"/>
  <c r="H15" i="7"/>
  <c r="O15" i="7" s="1"/>
  <c r="F15" i="7"/>
  <c r="D15" i="7"/>
  <c r="J20" i="7" s="1"/>
  <c r="D14" i="7"/>
  <c r="I18" i="7" s="1"/>
  <c r="I13" i="7"/>
  <c r="H13" i="7"/>
  <c r="F13" i="7"/>
  <c r="D13" i="7"/>
  <c r="Q12" i="7"/>
  <c r="L12" i="7"/>
  <c r="D12" i="7"/>
  <c r="I16" i="7" s="1"/>
  <c r="L11" i="7"/>
  <c r="J11" i="7"/>
  <c r="Q11" i="7" s="1"/>
  <c r="I11" i="7"/>
  <c r="P11" i="7" s="1"/>
  <c r="F11" i="7"/>
  <c r="M11" i="7" s="1"/>
  <c r="D11" i="7"/>
  <c r="J16" i="7" s="1"/>
  <c r="H10" i="7"/>
  <c r="D10" i="7"/>
  <c r="I14" i="7" s="1"/>
  <c r="J9" i="7"/>
  <c r="L9" i="7" s="1"/>
  <c r="O9" i="7" s="1"/>
  <c r="I9" i="7"/>
  <c r="P9" i="7" s="1"/>
  <c r="H9" i="7"/>
  <c r="G9" i="7"/>
  <c r="N9" i="7" s="1"/>
  <c r="D9" i="7"/>
  <c r="J14" i="7" s="1"/>
  <c r="L14" i="7" s="1"/>
  <c r="I8" i="7"/>
  <c r="H8" i="7"/>
  <c r="G8" i="7"/>
  <c r="F8" i="7"/>
  <c r="D8" i="7"/>
  <c r="E7" i="7"/>
  <c r="D7" i="7"/>
  <c r="J12" i="7" s="1"/>
  <c r="D6" i="7"/>
  <c r="E6" i="7" s="1"/>
  <c r="D5" i="7"/>
  <c r="F6" i="7" s="1"/>
  <c r="D4" i="7"/>
  <c r="H7" i="7" s="1"/>
  <c r="S99" i="6"/>
  <c r="P99" i="6"/>
  <c r="Q99" i="6" s="1"/>
  <c r="N60" i="6"/>
  <c r="AI4" i="5"/>
  <c r="P24" i="6"/>
  <c r="O24" i="6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G5" i="5"/>
  <c r="T4" i="5"/>
  <c r="U4" i="5"/>
  <c r="V4" i="5"/>
  <c r="W4" i="5"/>
  <c r="Y4" i="5"/>
  <c r="Z4" i="5"/>
  <c r="AA4" i="5"/>
  <c r="AB4" i="5"/>
  <c r="AC4" i="5"/>
  <c r="AD4" i="5"/>
  <c r="AE4" i="5"/>
  <c r="AF4" i="5"/>
  <c r="AG4" i="5"/>
  <c r="AH4" i="5"/>
  <c r="AK4" i="5"/>
  <c r="AL4" i="5"/>
  <c r="AM4" i="5"/>
  <c r="AN4" i="5"/>
  <c r="AO4" i="5"/>
  <c r="AP4" i="5"/>
  <c r="AQ4" i="5"/>
  <c r="AR4" i="5"/>
  <c r="AS4" i="5"/>
  <c r="AT4" i="5"/>
  <c r="AU4" i="5"/>
  <c r="S4" i="5"/>
  <c r="H4" i="5"/>
  <c r="I4" i="5"/>
  <c r="J4" i="5"/>
  <c r="L4" i="5"/>
  <c r="M4" i="5"/>
  <c r="N4" i="5"/>
  <c r="O4" i="5"/>
  <c r="P4" i="5"/>
  <c r="Q4" i="5"/>
  <c r="R4" i="5"/>
  <c r="G4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I12" i="7" l="1"/>
  <c r="P12" i="7" s="1"/>
  <c r="E8" i="7"/>
  <c r="G10" i="7"/>
  <c r="F9" i="7"/>
  <c r="H11" i="7"/>
  <c r="O11" i="7" s="1"/>
  <c r="J13" i="7"/>
  <c r="J18" i="7"/>
  <c r="F14" i="7"/>
  <c r="H16" i="7"/>
  <c r="E13" i="7"/>
  <c r="K29" i="7"/>
  <c r="J52" i="7"/>
  <c r="L52" i="7" s="1"/>
  <c r="E47" i="7"/>
  <c r="G49" i="7"/>
  <c r="F48" i="7"/>
  <c r="I51" i="7"/>
  <c r="P16" i="7"/>
  <c r="K46" i="7"/>
  <c r="K15" i="7"/>
  <c r="M15" i="7"/>
  <c r="I28" i="7"/>
  <c r="G26" i="7"/>
  <c r="F25" i="7"/>
  <c r="H27" i="7"/>
  <c r="J29" i="7"/>
  <c r="L29" i="7" s="1"/>
  <c r="P14" i="7"/>
  <c r="L17" i="7"/>
  <c r="Q17" i="7"/>
  <c r="E24" i="7"/>
  <c r="K31" i="7"/>
  <c r="K50" i="7"/>
  <c r="G15" i="7"/>
  <c r="N15" i="7" s="1"/>
  <c r="I17" i="7"/>
  <c r="P17" i="7" s="1"/>
  <c r="J48" i="7"/>
  <c r="L48" i="7" s="1"/>
  <c r="E43" i="7"/>
  <c r="G45" i="7"/>
  <c r="F44" i="7"/>
  <c r="K44" i="7" s="1"/>
  <c r="I47" i="7"/>
  <c r="K47" i="7" s="1"/>
  <c r="K62" i="7"/>
  <c r="E61" i="7"/>
  <c r="S137" i="7"/>
  <c r="G11" i="7"/>
  <c r="N11" i="7" s="1"/>
  <c r="E20" i="7"/>
  <c r="E27" i="7"/>
  <c r="I37" i="7"/>
  <c r="F34" i="7"/>
  <c r="K34" i="7" s="1"/>
  <c r="E40" i="7"/>
  <c r="E44" i="7"/>
  <c r="E51" i="7"/>
  <c r="H61" i="7"/>
  <c r="K61" i="7" s="1"/>
  <c r="G156" i="7"/>
  <c r="E9" i="7"/>
  <c r="K13" i="7"/>
  <c r="E33" i="7"/>
  <c r="E58" i="7"/>
  <c r="G20" i="7"/>
  <c r="N20" i="7" s="1"/>
  <c r="E18" i="7"/>
  <c r="H51" i="7"/>
  <c r="K51" i="7" s="1"/>
  <c r="I65" i="7"/>
  <c r="K11" i="7"/>
  <c r="Q15" i="7"/>
  <c r="E25" i="7"/>
  <c r="I27" i="7"/>
  <c r="H33" i="7"/>
  <c r="I44" i="7"/>
  <c r="E48" i="7"/>
  <c r="H58" i="7"/>
  <c r="K58" i="7" s="1"/>
  <c r="K156" i="7"/>
  <c r="I40" i="7"/>
  <c r="F37" i="7"/>
  <c r="E36" i="7"/>
  <c r="G13" i="7"/>
  <c r="E22" i="7"/>
  <c r="G18" i="7"/>
  <c r="I33" i="7"/>
  <c r="E37" i="7"/>
  <c r="E62" i="7"/>
  <c r="I48" i="7"/>
  <c r="L16" i="7"/>
  <c r="N16" i="7" s="1"/>
  <c r="G65" i="7"/>
  <c r="F64" i="7"/>
  <c r="K64" i="7" s="1"/>
  <c r="G14" i="7"/>
  <c r="N14" i="7" s="1"/>
  <c r="H14" i="7"/>
  <c r="O14" i="7" s="1"/>
  <c r="F21" i="7"/>
  <c r="H52" i="7"/>
  <c r="J59" i="7"/>
  <c r="L59" i="7" s="1"/>
  <c r="Q9" i="7"/>
  <c r="F12" i="7"/>
  <c r="J23" i="7"/>
  <c r="I52" i="7"/>
  <c r="E42" i="7"/>
  <c r="F5" i="7"/>
  <c r="H12" i="7"/>
  <c r="O12" i="7" s="1"/>
  <c r="F19" i="7"/>
  <c r="F28" i="7"/>
  <c r="F42" i="7"/>
  <c r="E17" i="7"/>
  <c r="H19" i="7"/>
  <c r="G35" i="7"/>
  <c r="H42" i="7"/>
  <c r="I49" i="7"/>
  <c r="G53" i="7"/>
  <c r="H32" i="7"/>
  <c r="K32" i="7" s="1"/>
  <c r="E54" i="7"/>
  <c r="K22" i="7"/>
  <c r="O156" i="7"/>
  <c r="F23" i="7"/>
  <c r="H37" i="7"/>
  <c r="E34" i="7"/>
  <c r="E45" i="7"/>
  <c r="E52" i="7"/>
  <c r="J26" i="7"/>
  <c r="H24" i="7"/>
  <c r="O24" i="7" s="1"/>
  <c r="E38" i="7"/>
  <c r="H23" i="7"/>
  <c r="J34" i="7"/>
  <c r="L34" i="7" s="1"/>
  <c r="E63" i="7"/>
  <c r="E12" i="7"/>
  <c r="G38" i="7"/>
  <c r="K38" i="7" s="1"/>
  <c r="E56" i="7"/>
  <c r="F63" i="7"/>
  <c r="H31" i="7"/>
  <c r="J153" i="7"/>
  <c r="E10" i="7"/>
  <c r="E53" i="7"/>
  <c r="I10" i="7"/>
  <c r="F7" i="7"/>
  <c r="F10" i="7"/>
  <c r="G19" i="7"/>
  <c r="J21" i="7"/>
  <c r="F35" i="7"/>
  <c r="K35" i="7" s="1"/>
  <c r="F53" i="7"/>
  <c r="K53" i="7" s="1"/>
  <c r="J56" i="7"/>
  <c r="L56" i="7" s="1"/>
  <c r="E60" i="7"/>
  <c r="J63" i="7"/>
  <c r="L63" i="7" s="1"/>
  <c r="Q14" i="7"/>
  <c r="F17" i="7"/>
  <c r="E26" i="7"/>
  <c r="E46" i="7"/>
  <c r="G60" i="7"/>
  <c r="K60" i="7" s="1"/>
  <c r="E11" i="7"/>
  <c r="G22" i="7"/>
  <c r="N22" i="7" s="1"/>
  <c r="H54" i="7"/>
  <c r="K54" i="7" s="1"/>
  <c r="E30" i="7"/>
  <c r="E41" i="7"/>
  <c r="I58" i="7"/>
  <c r="F30" i="7"/>
  <c r="F55" i="7"/>
  <c r="M156" i="7"/>
  <c r="H25" i="7"/>
  <c r="H55" i="7"/>
  <c r="E14" i="7"/>
  <c r="J25" i="7"/>
  <c r="J30" i="7"/>
  <c r="L30" i="7" s="1"/>
  <c r="F45" i="7"/>
  <c r="F52" i="7"/>
  <c r="E21" i="7"/>
  <c r="J10" i="7"/>
  <c r="G7" i="7"/>
  <c r="G21" i="7"/>
  <c r="E49" i="7"/>
  <c r="G56" i="7"/>
  <c r="K56" i="7" s="1"/>
  <c r="G63" i="7"/>
  <c r="E5" i="7"/>
  <c r="G12" i="7"/>
  <c r="N12" i="7" s="1"/>
  <c r="H21" i="7"/>
  <c r="I38" i="7"/>
  <c r="J45" i="7"/>
  <c r="L45" i="7" s="1"/>
  <c r="J38" i="7"/>
  <c r="L38" i="7" s="1"/>
  <c r="K153" i="7"/>
  <c r="Q153" i="7" s="1"/>
  <c r="G42" i="7"/>
  <c r="S143" i="7"/>
  <c r="G6" i="7"/>
  <c r="G17" i="7"/>
  <c r="J19" i="7"/>
  <c r="F26" i="7"/>
  <c r="E39" i="7"/>
  <c r="J42" i="7"/>
  <c r="L42" i="7" s="1"/>
  <c r="E50" i="7"/>
  <c r="I53" i="7"/>
  <c r="H60" i="7"/>
  <c r="O153" i="7"/>
  <c r="G24" i="7"/>
  <c r="N24" i="7" s="1"/>
  <c r="E29" i="7"/>
  <c r="J27" i="7"/>
  <c r="E16" i="7"/>
  <c r="F41" i="7"/>
  <c r="I62" i="7"/>
  <c r="K16" i="7"/>
  <c r="J28" i="7"/>
  <c r="H26" i="7"/>
  <c r="H30" i="7"/>
  <c r="J43" i="7"/>
  <c r="L43" i="7" s="1"/>
  <c r="G40" i="7"/>
  <c r="K40" i="7" s="1"/>
  <c r="G23" i="7"/>
  <c r="J41" i="7"/>
  <c r="L41" i="7" s="1"/>
  <c r="M16" i="7"/>
  <c r="I45" i="7"/>
  <c r="I153" i="7"/>
  <c r="E19" i="7"/>
  <c r="J40" i="7"/>
  <c r="L40" i="7" s="1"/>
  <c r="G37" i="7"/>
  <c r="F49" i="7"/>
  <c r="L153" i="7"/>
  <c r="E15" i="7"/>
  <c r="H17" i="7"/>
  <c r="E32" i="7"/>
  <c r="J35" i="7"/>
  <c r="L35" i="7" s="1"/>
  <c r="F39" i="7"/>
  <c r="K39" i="7" s="1"/>
  <c r="G46" i="7"/>
  <c r="E57" i="7"/>
  <c r="E31" i="7"/>
  <c r="E59" i="7"/>
  <c r="K4" i="5"/>
  <c r="X4" i="5"/>
  <c r="AJ4" i="5"/>
  <c r="Q26" i="7" l="1"/>
  <c r="L26" i="7"/>
  <c r="P26" i="7" s="1"/>
  <c r="M17" i="7"/>
  <c r="K17" i="7"/>
  <c r="K23" i="7"/>
  <c r="K48" i="7"/>
  <c r="K43" i="7"/>
  <c r="L18" i="7"/>
  <c r="N18" i="7" s="1"/>
  <c r="Q18" i="7"/>
  <c r="O26" i="7"/>
  <c r="K59" i="7"/>
  <c r="L21" i="7"/>
  <c r="P21" i="7" s="1"/>
  <c r="Q21" i="7"/>
  <c r="L27" i="7"/>
  <c r="O27" i="7" s="1"/>
  <c r="K52" i="7"/>
  <c r="P10" i="7"/>
  <c r="L25" i="7"/>
  <c r="K42" i="7"/>
  <c r="K19" i="7"/>
  <c r="M19" i="7"/>
  <c r="L13" i="7"/>
  <c r="Q13" i="7" s="1"/>
  <c r="N17" i="7"/>
  <c r="K33" i="7"/>
  <c r="N26" i="7"/>
  <c r="M9" i="7"/>
  <c r="K9" i="7"/>
  <c r="K21" i="7"/>
  <c r="K65" i="7"/>
  <c r="L28" i="7"/>
  <c r="Q28" i="7"/>
  <c r="K20" i="7"/>
  <c r="K41" i="7"/>
  <c r="L10" i="7"/>
  <c r="O10" i="7" s="1"/>
  <c r="K10" i="7"/>
  <c r="M10" i="7"/>
  <c r="K45" i="7"/>
  <c r="O16" i="7"/>
  <c r="K28" i="7"/>
  <c r="M28" i="7"/>
  <c r="K49" i="7"/>
  <c r="P27" i="7"/>
  <c r="P28" i="7"/>
  <c r="N10" i="7"/>
  <c r="N23" i="7"/>
  <c r="N21" i="7"/>
  <c r="N19" i="7"/>
  <c r="N13" i="7"/>
  <c r="K14" i="7"/>
  <c r="M14" i="7"/>
  <c r="O17" i="7"/>
  <c r="Q16" i="7"/>
  <c r="K26" i="7"/>
  <c r="M26" i="7"/>
  <c r="K27" i="7"/>
  <c r="L19" i="7"/>
  <c r="P19" i="7" s="1"/>
  <c r="K25" i="7"/>
  <c r="L23" i="7"/>
  <c r="P23" i="7" s="1"/>
  <c r="O23" i="7"/>
  <c r="K18" i="7"/>
  <c r="K37" i="7"/>
  <c r="K24" i="7"/>
  <c r="K63" i="7"/>
  <c r="K55" i="7"/>
  <c r="K30" i="7"/>
  <c r="K12" i="7"/>
  <c r="M12" i="7"/>
  <c r="Q23" i="7" l="1"/>
  <c r="Q10" i="7"/>
  <c r="M23" i="7"/>
  <c r="N25" i="7"/>
  <c r="P25" i="7"/>
  <c r="Q27" i="7"/>
  <c r="M25" i="7"/>
  <c r="O25" i="7"/>
  <c r="M27" i="7"/>
  <c r="N27" i="7"/>
  <c r="Q19" i="7"/>
  <c r="M13" i="7"/>
  <c r="O13" i="7"/>
  <c r="P13" i="7"/>
  <c r="Q25" i="7"/>
  <c r="M18" i="7"/>
  <c r="O18" i="7"/>
  <c r="P18" i="7"/>
  <c r="N28" i="7"/>
  <c r="O28" i="7"/>
  <c r="O21" i="7"/>
  <c r="M21" i="7"/>
  <c r="O19" i="7"/>
</calcChain>
</file>

<file path=xl/sharedStrings.xml><?xml version="1.0" encoding="utf-8"?>
<sst xmlns="http://schemas.openxmlformats.org/spreadsheetml/2006/main" count="268" uniqueCount="129">
  <si>
    <t>INSERT</t>
  </si>
  <si>
    <t>TIME SERIES</t>
  </si>
  <si>
    <t>DATE</t>
  </si>
  <si>
    <t>MONTH</t>
  </si>
  <si>
    <t>PRCOMP1</t>
  </si>
  <si>
    <t>DATA</t>
  </si>
  <si>
    <t>CORR-&gt;</t>
  </si>
  <si>
    <t>TIME</t>
  </si>
  <si>
    <t>PRC1 for MONTHS PREVIOUS</t>
  </si>
  <si>
    <t>Kvichak</t>
  </si>
  <si>
    <t>strongest correlation of ln run with PC1 is at T-23 (april) AND IS NEGATIVE!</t>
  </si>
  <si>
    <t>and even changed the sign of the relationship with PC1! Now positive!</t>
  </si>
  <si>
    <t>red line is correlation pattern since 2006--ENTIRELY DIFFERENT RELATIONSHIP BETWEEN RUN SIZE AND PC1</t>
  </si>
  <si>
    <t>post 2006 pattern is more like other BB stocks</t>
  </si>
  <si>
    <t>blue line is before 2006</t>
  </si>
  <si>
    <t>Kvichak changed patterns in early 2000s</t>
  </si>
  <si>
    <t>This is the relationship between ln run and PC1(T-23)--blue is 1982 to 2005. red is since 2006</t>
  </si>
  <si>
    <t>early (blue) slope is mainly the result of the cluster of high values on the left</t>
  </si>
  <si>
    <t>…</t>
  </si>
  <si>
    <t>This is in the main cluster (not extreme)</t>
  </si>
  <si>
    <t>and give a predicted run size of</t>
  </si>
  <si>
    <t>for present purposes, PC1(-23) in 2025 is unknown, but the next month is 2.5 and they are serially correlated.  Assume 2.5</t>
  </si>
  <si>
    <t>TAKE A CLOSER LOOK AT PC1 EFFECTS ON COMP TRANSITIONS</t>
  </si>
  <si>
    <t>LN 1.2S SINCE 2006</t>
  </si>
  <si>
    <t>T-9 is too recent, guess that PC1 is 2.5, but really not known.  2.5 would be middle of the cloud</t>
  </si>
  <si>
    <t>about 15, or</t>
  </si>
  <si>
    <t xml:space="preserve">1.2s </t>
  </si>
  <si>
    <t>which would be about recent average</t>
  </si>
  <si>
    <t>ln 1.3s since 2006--no strong correlations with PC1</t>
  </si>
  <si>
    <t>correl of PC1 with transition 1.2 to 1.3, has very high correlation at t-23</t>
  </si>
  <si>
    <t>this is a useful relationship, rsq almost 0.5!</t>
  </si>
  <si>
    <t>PC1 is unknown, but following month is 2.5, assume same.</t>
  </si>
  <si>
    <t>gives</t>
  </si>
  <si>
    <t>assumed</t>
  </si>
  <si>
    <t>ln trans</t>
  </si>
  <si>
    <t>trans</t>
  </si>
  <si>
    <t>1.2 in2024</t>
  </si>
  <si>
    <t>pred 1.3</t>
  </si>
  <si>
    <t>Case:</t>
  </si>
  <si>
    <t>observations</t>
  </si>
  <si>
    <t>5years</t>
  </si>
  <si>
    <t>values relative to t-5</t>
  </si>
  <si>
    <t>Year</t>
  </si>
  <si>
    <t>Xt</t>
  </si>
  <si>
    <t>ln Rects</t>
  </si>
  <si>
    <t>deltaLnR</t>
  </si>
  <si>
    <t>lnRt-1</t>
  </si>
  <si>
    <t>lnRt-2</t>
  </si>
  <si>
    <t>lnRt-3</t>
  </si>
  <si>
    <t>lnRt-4</t>
  </si>
  <si>
    <t>lnRt-5</t>
  </si>
  <si>
    <t>sigma lnR</t>
  </si>
  <si>
    <t>bias adjustment based on recent 5 years</t>
  </si>
  <si>
    <t>bias-corrected prediction (not used)</t>
  </si>
  <si>
    <t>Comments</t>
  </si>
  <si>
    <t>2015 and 2016 seems to show no special relationship, suggesting no substantial El Nino effect.</t>
  </si>
  <si>
    <t>Trend since 2006 (linearized logs) gives 2024 value of</t>
  </si>
  <si>
    <t>which antilogs to</t>
  </si>
  <si>
    <t>2024 turned out to be right on the trend line</t>
  </si>
  <si>
    <t>use values since 2006 loss of pattern</t>
  </si>
  <si>
    <t>System</t>
  </si>
  <si>
    <t>River</t>
  </si>
  <si>
    <t>ReturnYear</t>
  </si>
  <si>
    <t>Total_Returns</t>
  </si>
  <si>
    <t>AC_1.1</t>
  </si>
  <si>
    <t>AC_1.2</t>
  </si>
  <si>
    <t>AC_1.3</t>
  </si>
  <si>
    <t>AC_1.4</t>
  </si>
  <si>
    <t>AC_2.1</t>
  </si>
  <si>
    <t>AC_2.2</t>
  </si>
  <si>
    <t>AC_2.3</t>
  </si>
  <si>
    <t>AC_2.4</t>
  </si>
  <si>
    <t>AC_3.2</t>
  </si>
  <si>
    <t>AC_3.3</t>
  </si>
  <si>
    <t>Bristol Bay</t>
  </si>
  <si>
    <t>LN 1.2</t>
  </si>
  <si>
    <t>LN1.3</t>
  </si>
  <si>
    <t>DIFFwPREV</t>
  </si>
  <si>
    <t>avg</t>
  </si>
  <si>
    <t xml:space="preserve">three Acs account for </t>
  </si>
  <si>
    <t>percent</t>
  </si>
  <si>
    <t>since '06</t>
  </si>
  <si>
    <t>2.2s fell by half, and 1.2s are now the most important</t>
  </si>
  <si>
    <t xml:space="preserve">1.2 was </t>
  </si>
  <si>
    <t>larger than right-hand point</t>
  </si>
  <si>
    <t>previous very large 1.2s almost always give 2 to 3m AC1.3s</t>
  </si>
  <si>
    <t>4 out of 5 cases</t>
  </si>
  <si>
    <t>looks like a declining limb!</t>
  </si>
  <si>
    <t>antiicipate</t>
  </si>
  <si>
    <t>compares with official</t>
  </si>
  <si>
    <t>4.14m</t>
  </si>
  <si>
    <t>official seems to use regression</t>
  </si>
  <si>
    <t xml:space="preserve">2.2 was </t>
  </si>
  <si>
    <t>giving</t>
  </si>
  <si>
    <t>0.34m</t>
  </si>
  <si>
    <t>this is in the middle range where regression seems to work</t>
  </si>
  <si>
    <t>1.1 was</t>
  </si>
  <si>
    <t>zero</t>
  </si>
  <si>
    <t>could use the intercept of 3m</t>
  </si>
  <si>
    <t>average of 1.2s from  zeros is 2.2m</t>
  </si>
  <si>
    <t>official forecast is 2.12m</t>
  </si>
  <si>
    <t>but the largest value is also the oldest</t>
  </si>
  <si>
    <t>the 4 most recent values average to 1.55m</t>
  </si>
  <si>
    <t>use recent</t>
  </si>
  <si>
    <t>but see discussion below</t>
  </si>
  <si>
    <t xml:space="preserve">post 2006 average of all other age classes is </t>
  </si>
  <si>
    <t>recent avg when 1.1 is zero</t>
  </si>
  <si>
    <t>average when 1.2 is large</t>
  </si>
  <si>
    <t>regression</t>
  </si>
  <si>
    <t>other</t>
  </si>
  <si>
    <t>total</t>
  </si>
  <si>
    <t>compares with official forecast of 7.38</t>
  </si>
  <si>
    <t>which is a considerable decline, and lower than recent years</t>
  </si>
  <si>
    <t>THIS WOULD BE LOWER THANTHE LAST 20 YEARS!</t>
  </si>
  <si>
    <t>the comps support a lower value because of zero 1.1s in 2024</t>
  </si>
  <si>
    <t>ENVIRO THINKS IT SHOULD INCREASE!</t>
  </si>
  <si>
    <t>recent trend suggest about 12M! Much larger</t>
  </si>
  <si>
    <t>zero 1.1s usually produces around 1m,  but has produced 2.6m and 4.8m in 2008 and 2012 (after the big environmental change)</t>
  </si>
  <si>
    <r>
      <t>if we assume that we will get</t>
    </r>
    <r>
      <rPr>
        <sz val="11"/>
        <color rgb="FFFF0000"/>
        <rFont val="Aptos Narrow"/>
        <family val="2"/>
        <scheme val="minor"/>
      </rPr>
      <t xml:space="preserve"> 4.8m 1.2s</t>
    </r>
    <r>
      <rPr>
        <sz val="11"/>
        <color theme="1"/>
        <rFont val="Aptos Narrow"/>
        <family val="2"/>
        <scheme val="minor"/>
      </rPr>
      <t xml:space="preserve"> the total prediction becomes</t>
    </r>
  </si>
  <si>
    <t>which is about the same as the official prediction</t>
  </si>
  <si>
    <t>large 1.2s does not guarantee large 1.3s, nearly 10m 1.2 is very large!</t>
  </si>
  <si>
    <t>and is similar to the 2023 run</t>
  </si>
  <si>
    <t>1.3s could be low or high (up to 5 to 7m sometimes)</t>
  </si>
  <si>
    <t>previous highest 8.5m gave only 2.6m 1.3s</t>
  </si>
  <si>
    <t>I THINK THE OFFICIAL PRED MAY HAVE BEEN WINSORIZED SO THAT EVERYTHING IS WITHIN PREVIOUSLY OBSERVED BOUNDS</t>
  </si>
  <si>
    <t>IF WE USE ENVIRONMENTAL EFFECT FROM PC1</t>
  </si>
  <si>
    <t>from PC1</t>
  </si>
  <si>
    <t>THIS IS ABOUT THE SAME AS 2024 AND LOOKS PLAUSIBLE</t>
  </si>
  <si>
    <t>ALSO FITS THE TREND NICELY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</si>
</sst>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0" fillId="0" borderId="0" xfId="0" applyNumberFormat="1"/>
    <xf numFmtId="0" fontId="0" fillId="0" borderId="1" xfId="0" applyBorder="1"/>
    <xf numFmtId="164" fontId="1" fillId="0" borderId="0" xfId="0" applyNumberFormat="1" applyFont="1"/>
    <xf numFmtId="1" fontId="0" fillId="0" borderId="0" xfId="0" applyNumberFormat="1"/>
    <xf numFmtId="0" fontId="3" fillId="0" borderId="0" xfId="0" applyFont="1"/>
    <xf numFmtId="0" fontId="0" fillId="0" borderId="2" xfId="0" applyBorder="1"/>
    <xf numFmtId="0" fontId="4" fillId="0" borderId="0" xfId="0" applyFont="1"/>
    <xf numFmtId="1" fontId="1" fillId="0" borderId="2" xfId="0" applyNumberFormat="1" applyFont="1" applyBorder="1"/>
    <xf numFmtId="1" fontId="0" fillId="0" borderId="0" xfId="0" quotePrefix="1" applyNumberFormat="1"/>
    <xf numFmtId="1" fontId="0" fillId="0" borderId="1" xfId="0" applyNumberFormat="1" applyBorder="1"/>
    <xf numFmtId="1" fontId="0" fillId="0" borderId="1" xfId="0" quotePrefix="1" applyNumberFormat="1" applyBorder="1"/>
    <xf numFmtId="165" fontId="0" fillId="0" borderId="0" xfId="1" applyNumberFormat="1" applyFont="1"/>
    <xf numFmtId="165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[1]CorTemplate!$G$7:$AU$7</c:f>
              <c:numCache>
                <c:formatCode>General</c:formatCode>
                <c:ptCount val="4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</c:numCache>
            </c:numRef>
          </c:xVal>
          <c:yVal>
            <c:numRef>
              <c:f>[1]CorTemplate!$G$5:$AU$5</c:f>
              <c:numCache>
                <c:formatCode>General</c:formatCode>
                <c:ptCount val="41"/>
                <c:pt idx="0">
                  <c:v>0.23250220767595539</c:v>
                </c:pt>
                <c:pt idx="1">
                  <c:v>0.19418495737894026</c:v>
                </c:pt>
                <c:pt idx="2">
                  <c:v>0.24480962492282948</c:v>
                </c:pt>
                <c:pt idx="3">
                  <c:v>0.17223421523244936</c:v>
                </c:pt>
                <c:pt idx="4">
                  <c:v>0.11419906818918081</c:v>
                </c:pt>
                <c:pt idx="5">
                  <c:v>0.2579026753096561</c:v>
                </c:pt>
                <c:pt idx="6">
                  <c:v>0.26056933640280466</c:v>
                </c:pt>
                <c:pt idx="7">
                  <c:v>0.24317859814811771</c:v>
                </c:pt>
                <c:pt idx="8">
                  <c:v>0.23271882222679649</c:v>
                </c:pt>
                <c:pt idx="9">
                  <c:v>0.17939586977624172</c:v>
                </c:pt>
                <c:pt idx="10">
                  <c:v>0.27123117035787181</c:v>
                </c:pt>
                <c:pt idx="11">
                  <c:v>0.3469047226065855</c:v>
                </c:pt>
                <c:pt idx="12">
                  <c:v>0.45182068630319128</c:v>
                </c:pt>
                <c:pt idx="13">
                  <c:v>0.3543722913029112</c:v>
                </c:pt>
                <c:pt idx="14">
                  <c:v>0.31166290284756998</c:v>
                </c:pt>
                <c:pt idx="15">
                  <c:v>0.33848075225612756</c:v>
                </c:pt>
                <c:pt idx="16">
                  <c:v>0.24207065961206078</c:v>
                </c:pt>
                <c:pt idx="17">
                  <c:v>0.31421534896795322</c:v>
                </c:pt>
                <c:pt idx="18">
                  <c:v>0.30173361634459944</c:v>
                </c:pt>
                <c:pt idx="19">
                  <c:v>0.34342066892694806</c:v>
                </c:pt>
                <c:pt idx="20">
                  <c:v>0.42605006226399789</c:v>
                </c:pt>
                <c:pt idx="21">
                  <c:v>0.39924915484704404</c:v>
                </c:pt>
                <c:pt idx="22">
                  <c:v>0.43677137512519842</c:v>
                </c:pt>
                <c:pt idx="23">
                  <c:v>0.4903756416006595</c:v>
                </c:pt>
                <c:pt idx="24">
                  <c:v>0.50357718221028069</c:v>
                </c:pt>
                <c:pt idx="25">
                  <c:v>0.43642354299234865</c:v>
                </c:pt>
                <c:pt idx="26">
                  <c:v>0.39491334064319572</c:v>
                </c:pt>
                <c:pt idx="27">
                  <c:v>0.29168503619934993</c:v>
                </c:pt>
                <c:pt idx="28">
                  <c:v>0.18503545015297554</c:v>
                </c:pt>
                <c:pt idx="29">
                  <c:v>0.18322866013093492</c:v>
                </c:pt>
                <c:pt idx="30">
                  <c:v>0.25986778197339788</c:v>
                </c:pt>
                <c:pt idx="31">
                  <c:v>0.25351675175491994</c:v>
                </c:pt>
                <c:pt idx="32">
                  <c:v>0.26279699201785972</c:v>
                </c:pt>
                <c:pt idx="33">
                  <c:v>0.17064659271504912</c:v>
                </c:pt>
                <c:pt idx="34">
                  <c:v>0.20698505503636089</c:v>
                </c:pt>
                <c:pt idx="35">
                  <c:v>0.24515131019009903</c:v>
                </c:pt>
                <c:pt idx="36">
                  <c:v>0.29944273231912383</c:v>
                </c:pt>
                <c:pt idx="37">
                  <c:v>0.33275297769843593</c:v>
                </c:pt>
                <c:pt idx="38">
                  <c:v>0.34778786657765137</c:v>
                </c:pt>
                <c:pt idx="39">
                  <c:v>0.40682254126251965</c:v>
                </c:pt>
                <c:pt idx="40">
                  <c:v>0.27106768349346116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5A-4058-8E06-DC110C642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592303"/>
        <c:axId val="427594223"/>
      </c:scatterChart>
      <c:valAx>
        <c:axId val="427592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94223"/>
        <c:crosses val="autoZero"/>
        <c:crossBetween val="midCat"/>
      </c:valAx>
      <c:valAx>
        <c:axId val="42759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92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Cors!$G$7:$AU$7</c:f>
              <c:numCache>
                <c:formatCode>General</c:formatCode>
                <c:ptCount val="4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</c:numCache>
            </c:numRef>
          </c:xVal>
          <c:yVal>
            <c:numRef>
              <c:f>Cors!$G$5:$AU$5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C1-4465-A7EB-A4F49B347F2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Cors!$G$7:$AU$7</c:f>
              <c:numCache>
                <c:formatCode>General</c:formatCode>
                <c:ptCount val="4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</c:numCache>
            </c:numRef>
          </c:xVal>
          <c:yVal>
            <c:numRef>
              <c:f>Cors!$G$4:$AU$4</c:f>
              <c:numCache>
                <c:formatCode>General</c:formatCode>
                <c:ptCount val="41"/>
                <c:pt idx="0">
                  <c:v>4.7919104555892197E-2</c:v>
                </c:pt>
                <c:pt idx="1">
                  <c:v>-6.9932952332816198E-2</c:v>
                </c:pt>
                <c:pt idx="2">
                  <c:v>-0.1154362601131497</c:v>
                </c:pt>
                <c:pt idx="3">
                  <c:v>-0.20501896396528735</c:v>
                </c:pt>
                <c:pt idx="4">
                  <c:v>-0.31116811443956705</c:v>
                </c:pt>
                <c:pt idx="5">
                  <c:v>-0.22157795355766641</c:v>
                </c:pt>
                <c:pt idx="6">
                  <c:v>5.1213553893402146E-2</c:v>
                </c:pt>
                <c:pt idx="7">
                  <c:v>-8.6803064877244263E-2</c:v>
                </c:pt>
                <c:pt idx="8">
                  <c:v>-0.17280692770541783</c:v>
                </c:pt>
                <c:pt idx="9">
                  <c:v>-0.13765980261906077</c:v>
                </c:pt>
                <c:pt idx="10">
                  <c:v>-2.4123525451052268E-2</c:v>
                </c:pt>
                <c:pt idx="11">
                  <c:v>-1.6465047539136414E-3</c:v>
                </c:pt>
                <c:pt idx="12">
                  <c:v>0.23319893570259931</c:v>
                </c:pt>
                <c:pt idx="13">
                  <c:v>0.38290810496762551</c:v>
                </c:pt>
                <c:pt idx="14">
                  <c:v>0.3019040458340998</c:v>
                </c:pt>
                <c:pt idx="15">
                  <c:v>0.56170423802269021</c:v>
                </c:pt>
                <c:pt idx="16">
                  <c:v>0.39689985516155335</c:v>
                </c:pt>
                <c:pt idx="17">
                  <c:v>0.53094246114468324</c:v>
                </c:pt>
                <c:pt idx="18">
                  <c:v>0.32218664165720357</c:v>
                </c:pt>
                <c:pt idx="19">
                  <c:v>0.4517619699823382</c:v>
                </c:pt>
                <c:pt idx="20">
                  <c:v>0.56513864864949337</c:v>
                </c:pt>
                <c:pt idx="21">
                  <c:v>0.59201976329267492</c:v>
                </c:pt>
                <c:pt idx="22">
                  <c:v>0.67947682524497488</c:v>
                </c:pt>
                <c:pt idx="23">
                  <c:v>0.69121796080875419</c:v>
                </c:pt>
                <c:pt idx="24">
                  <c:v>0.54452886873007511</c:v>
                </c:pt>
                <c:pt idx="25">
                  <c:v>0.41299974299193298</c:v>
                </c:pt>
                <c:pt idx="26">
                  <c:v>0.36408973509004344</c:v>
                </c:pt>
                <c:pt idx="27">
                  <c:v>0.18940036387742568</c:v>
                </c:pt>
                <c:pt idx="28">
                  <c:v>0.27593962364520158</c:v>
                </c:pt>
                <c:pt idx="29">
                  <c:v>0.40034258842564857</c:v>
                </c:pt>
                <c:pt idx="30">
                  <c:v>0.36573387195326812</c:v>
                </c:pt>
                <c:pt idx="31">
                  <c:v>0.35380962317533005</c:v>
                </c:pt>
                <c:pt idx="32">
                  <c:v>0.29761522592298062</c:v>
                </c:pt>
                <c:pt idx="33">
                  <c:v>0.28636362725030451</c:v>
                </c:pt>
                <c:pt idx="34">
                  <c:v>0.22932678700255882</c:v>
                </c:pt>
                <c:pt idx="35">
                  <c:v>0.25644748276927803</c:v>
                </c:pt>
                <c:pt idx="36">
                  <c:v>0.47975586330689501</c:v>
                </c:pt>
                <c:pt idx="37">
                  <c:v>0.43257980627816767</c:v>
                </c:pt>
                <c:pt idx="38">
                  <c:v>0.55242696941269143</c:v>
                </c:pt>
                <c:pt idx="39">
                  <c:v>0.43553047509015846</c:v>
                </c:pt>
                <c:pt idx="40">
                  <c:v>0.49402129124999772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5B-4CFC-9C9A-BC8763EF0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392207"/>
        <c:axId val="354392687"/>
      </c:scatterChart>
      <c:valAx>
        <c:axId val="35439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392687"/>
        <c:crosses val="autoZero"/>
        <c:crossBetween val="midCat"/>
      </c:valAx>
      <c:valAx>
        <c:axId val="35439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392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 ratio 1.3/1.2 vs PC1(t-23)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6976159230096237E-2"/>
                  <c:y val="0.431529965004374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Cors!$AD$35:$AD$52</c:f>
              <c:numCache>
                <c:formatCode>0.000</c:formatCode>
                <c:ptCount val="18"/>
                <c:pt idx="0">
                  <c:v>0.3387690722692363</c:v>
                </c:pt>
                <c:pt idx="1">
                  <c:v>1.816965704619234</c:v>
                </c:pt>
                <c:pt idx="2">
                  <c:v>2.5920905191692314</c:v>
                </c:pt>
                <c:pt idx="3">
                  <c:v>3.7396919383692429</c:v>
                </c:pt>
                <c:pt idx="4">
                  <c:v>1.0325521682292274</c:v>
                </c:pt>
                <c:pt idx="5">
                  <c:v>3.3288297101692361</c:v>
                </c:pt>
                <c:pt idx="6">
                  <c:v>2.754497701969234</c:v>
                </c:pt>
                <c:pt idx="7">
                  <c:v>2.4713739030692272</c:v>
                </c:pt>
                <c:pt idx="8">
                  <c:v>3.176564167829234</c:v>
                </c:pt>
                <c:pt idx="9">
                  <c:v>1.5207169755392274</c:v>
                </c:pt>
                <c:pt idx="10">
                  <c:v>-0.92363914943077907</c:v>
                </c:pt>
                <c:pt idx="11">
                  <c:v>1.1669819309692406</c:v>
                </c:pt>
                <c:pt idx="12">
                  <c:v>0.86056713492922976</c:v>
                </c:pt>
                <c:pt idx="13">
                  <c:v>1.4889856663692449</c:v>
                </c:pt>
                <c:pt idx="14">
                  <c:v>0.73665835736922736</c:v>
                </c:pt>
                <c:pt idx="15">
                  <c:v>1.9575282925692208</c:v>
                </c:pt>
                <c:pt idx="16">
                  <c:v>2.8356994875692361</c:v>
                </c:pt>
                <c:pt idx="17">
                  <c:v>3.4192657767092252</c:v>
                </c:pt>
              </c:numCache>
            </c:numRef>
          </c:xVal>
          <c:yVal>
            <c:numRef>
              <c:f>Cors!$D$35:$D$51</c:f>
              <c:numCache>
                <c:formatCode>General</c:formatCode>
                <c:ptCount val="17"/>
                <c:pt idx="0">
                  <c:v>-0.6636461144668484</c:v>
                </c:pt>
                <c:pt idx="1">
                  <c:v>-1.1087558276462417</c:v>
                </c:pt>
                <c:pt idx="2">
                  <c:v>-0.49305876424242001</c:v>
                </c:pt>
                <c:pt idx="3">
                  <c:v>0.48320073643252925</c:v>
                </c:pt>
                <c:pt idx="4">
                  <c:v>-0.30451379604088125</c:v>
                </c:pt>
                <c:pt idx="5">
                  <c:v>0.18346352163542434</c:v>
                </c:pt>
                <c:pt idx="6">
                  <c:v>-0.32771831264964746</c:v>
                </c:pt>
                <c:pt idx="7">
                  <c:v>0.30172086844192236</c:v>
                </c:pt>
                <c:pt idx="8">
                  <c:v>-8.8210281096225529E-2</c:v>
                </c:pt>
                <c:pt idx="9">
                  <c:v>-0.27167275859919826</c:v>
                </c:pt>
                <c:pt idx="10">
                  <c:v>-1.1818300005744291</c:v>
                </c:pt>
                <c:pt idx="11">
                  <c:v>-0.2863096441956543</c:v>
                </c:pt>
                <c:pt idx="12">
                  <c:v>-0.77156714908261037</c:v>
                </c:pt>
                <c:pt idx="13">
                  <c:v>0.20762772579595179</c:v>
                </c:pt>
                <c:pt idx="14">
                  <c:v>-0.33874503455124305</c:v>
                </c:pt>
                <c:pt idx="15">
                  <c:v>-0.21676672541642006</c:v>
                </c:pt>
                <c:pt idx="16">
                  <c:v>-0.13664613672834491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F1-4DF0-AE49-4A6F76B54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505503"/>
        <c:axId val="48507423"/>
      </c:scatterChart>
      <c:valAx>
        <c:axId val="4850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07423"/>
        <c:crosses val="autoZero"/>
        <c:crossBetween val="midCat"/>
      </c:valAx>
      <c:valAx>
        <c:axId val="4850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05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Cors!$G$7:$AU$7</c:f>
              <c:numCache>
                <c:formatCode>General</c:formatCode>
                <c:ptCount val="4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</c:numCache>
            </c:numRef>
          </c:xVal>
          <c:yVal>
            <c:numRef>
              <c:f>Cors!$G$5:$AU$5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B3-46D4-BC3E-8FDFB388C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392207"/>
        <c:axId val="354392687"/>
      </c:scatterChart>
      <c:valAx>
        <c:axId val="35439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392687"/>
        <c:crosses val="autoZero"/>
        <c:crossBetween val="midCat"/>
      </c:valAx>
      <c:valAx>
        <c:axId val="35439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392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515748031496063"/>
                  <c:y val="0.242715077282006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Cors!$AD$10:$AD$33</c:f>
              <c:numCache>
                <c:formatCode>0.000</c:formatCode>
                <c:ptCount val="24"/>
                <c:pt idx="0">
                  <c:v>1.8719868955192429</c:v>
                </c:pt>
                <c:pt idx="1">
                  <c:v>1.0093508307130274</c:v>
                </c:pt>
                <c:pt idx="2">
                  <c:v>0.28020932696923401</c:v>
                </c:pt>
                <c:pt idx="3">
                  <c:v>-1.4051694421937548</c:v>
                </c:pt>
                <c:pt idx="4">
                  <c:v>2.1734786425192314</c:v>
                </c:pt>
                <c:pt idx="5">
                  <c:v>2.1399495708212228</c:v>
                </c:pt>
                <c:pt idx="6">
                  <c:v>0.75677649209923836</c:v>
                </c:pt>
                <c:pt idx="7">
                  <c:v>-0.85776481624076351</c:v>
                </c:pt>
                <c:pt idx="8">
                  <c:v>2.838481122869227</c:v>
                </c:pt>
                <c:pt idx="9">
                  <c:v>2.5792642141692426</c:v>
                </c:pt>
                <c:pt idx="10">
                  <c:v>1.4473524387232231</c:v>
                </c:pt>
                <c:pt idx="11">
                  <c:v>1.5908299070092362</c:v>
                </c:pt>
                <c:pt idx="12">
                  <c:v>-1.121383650430777</c:v>
                </c:pt>
                <c:pt idx="13">
                  <c:v>-1.2440622765307658</c:v>
                </c:pt>
                <c:pt idx="14">
                  <c:v>1.4165573207592337</c:v>
                </c:pt>
                <c:pt idx="15">
                  <c:v>0.55404742496924286</c:v>
                </c:pt>
                <c:pt idx="16">
                  <c:v>1.766043151369225</c:v>
                </c:pt>
                <c:pt idx="17">
                  <c:v>-2.2607291906107592</c:v>
                </c:pt>
                <c:pt idx="18">
                  <c:v>2.0395898820592362</c:v>
                </c:pt>
                <c:pt idx="19">
                  <c:v>4.0284021538692274</c:v>
                </c:pt>
                <c:pt idx="20">
                  <c:v>3.2955469341692334</c:v>
                </c:pt>
                <c:pt idx="21">
                  <c:v>3.2077139517692337</c:v>
                </c:pt>
                <c:pt idx="22">
                  <c:v>1.4205022298692254</c:v>
                </c:pt>
                <c:pt idx="23">
                  <c:v>1.538133375409245</c:v>
                </c:pt>
              </c:numCache>
            </c:numRef>
          </c:xVal>
          <c:yVal>
            <c:numRef>
              <c:f>Cors!$D$10:$D$33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D1-4D85-B367-D4F749B9899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168372703412079"/>
                  <c:y val="0.3741291192767571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rgbClr val="FF0000"/>
                        </a:solidFill>
                      </a:rPr>
                      <a:t>y = 0.1482x + 15.767</a:t>
                    </a:r>
                    <a:br>
                      <a:rPr lang="en-US" baseline="0">
                        <a:solidFill>
                          <a:srgbClr val="FF0000"/>
                        </a:solidFill>
                      </a:rPr>
                    </a:br>
                    <a:r>
                      <a:rPr lang="en-US" baseline="0">
                        <a:solidFill>
                          <a:srgbClr val="FF0000"/>
                        </a:solidFill>
                      </a:rPr>
                      <a:t>R² = 0.2056</a:t>
                    </a:r>
                    <a:endParaRPr lang="en-US">
                      <a:solidFill>
                        <a:srgbClr val="FF000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Cors!$AD$34:$AD$52</c:f>
              <c:numCache>
                <c:formatCode>0.000</c:formatCode>
                <c:ptCount val="19"/>
                <c:pt idx="0">
                  <c:v>1.9188675702592293</c:v>
                </c:pt>
                <c:pt idx="1">
                  <c:v>0.3387690722692363</c:v>
                </c:pt>
                <c:pt idx="2">
                  <c:v>1.816965704619234</c:v>
                </c:pt>
                <c:pt idx="3">
                  <c:v>2.5920905191692314</c:v>
                </c:pt>
                <c:pt idx="4">
                  <c:v>3.7396919383692429</c:v>
                </c:pt>
                <c:pt idx="5">
                  <c:v>1.0325521682292274</c:v>
                </c:pt>
                <c:pt idx="6">
                  <c:v>3.3288297101692361</c:v>
                </c:pt>
                <c:pt idx="7">
                  <c:v>2.754497701969234</c:v>
                </c:pt>
                <c:pt idx="8">
                  <c:v>2.4713739030692272</c:v>
                </c:pt>
                <c:pt idx="9">
                  <c:v>3.176564167829234</c:v>
                </c:pt>
                <c:pt idx="10">
                  <c:v>1.5207169755392274</c:v>
                </c:pt>
                <c:pt idx="11">
                  <c:v>-0.92363914943077907</c:v>
                </c:pt>
                <c:pt idx="12">
                  <c:v>1.1669819309692406</c:v>
                </c:pt>
                <c:pt idx="13">
                  <c:v>0.86056713492922976</c:v>
                </c:pt>
                <c:pt idx="14">
                  <c:v>1.4889856663692449</c:v>
                </c:pt>
                <c:pt idx="15">
                  <c:v>0.73665835736922736</c:v>
                </c:pt>
                <c:pt idx="16">
                  <c:v>1.9575282925692208</c:v>
                </c:pt>
                <c:pt idx="17">
                  <c:v>2.8356994875692361</c:v>
                </c:pt>
                <c:pt idx="18">
                  <c:v>3.4192657767092252</c:v>
                </c:pt>
              </c:numCache>
            </c:numRef>
          </c:xVal>
          <c:yVal>
            <c:numRef>
              <c:f>Cors!$D$34:$D$52</c:f>
              <c:numCache>
                <c:formatCode>General</c:formatCode>
                <c:ptCount val="19"/>
                <c:pt idx="1">
                  <c:v>-0.6636461144668484</c:v>
                </c:pt>
                <c:pt idx="2">
                  <c:v>-1.1087558276462417</c:v>
                </c:pt>
                <c:pt idx="3">
                  <c:v>-0.49305876424242001</c:v>
                </c:pt>
                <c:pt idx="4">
                  <c:v>0.48320073643252925</c:v>
                </c:pt>
                <c:pt idx="5">
                  <c:v>-0.30451379604088125</c:v>
                </c:pt>
                <c:pt idx="6">
                  <c:v>0.18346352163542434</c:v>
                </c:pt>
                <c:pt idx="7">
                  <c:v>-0.32771831264964746</c:v>
                </c:pt>
                <c:pt idx="8">
                  <c:v>0.30172086844192236</c:v>
                </c:pt>
                <c:pt idx="9">
                  <c:v>-8.8210281096225529E-2</c:v>
                </c:pt>
                <c:pt idx="10">
                  <c:v>-0.27167275859919826</c:v>
                </c:pt>
                <c:pt idx="11">
                  <c:v>-1.1818300005744291</c:v>
                </c:pt>
                <c:pt idx="12">
                  <c:v>-0.2863096441956543</c:v>
                </c:pt>
                <c:pt idx="13">
                  <c:v>-0.77156714908261037</c:v>
                </c:pt>
                <c:pt idx="14">
                  <c:v>0.20762772579595179</c:v>
                </c:pt>
                <c:pt idx="15">
                  <c:v>-0.33874503455124305</c:v>
                </c:pt>
                <c:pt idx="16">
                  <c:v>-0.21676672541642006</c:v>
                </c:pt>
                <c:pt idx="17">
                  <c:v>-0.13664613672834491</c:v>
                </c:pt>
                <c:pt idx="18">
                  <c:v>-5.3187465897336139E-2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D1-4D85-B367-D4F749B98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624623"/>
        <c:axId val="1871620783"/>
      </c:scatterChart>
      <c:valAx>
        <c:axId val="187162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620783"/>
        <c:crosses val="autoZero"/>
        <c:crossBetween val="midCat"/>
      </c:valAx>
      <c:valAx>
        <c:axId val="1871620783"/>
        <c:scaling>
          <c:orientation val="minMax"/>
          <c:min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624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 1.2S VS pc1(t-9)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089151356080492"/>
                  <c:y val="9.306430446194226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Cors!$P$34:$P$51</c:f>
              <c:numCache>
                <c:formatCode>0.000</c:formatCode>
                <c:ptCount val="18"/>
                <c:pt idx="0">
                  <c:v>1.3496924048692274</c:v>
                </c:pt>
                <c:pt idx="1">
                  <c:v>1.789928194669234</c:v>
                </c:pt>
                <c:pt idx="2">
                  <c:v>2.7815152350692447</c:v>
                </c:pt>
                <c:pt idx="3">
                  <c:v>3.3034292364692428</c:v>
                </c:pt>
                <c:pt idx="4">
                  <c:v>1.2312497751892382</c:v>
                </c:pt>
                <c:pt idx="5">
                  <c:v>5.3692223996192361</c:v>
                </c:pt>
                <c:pt idx="6">
                  <c:v>3.303517913359225</c:v>
                </c:pt>
                <c:pt idx="7">
                  <c:v>3.1158533679692386</c:v>
                </c:pt>
                <c:pt idx="8">
                  <c:v>2.441292262069223</c:v>
                </c:pt>
                <c:pt idx="9">
                  <c:v>0.71163629737922962</c:v>
                </c:pt>
                <c:pt idx="10">
                  <c:v>-1.5252614967307725</c:v>
                </c:pt>
                <c:pt idx="11">
                  <c:v>2.8199650322192427</c:v>
                </c:pt>
                <c:pt idx="12">
                  <c:v>2.0752345825592298</c:v>
                </c:pt>
                <c:pt idx="13">
                  <c:v>1.1295069963692277</c:v>
                </c:pt>
                <c:pt idx="14">
                  <c:v>0.59593210106922745</c:v>
                </c:pt>
                <c:pt idx="15">
                  <c:v>2.4282919043692339</c:v>
                </c:pt>
                <c:pt idx="16">
                  <c:v>2.8442826277692275</c:v>
                </c:pt>
                <c:pt idx="17">
                  <c:v>4.1160447731392207</c:v>
                </c:pt>
              </c:numCache>
            </c:numRef>
          </c:xVal>
          <c:yVal>
            <c:numRef>
              <c:f>Cors!$D$34:$D$51</c:f>
              <c:numCache>
                <c:formatCode>General</c:formatCode>
                <c:ptCount val="18"/>
                <c:pt idx="1">
                  <c:v>-0.6636461144668484</c:v>
                </c:pt>
                <c:pt idx="2">
                  <c:v>-1.1087558276462417</c:v>
                </c:pt>
                <c:pt idx="3">
                  <c:v>-0.49305876424242001</c:v>
                </c:pt>
                <c:pt idx="4">
                  <c:v>0.48320073643252925</c:v>
                </c:pt>
                <c:pt idx="5">
                  <c:v>-0.30451379604088125</c:v>
                </c:pt>
                <c:pt idx="6">
                  <c:v>0.18346352163542434</c:v>
                </c:pt>
                <c:pt idx="7">
                  <c:v>-0.32771831264964746</c:v>
                </c:pt>
                <c:pt idx="8">
                  <c:v>0.30172086844192236</c:v>
                </c:pt>
                <c:pt idx="9">
                  <c:v>-8.8210281096225529E-2</c:v>
                </c:pt>
                <c:pt idx="10">
                  <c:v>-0.27167275859919826</c:v>
                </c:pt>
                <c:pt idx="11">
                  <c:v>-1.1818300005744291</c:v>
                </c:pt>
                <c:pt idx="12">
                  <c:v>-0.2863096441956543</c:v>
                </c:pt>
                <c:pt idx="13">
                  <c:v>-0.77156714908261037</c:v>
                </c:pt>
                <c:pt idx="14">
                  <c:v>0.20762772579595179</c:v>
                </c:pt>
                <c:pt idx="15">
                  <c:v>-0.33874503455124305</c:v>
                </c:pt>
                <c:pt idx="16">
                  <c:v>-0.21676672541642006</c:v>
                </c:pt>
                <c:pt idx="17">
                  <c:v>-0.13664613672834491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07-46A8-8A0C-D41D389E0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623663"/>
        <c:axId val="1871625103"/>
      </c:scatterChart>
      <c:valAx>
        <c:axId val="187162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625103"/>
        <c:crosses val="autoZero"/>
        <c:crossBetween val="midCat"/>
      </c:valAx>
      <c:valAx>
        <c:axId val="187162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62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Cors!$G$7:$AU$7</c:f>
              <c:numCache>
                <c:formatCode>General</c:formatCode>
                <c:ptCount val="4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</c:numCache>
            </c:numRef>
          </c:xVal>
          <c:yVal>
            <c:numRef>
              <c:f>Cors!$G$5:$AU$5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F7-48AA-BAA3-0A288AB698F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Cors!$G$7:$AU$7</c:f>
              <c:numCache>
                <c:formatCode>General</c:formatCode>
                <c:ptCount val="4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</c:numCache>
            </c:numRef>
          </c:xVal>
          <c:yVal>
            <c:numRef>
              <c:f>Cors!$G$4:$AU$4</c:f>
              <c:numCache>
                <c:formatCode>General</c:formatCode>
                <c:ptCount val="41"/>
                <c:pt idx="0">
                  <c:v>4.7919104555892197E-2</c:v>
                </c:pt>
                <c:pt idx="1">
                  <c:v>-6.9932952332816198E-2</c:v>
                </c:pt>
                <c:pt idx="2">
                  <c:v>-0.1154362601131497</c:v>
                </c:pt>
                <c:pt idx="3">
                  <c:v>-0.20501896396528735</c:v>
                </c:pt>
                <c:pt idx="4">
                  <c:v>-0.31116811443956705</c:v>
                </c:pt>
                <c:pt idx="5">
                  <c:v>-0.22157795355766641</c:v>
                </c:pt>
                <c:pt idx="6">
                  <c:v>5.1213553893402146E-2</c:v>
                </c:pt>
                <c:pt idx="7">
                  <c:v>-8.6803064877244263E-2</c:v>
                </c:pt>
                <c:pt idx="8">
                  <c:v>-0.17280692770541783</c:v>
                </c:pt>
                <c:pt idx="9">
                  <c:v>-0.13765980261906077</c:v>
                </c:pt>
                <c:pt idx="10">
                  <c:v>-2.4123525451052268E-2</c:v>
                </c:pt>
                <c:pt idx="11">
                  <c:v>-1.6465047539136414E-3</c:v>
                </c:pt>
                <c:pt idx="12">
                  <c:v>0.23319893570259931</c:v>
                </c:pt>
                <c:pt idx="13">
                  <c:v>0.38290810496762551</c:v>
                </c:pt>
                <c:pt idx="14">
                  <c:v>0.3019040458340998</c:v>
                </c:pt>
                <c:pt idx="15">
                  <c:v>0.56170423802269021</c:v>
                </c:pt>
                <c:pt idx="16">
                  <c:v>0.39689985516155335</c:v>
                </c:pt>
                <c:pt idx="17">
                  <c:v>0.53094246114468324</c:v>
                </c:pt>
                <c:pt idx="18">
                  <c:v>0.32218664165720357</c:v>
                </c:pt>
                <c:pt idx="19">
                  <c:v>0.4517619699823382</c:v>
                </c:pt>
                <c:pt idx="20">
                  <c:v>0.56513864864949337</c:v>
                </c:pt>
                <c:pt idx="21">
                  <c:v>0.59201976329267492</c:v>
                </c:pt>
                <c:pt idx="22">
                  <c:v>0.67947682524497488</c:v>
                </c:pt>
                <c:pt idx="23">
                  <c:v>0.69121796080875419</c:v>
                </c:pt>
                <c:pt idx="24">
                  <c:v>0.54452886873007511</c:v>
                </c:pt>
                <c:pt idx="25">
                  <c:v>0.41299974299193298</c:v>
                </c:pt>
                <c:pt idx="26">
                  <c:v>0.36408973509004344</c:v>
                </c:pt>
                <c:pt idx="27">
                  <c:v>0.18940036387742568</c:v>
                </c:pt>
                <c:pt idx="28">
                  <c:v>0.27593962364520158</c:v>
                </c:pt>
                <c:pt idx="29">
                  <c:v>0.40034258842564857</c:v>
                </c:pt>
                <c:pt idx="30">
                  <c:v>0.36573387195326812</c:v>
                </c:pt>
                <c:pt idx="31">
                  <c:v>0.35380962317533005</c:v>
                </c:pt>
                <c:pt idx="32">
                  <c:v>0.29761522592298062</c:v>
                </c:pt>
                <c:pt idx="33">
                  <c:v>0.28636362725030451</c:v>
                </c:pt>
                <c:pt idx="34">
                  <c:v>0.22932678700255882</c:v>
                </c:pt>
                <c:pt idx="35">
                  <c:v>0.25644748276927803</c:v>
                </c:pt>
                <c:pt idx="36">
                  <c:v>0.47975586330689501</c:v>
                </c:pt>
                <c:pt idx="37">
                  <c:v>0.43257980627816767</c:v>
                </c:pt>
                <c:pt idx="38">
                  <c:v>0.55242696941269143</c:v>
                </c:pt>
                <c:pt idx="39">
                  <c:v>0.43553047509015846</c:v>
                </c:pt>
                <c:pt idx="40">
                  <c:v>0.49402129124999772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F7-48AA-BAA3-0A288AB69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392207"/>
        <c:axId val="354392687"/>
      </c:scatterChart>
      <c:valAx>
        <c:axId val="35439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392687"/>
        <c:crosses val="autoZero"/>
        <c:crossBetween val="midCat"/>
      </c:valAx>
      <c:valAx>
        <c:axId val="35439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392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[2]Kvichak!$B$4:$B$65</c:f>
              <c:numCache>
                <c:formatCode>General</c:formatCode>
                <c:ptCount val="62"/>
                <c:pt idx="0">
                  <c:v>1963</c:v>
                </c:pt>
                <c:pt idx="1">
                  <c:v>1964</c:v>
                </c:pt>
                <c:pt idx="2">
                  <c:v>1965</c:v>
                </c:pt>
                <c:pt idx="3">
                  <c:v>1966</c:v>
                </c:pt>
                <c:pt idx="4">
                  <c:v>1967</c:v>
                </c:pt>
                <c:pt idx="5">
                  <c:v>1968</c:v>
                </c:pt>
                <c:pt idx="6">
                  <c:v>1969</c:v>
                </c:pt>
                <c:pt idx="7">
                  <c:v>1970</c:v>
                </c:pt>
                <c:pt idx="8">
                  <c:v>1971</c:v>
                </c:pt>
                <c:pt idx="9">
                  <c:v>1972</c:v>
                </c:pt>
                <c:pt idx="10">
                  <c:v>1973</c:v>
                </c:pt>
                <c:pt idx="11">
                  <c:v>1974</c:v>
                </c:pt>
                <c:pt idx="12">
                  <c:v>1975</c:v>
                </c:pt>
                <c:pt idx="13">
                  <c:v>1976</c:v>
                </c:pt>
                <c:pt idx="14">
                  <c:v>1977</c:v>
                </c:pt>
                <c:pt idx="15">
                  <c:v>1978</c:v>
                </c:pt>
                <c:pt idx="16">
                  <c:v>1979</c:v>
                </c:pt>
                <c:pt idx="17">
                  <c:v>1980</c:v>
                </c:pt>
                <c:pt idx="18">
                  <c:v>1981</c:v>
                </c:pt>
                <c:pt idx="19">
                  <c:v>1982</c:v>
                </c:pt>
                <c:pt idx="20">
                  <c:v>1983</c:v>
                </c:pt>
                <c:pt idx="21">
                  <c:v>1984</c:v>
                </c:pt>
                <c:pt idx="22">
                  <c:v>1985</c:v>
                </c:pt>
                <c:pt idx="23">
                  <c:v>1986</c:v>
                </c:pt>
                <c:pt idx="24">
                  <c:v>1987</c:v>
                </c:pt>
                <c:pt idx="25">
                  <c:v>1988</c:v>
                </c:pt>
                <c:pt idx="26">
                  <c:v>1989</c:v>
                </c:pt>
                <c:pt idx="27">
                  <c:v>1990</c:v>
                </c:pt>
                <c:pt idx="28">
                  <c:v>1991</c:v>
                </c:pt>
                <c:pt idx="29">
                  <c:v>1992</c:v>
                </c:pt>
                <c:pt idx="30">
                  <c:v>1993</c:v>
                </c:pt>
                <c:pt idx="31">
                  <c:v>1994</c:v>
                </c:pt>
                <c:pt idx="32">
                  <c:v>1995</c:v>
                </c:pt>
                <c:pt idx="33">
                  <c:v>1996</c:v>
                </c:pt>
                <c:pt idx="34">
                  <c:v>1997</c:v>
                </c:pt>
                <c:pt idx="35">
                  <c:v>1998</c:v>
                </c:pt>
                <c:pt idx="36">
                  <c:v>1999</c:v>
                </c:pt>
                <c:pt idx="37">
                  <c:v>2000</c:v>
                </c:pt>
                <c:pt idx="38">
                  <c:v>2001</c:v>
                </c:pt>
                <c:pt idx="39">
                  <c:v>2002</c:v>
                </c:pt>
                <c:pt idx="40">
                  <c:v>2003</c:v>
                </c:pt>
                <c:pt idx="41">
                  <c:v>2004</c:v>
                </c:pt>
                <c:pt idx="42">
                  <c:v>2005</c:v>
                </c:pt>
                <c:pt idx="43">
                  <c:v>2006</c:v>
                </c:pt>
                <c:pt idx="44">
                  <c:v>2007</c:v>
                </c:pt>
                <c:pt idx="45">
                  <c:v>2008</c:v>
                </c:pt>
                <c:pt idx="46">
                  <c:v>2009</c:v>
                </c:pt>
                <c:pt idx="47">
                  <c:v>2010</c:v>
                </c:pt>
                <c:pt idx="48">
                  <c:v>2011</c:v>
                </c:pt>
                <c:pt idx="49">
                  <c:v>2012</c:v>
                </c:pt>
                <c:pt idx="50">
                  <c:v>2013</c:v>
                </c:pt>
                <c:pt idx="51">
                  <c:v>2014</c:v>
                </c:pt>
                <c:pt idx="52">
                  <c:v>2015</c:v>
                </c:pt>
                <c:pt idx="53">
                  <c:v>2016</c:v>
                </c:pt>
                <c:pt idx="54">
                  <c:v>2017</c:v>
                </c:pt>
                <c:pt idx="55">
                  <c:v>2018</c:v>
                </c:pt>
                <c:pt idx="56">
                  <c:v>2019</c:v>
                </c:pt>
                <c:pt idx="57">
                  <c:v>2020</c:v>
                </c:pt>
                <c:pt idx="58">
                  <c:v>2021</c:v>
                </c:pt>
                <c:pt idx="59">
                  <c:v>2022</c:v>
                </c:pt>
                <c:pt idx="60">
                  <c:v>2023</c:v>
                </c:pt>
                <c:pt idx="61">
                  <c:v>2024</c:v>
                </c:pt>
              </c:numCache>
            </c:numRef>
          </c:xVal>
          <c:yVal>
            <c:numRef>
              <c:f>[2]Kvichak!$C$4:$C$65</c:f>
              <c:numCache>
                <c:formatCode>General</c:formatCode>
                <c:ptCount val="62"/>
                <c:pt idx="0">
                  <c:v>615338.55229560297</c:v>
                </c:pt>
                <c:pt idx="1">
                  <c:v>2181685.0607216302</c:v>
                </c:pt>
                <c:pt idx="2">
                  <c:v>48627304.918511003</c:v>
                </c:pt>
                <c:pt idx="3">
                  <c:v>8915532.9824190103</c:v>
                </c:pt>
                <c:pt idx="4">
                  <c:v>5545422.5274835099</c:v>
                </c:pt>
                <c:pt idx="5">
                  <c:v>3975964.0956830098</c:v>
                </c:pt>
                <c:pt idx="6">
                  <c:v>14054748.968049999</c:v>
                </c:pt>
                <c:pt idx="7">
                  <c:v>34839684.715581</c:v>
                </c:pt>
                <c:pt idx="8">
                  <c:v>6978106.7842170298</c:v>
                </c:pt>
                <c:pt idx="9">
                  <c:v>2132286.5784802702</c:v>
                </c:pt>
                <c:pt idx="10">
                  <c:v>410486.62934340502</c:v>
                </c:pt>
                <c:pt idx="11">
                  <c:v>5061353.0873880098</c:v>
                </c:pt>
                <c:pt idx="12">
                  <c:v>16219630.699003</c:v>
                </c:pt>
                <c:pt idx="13">
                  <c:v>3545332.4575000401</c:v>
                </c:pt>
                <c:pt idx="14">
                  <c:v>1675472.2523318001</c:v>
                </c:pt>
                <c:pt idx="15">
                  <c:v>7919094.2169210697</c:v>
                </c:pt>
                <c:pt idx="16">
                  <c:v>24927042.451058</c:v>
                </c:pt>
                <c:pt idx="17">
                  <c:v>37931680.055286199</c:v>
                </c:pt>
                <c:pt idx="18">
                  <c:v>6901353.487857</c:v>
                </c:pt>
                <c:pt idx="19">
                  <c:v>2811875.1391500002</c:v>
                </c:pt>
                <c:pt idx="20">
                  <c:v>21496871.561402999</c:v>
                </c:pt>
                <c:pt idx="21">
                  <c:v>23930917.962620001</c:v>
                </c:pt>
                <c:pt idx="22">
                  <c:v>14093497.289049</c:v>
                </c:pt>
                <c:pt idx="23">
                  <c:v>2012448.6116129099</c:v>
                </c:pt>
                <c:pt idx="24">
                  <c:v>10318113.254788101</c:v>
                </c:pt>
                <c:pt idx="25">
                  <c:v>6860048.6126930099</c:v>
                </c:pt>
                <c:pt idx="26">
                  <c:v>20484408.004480999</c:v>
                </c:pt>
                <c:pt idx="27">
                  <c:v>18192988.959779002</c:v>
                </c:pt>
                <c:pt idx="28">
                  <c:v>8613126.7931474093</c:v>
                </c:pt>
                <c:pt idx="29">
                  <c:v>10628639.807515001</c:v>
                </c:pt>
                <c:pt idx="30">
                  <c:v>8064870.9306939198</c:v>
                </c:pt>
                <c:pt idx="31">
                  <c:v>21592336.784862999</c:v>
                </c:pt>
                <c:pt idx="32">
                  <c:v>28426663.093738001</c:v>
                </c:pt>
                <c:pt idx="33">
                  <c:v>4474670.1871116199</c:v>
                </c:pt>
                <c:pt idx="34">
                  <c:v>2392217.5839761398</c:v>
                </c:pt>
                <c:pt idx="35">
                  <c:v>3811020.5496040098</c:v>
                </c:pt>
                <c:pt idx="36">
                  <c:v>13203151.607286001</c:v>
                </c:pt>
                <c:pt idx="37">
                  <c:v>3569959.42135939</c:v>
                </c:pt>
                <c:pt idx="38">
                  <c:v>1940224.7079255499</c:v>
                </c:pt>
                <c:pt idx="39">
                  <c:v>897873.61107529094</c:v>
                </c:pt>
                <c:pt idx="40">
                  <c:v>2001790.1856400799</c:v>
                </c:pt>
                <c:pt idx="41">
                  <c:v>8091278.3092360198</c:v>
                </c:pt>
                <c:pt idx="42">
                  <c:v>2867678.88875543</c:v>
                </c:pt>
                <c:pt idx="43">
                  <c:v>5715389.7959823199</c:v>
                </c:pt>
                <c:pt idx="44">
                  <c:v>5917491.9635800105</c:v>
                </c:pt>
                <c:pt idx="45">
                  <c:v>6032351.80396102</c:v>
                </c:pt>
                <c:pt idx="46">
                  <c:v>6961784.0938240103</c:v>
                </c:pt>
                <c:pt idx="47">
                  <c:v>10779329.067299999</c:v>
                </c:pt>
                <c:pt idx="48">
                  <c:v>7228364.4379280498</c:v>
                </c:pt>
                <c:pt idx="49">
                  <c:v>12269042.282512899</c:v>
                </c:pt>
                <c:pt idx="50">
                  <c:v>6325832.5504131103</c:v>
                </c:pt>
                <c:pt idx="51">
                  <c:v>17609473.737065502</c:v>
                </c:pt>
                <c:pt idx="52">
                  <c:v>23103789.688104901</c:v>
                </c:pt>
                <c:pt idx="53">
                  <c:v>14195449.420887001</c:v>
                </c:pt>
                <c:pt idx="54">
                  <c:v>7250329.0924582602</c:v>
                </c:pt>
                <c:pt idx="55">
                  <c:v>7466680.0053188298</c:v>
                </c:pt>
                <c:pt idx="56">
                  <c:v>7936268.7898550499</c:v>
                </c:pt>
                <c:pt idx="57">
                  <c:v>9866664.5982990097</c:v>
                </c:pt>
                <c:pt idx="58">
                  <c:v>8907367.5156074204</c:v>
                </c:pt>
                <c:pt idx="59">
                  <c:v>13647265.5899143</c:v>
                </c:pt>
                <c:pt idx="60">
                  <c:v>8759375.6699135397</c:v>
                </c:pt>
                <c:pt idx="61">
                  <c:v>12207052.9844853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B3-4B78-97F8-FCEAE1DC2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501952"/>
        <c:axId val="228315520"/>
      </c:scatterChart>
      <c:valAx>
        <c:axId val="207501952"/>
        <c:scaling>
          <c:orientation val="minMax"/>
          <c:min val="1960"/>
        </c:scaling>
        <c:delete val="0"/>
        <c:axPos val="b"/>
        <c:numFmt formatCode="General" sourceLinked="1"/>
        <c:majorTickMark val="out"/>
        <c:minorTickMark val="none"/>
        <c:tickLblPos val="nextTo"/>
        <c:crossAx val="228315520"/>
        <c:crosses val="autoZero"/>
        <c:crossBetween val="midCat"/>
      </c:valAx>
      <c:valAx>
        <c:axId val="228315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75019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[2]Kvichak!$B$4:$B$65</c:f>
              <c:numCache>
                <c:formatCode>General</c:formatCode>
                <c:ptCount val="62"/>
                <c:pt idx="0">
                  <c:v>1963</c:v>
                </c:pt>
                <c:pt idx="1">
                  <c:v>1964</c:v>
                </c:pt>
                <c:pt idx="2">
                  <c:v>1965</c:v>
                </c:pt>
                <c:pt idx="3">
                  <c:v>1966</c:v>
                </c:pt>
                <c:pt idx="4">
                  <c:v>1967</c:v>
                </c:pt>
                <c:pt idx="5">
                  <c:v>1968</c:v>
                </c:pt>
                <c:pt idx="6">
                  <c:v>1969</c:v>
                </c:pt>
                <c:pt idx="7">
                  <c:v>1970</c:v>
                </c:pt>
                <c:pt idx="8">
                  <c:v>1971</c:v>
                </c:pt>
                <c:pt idx="9">
                  <c:v>1972</c:v>
                </c:pt>
                <c:pt idx="10">
                  <c:v>1973</c:v>
                </c:pt>
                <c:pt idx="11">
                  <c:v>1974</c:v>
                </c:pt>
                <c:pt idx="12">
                  <c:v>1975</c:v>
                </c:pt>
                <c:pt idx="13">
                  <c:v>1976</c:v>
                </c:pt>
                <c:pt idx="14">
                  <c:v>1977</c:v>
                </c:pt>
                <c:pt idx="15">
                  <c:v>1978</c:v>
                </c:pt>
                <c:pt idx="16">
                  <c:v>1979</c:v>
                </c:pt>
                <c:pt idx="17">
                  <c:v>1980</c:v>
                </c:pt>
                <c:pt idx="18">
                  <c:v>1981</c:v>
                </c:pt>
                <c:pt idx="19">
                  <c:v>1982</c:v>
                </c:pt>
                <c:pt idx="20">
                  <c:v>1983</c:v>
                </c:pt>
                <c:pt idx="21">
                  <c:v>1984</c:v>
                </c:pt>
                <c:pt idx="22">
                  <c:v>1985</c:v>
                </c:pt>
                <c:pt idx="23">
                  <c:v>1986</c:v>
                </c:pt>
                <c:pt idx="24">
                  <c:v>1987</c:v>
                </c:pt>
                <c:pt idx="25">
                  <c:v>1988</c:v>
                </c:pt>
                <c:pt idx="26">
                  <c:v>1989</c:v>
                </c:pt>
                <c:pt idx="27">
                  <c:v>1990</c:v>
                </c:pt>
                <c:pt idx="28">
                  <c:v>1991</c:v>
                </c:pt>
                <c:pt idx="29">
                  <c:v>1992</c:v>
                </c:pt>
                <c:pt idx="30">
                  <c:v>1993</c:v>
                </c:pt>
                <c:pt idx="31">
                  <c:v>1994</c:v>
                </c:pt>
                <c:pt idx="32">
                  <c:v>1995</c:v>
                </c:pt>
                <c:pt idx="33">
                  <c:v>1996</c:v>
                </c:pt>
                <c:pt idx="34">
                  <c:v>1997</c:v>
                </c:pt>
                <c:pt idx="35">
                  <c:v>1998</c:v>
                </c:pt>
                <c:pt idx="36">
                  <c:v>1999</c:v>
                </c:pt>
                <c:pt idx="37">
                  <c:v>2000</c:v>
                </c:pt>
                <c:pt idx="38">
                  <c:v>2001</c:v>
                </c:pt>
                <c:pt idx="39">
                  <c:v>2002</c:v>
                </c:pt>
                <c:pt idx="40">
                  <c:v>2003</c:v>
                </c:pt>
                <c:pt idx="41">
                  <c:v>2004</c:v>
                </c:pt>
                <c:pt idx="42">
                  <c:v>2005</c:v>
                </c:pt>
                <c:pt idx="43">
                  <c:v>2006</c:v>
                </c:pt>
                <c:pt idx="44">
                  <c:v>2007</c:v>
                </c:pt>
                <c:pt idx="45">
                  <c:v>2008</c:v>
                </c:pt>
                <c:pt idx="46">
                  <c:v>2009</c:v>
                </c:pt>
                <c:pt idx="47">
                  <c:v>2010</c:v>
                </c:pt>
                <c:pt idx="48">
                  <c:v>2011</c:v>
                </c:pt>
                <c:pt idx="49">
                  <c:v>2012</c:v>
                </c:pt>
                <c:pt idx="50">
                  <c:v>2013</c:v>
                </c:pt>
                <c:pt idx="51">
                  <c:v>2014</c:v>
                </c:pt>
                <c:pt idx="52">
                  <c:v>2015</c:v>
                </c:pt>
                <c:pt idx="53">
                  <c:v>2016</c:v>
                </c:pt>
                <c:pt idx="54">
                  <c:v>2017</c:v>
                </c:pt>
                <c:pt idx="55">
                  <c:v>2018</c:v>
                </c:pt>
                <c:pt idx="56">
                  <c:v>2019</c:v>
                </c:pt>
                <c:pt idx="57">
                  <c:v>2020</c:v>
                </c:pt>
                <c:pt idx="58">
                  <c:v>2021</c:v>
                </c:pt>
                <c:pt idx="59">
                  <c:v>2022</c:v>
                </c:pt>
                <c:pt idx="60">
                  <c:v>2023</c:v>
                </c:pt>
                <c:pt idx="61">
                  <c:v>2024</c:v>
                </c:pt>
              </c:numCache>
            </c:numRef>
          </c:xVal>
          <c:yVal>
            <c:numRef>
              <c:f>[2]Kvichak!$C$4:$C$65</c:f>
              <c:numCache>
                <c:formatCode>General</c:formatCode>
                <c:ptCount val="62"/>
                <c:pt idx="0">
                  <c:v>615338.55229560297</c:v>
                </c:pt>
                <c:pt idx="1">
                  <c:v>2181685.0607216302</c:v>
                </c:pt>
                <c:pt idx="2">
                  <c:v>48627304.918511003</c:v>
                </c:pt>
                <c:pt idx="3">
                  <c:v>8915532.9824190103</c:v>
                </c:pt>
                <c:pt idx="4">
                  <c:v>5545422.5274835099</c:v>
                </c:pt>
                <c:pt idx="5">
                  <c:v>3975964.0956830098</c:v>
                </c:pt>
                <c:pt idx="6">
                  <c:v>14054748.968049999</c:v>
                </c:pt>
                <c:pt idx="7">
                  <c:v>34839684.715581</c:v>
                </c:pt>
                <c:pt idx="8">
                  <c:v>6978106.7842170298</c:v>
                </c:pt>
                <c:pt idx="9">
                  <c:v>2132286.5784802702</c:v>
                </c:pt>
                <c:pt idx="10">
                  <c:v>410486.62934340502</c:v>
                </c:pt>
                <c:pt idx="11">
                  <c:v>5061353.0873880098</c:v>
                </c:pt>
                <c:pt idx="12">
                  <c:v>16219630.699003</c:v>
                </c:pt>
                <c:pt idx="13">
                  <c:v>3545332.4575000401</c:v>
                </c:pt>
                <c:pt idx="14">
                  <c:v>1675472.2523318001</c:v>
                </c:pt>
                <c:pt idx="15">
                  <c:v>7919094.2169210697</c:v>
                </c:pt>
                <c:pt idx="16">
                  <c:v>24927042.451058</c:v>
                </c:pt>
                <c:pt idx="17">
                  <c:v>37931680.055286199</c:v>
                </c:pt>
                <c:pt idx="18">
                  <c:v>6901353.487857</c:v>
                </c:pt>
                <c:pt idx="19">
                  <c:v>2811875.1391500002</c:v>
                </c:pt>
                <c:pt idx="20">
                  <c:v>21496871.561402999</c:v>
                </c:pt>
                <c:pt idx="21">
                  <c:v>23930917.962620001</c:v>
                </c:pt>
                <c:pt idx="22">
                  <c:v>14093497.289049</c:v>
                </c:pt>
                <c:pt idx="23">
                  <c:v>2012448.6116129099</c:v>
                </c:pt>
                <c:pt idx="24">
                  <c:v>10318113.254788101</c:v>
                </c:pt>
                <c:pt idx="25">
                  <c:v>6860048.6126930099</c:v>
                </c:pt>
                <c:pt idx="26">
                  <c:v>20484408.004480999</c:v>
                </c:pt>
                <c:pt idx="27">
                  <c:v>18192988.959779002</c:v>
                </c:pt>
                <c:pt idx="28">
                  <c:v>8613126.7931474093</c:v>
                </c:pt>
                <c:pt idx="29">
                  <c:v>10628639.807515001</c:v>
                </c:pt>
                <c:pt idx="30">
                  <c:v>8064870.9306939198</c:v>
                </c:pt>
                <c:pt idx="31">
                  <c:v>21592336.784862999</c:v>
                </c:pt>
                <c:pt idx="32">
                  <c:v>28426663.093738001</c:v>
                </c:pt>
                <c:pt idx="33">
                  <c:v>4474670.1871116199</c:v>
                </c:pt>
                <c:pt idx="34">
                  <c:v>2392217.5839761398</c:v>
                </c:pt>
                <c:pt idx="35">
                  <c:v>3811020.5496040098</c:v>
                </c:pt>
                <c:pt idx="36">
                  <c:v>13203151.607286001</c:v>
                </c:pt>
                <c:pt idx="37">
                  <c:v>3569959.42135939</c:v>
                </c:pt>
                <c:pt idx="38">
                  <c:v>1940224.7079255499</c:v>
                </c:pt>
                <c:pt idx="39">
                  <c:v>897873.61107529094</c:v>
                </c:pt>
                <c:pt idx="40">
                  <c:v>2001790.1856400799</c:v>
                </c:pt>
                <c:pt idx="41">
                  <c:v>8091278.3092360198</c:v>
                </c:pt>
                <c:pt idx="42">
                  <c:v>2867678.88875543</c:v>
                </c:pt>
                <c:pt idx="43">
                  <c:v>5715389.7959823199</c:v>
                </c:pt>
                <c:pt idx="44">
                  <c:v>5917491.9635800105</c:v>
                </c:pt>
                <c:pt idx="45">
                  <c:v>6032351.80396102</c:v>
                </c:pt>
                <c:pt idx="46">
                  <c:v>6961784.0938240103</c:v>
                </c:pt>
                <c:pt idx="47">
                  <c:v>10779329.067299999</c:v>
                </c:pt>
                <c:pt idx="48">
                  <c:v>7228364.4379280498</c:v>
                </c:pt>
                <c:pt idx="49">
                  <c:v>12269042.282512899</c:v>
                </c:pt>
                <c:pt idx="50">
                  <c:v>6325832.5504131103</c:v>
                </c:pt>
                <c:pt idx="51">
                  <c:v>17609473.737065502</c:v>
                </c:pt>
                <c:pt idx="52">
                  <c:v>23103789.688104901</c:v>
                </c:pt>
                <c:pt idx="53">
                  <c:v>14195449.420887001</c:v>
                </c:pt>
                <c:pt idx="54">
                  <c:v>7250329.0924582602</c:v>
                </c:pt>
                <c:pt idx="55">
                  <c:v>7466680.0053188298</c:v>
                </c:pt>
                <c:pt idx="56">
                  <c:v>7936268.7898550499</c:v>
                </c:pt>
                <c:pt idx="57">
                  <c:v>9866664.5982990097</c:v>
                </c:pt>
                <c:pt idx="58">
                  <c:v>8907367.5156074204</c:v>
                </c:pt>
                <c:pt idx="59">
                  <c:v>13647265.5899143</c:v>
                </c:pt>
                <c:pt idx="60">
                  <c:v>8759375.6699135397</c:v>
                </c:pt>
                <c:pt idx="61">
                  <c:v>12207052.9844853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77-46C4-8B77-672E947E3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172544"/>
        <c:axId val="228174080"/>
      </c:scatterChart>
      <c:valAx>
        <c:axId val="228172544"/>
        <c:scaling>
          <c:orientation val="minMax"/>
          <c:min val="1960"/>
        </c:scaling>
        <c:delete val="0"/>
        <c:axPos val="b"/>
        <c:numFmt formatCode="General" sourceLinked="1"/>
        <c:majorTickMark val="out"/>
        <c:minorTickMark val="none"/>
        <c:tickLblPos val="nextTo"/>
        <c:crossAx val="228174080"/>
        <c:crosses val="autoZero"/>
        <c:crossBetween val="midCat"/>
      </c:valAx>
      <c:valAx>
        <c:axId val="228174080"/>
        <c:scaling>
          <c:logBase val="10"/>
          <c:orientation val="minMax"/>
          <c:min val="1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81725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Kvichak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0"/>
            <c:dispEq val="1"/>
            <c:trendlineLbl>
              <c:layout>
                <c:manualLayout>
                  <c:x val="6.2914904929488313E-2"/>
                  <c:y val="0.24094305920093323"/>
                </c:manualLayout>
              </c:layout>
              <c:numFmt formatCode="General" sourceLinked="0"/>
            </c:trendlineLbl>
          </c:trendline>
          <c:xVal>
            <c:numRef>
              <c:f>[2]Kvichak!$B$47:$B$64</c:f>
              <c:numCache>
                <c:formatCode>General</c:formatCode>
                <c:ptCount val="18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</c:numCache>
            </c:numRef>
          </c:xVal>
          <c:yVal>
            <c:numRef>
              <c:f>[2]Kvichak!$D$47:$D$65</c:f>
              <c:numCache>
                <c:formatCode>General</c:formatCode>
                <c:ptCount val="19"/>
                <c:pt idx="0">
                  <c:v>15.558673058656325</c:v>
                </c:pt>
                <c:pt idx="1">
                  <c:v>15.593423262292465</c:v>
                </c:pt>
                <c:pt idx="2">
                  <c:v>15.612647509907047</c:v>
                </c:pt>
                <c:pt idx="3">
                  <c:v>15.755946334781859</c:v>
                </c:pt>
                <c:pt idx="4">
                  <c:v>16.193140882853303</c:v>
                </c:pt>
                <c:pt idx="5">
                  <c:v>15.793523349723147</c:v>
                </c:pt>
                <c:pt idx="6">
                  <c:v>16.322589760055823</c:v>
                </c:pt>
                <c:pt idx="7">
                  <c:v>15.660152212439396</c:v>
                </c:pt>
                <c:pt idx="8">
                  <c:v>16.683947595702477</c:v>
                </c:pt>
                <c:pt idx="9">
                  <c:v>16.955507217798463</c:v>
                </c:pt>
                <c:pt idx="10">
                  <c:v>16.468432007894329</c:v>
                </c:pt>
                <c:pt idx="11">
                  <c:v>15.796557417863877</c:v>
                </c:pt>
                <c:pt idx="12">
                  <c:v>15.825961014582193</c:v>
                </c:pt>
                <c:pt idx="13">
                  <c:v>15.886953797062677</c:v>
                </c:pt>
                <c:pt idx="14">
                  <c:v>16.104672420994302</c:v>
                </c:pt>
                <c:pt idx="15">
                  <c:v>16.002389302998438</c:v>
                </c:pt>
                <c:pt idx="16">
                  <c:v>16.429049736444693</c:v>
                </c:pt>
                <c:pt idx="17">
                  <c:v>15.985635189814893</c:v>
                </c:pt>
                <c:pt idx="18">
                  <c:v>16.317524456142664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2A-4345-829D-EDEDD39E7B6E}"/>
            </c:ext>
          </c:extLst>
        </c:ser>
        <c:ser>
          <c:idx val="1"/>
          <c:order val="1"/>
          <c:xVal>
            <c:numRef>
              <c:f>[2]Kvichak!$B$65</c:f>
              <c:numCache>
                <c:formatCode>General</c:formatCode>
                <c:ptCount val="1"/>
                <c:pt idx="0">
                  <c:v>2024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32A-4345-829D-EDEDD39E7B6E}"/>
            </c:ext>
          </c:extLst>
        </c:ser>
        <c:ser>
          <c:idx val="2"/>
          <c:order val="2"/>
          <c:xVal>
            <c:numRef>
              <c:f>[3]Kvichak!$B$65</c:f>
              <c:numCache>
                <c:formatCode>General</c:formatCode>
                <c:ptCount val="1"/>
                <c:pt idx="0">
                  <c:v>2024</c:v>
                </c:pt>
              </c:numCache>
            </c:numRef>
          </c:xVal>
          <c:yVal>
            <c:numRef>
              <c:f>[3]Kvichak!$D$65</c:f>
              <c:numCache>
                <c:formatCode>General</c:formatCode>
                <c:ptCount val="1"/>
                <c:pt idx="0">
                  <c:v>16.317524456142664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2A-4345-829D-EDEDD39E7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745600"/>
        <c:axId val="228747136"/>
      </c:scatterChart>
      <c:valAx>
        <c:axId val="228745600"/>
        <c:scaling>
          <c:orientation val="minMax"/>
          <c:min val="2000"/>
        </c:scaling>
        <c:delete val="0"/>
        <c:axPos val="b"/>
        <c:numFmt formatCode="General" sourceLinked="1"/>
        <c:majorTickMark val="out"/>
        <c:minorTickMark val="none"/>
        <c:tickLblPos val="nextTo"/>
        <c:crossAx val="228747136"/>
        <c:crosses val="autoZero"/>
        <c:crossBetween val="midCat"/>
      </c:valAx>
      <c:valAx>
        <c:axId val="228747136"/>
        <c:scaling>
          <c:orientation val="minMax"/>
          <c:min val="14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 run 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87456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1.3 from 1.2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[3]Kvichak!$G$131:$G$149</c:f>
              <c:numCache>
                <c:formatCode>0</c:formatCode>
                <c:ptCount val="19"/>
                <c:pt idx="0">
                  <c:v>633259.02696178795</c:v>
                </c:pt>
                <c:pt idx="1">
                  <c:v>2456932.1869443902</c:v>
                </c:pt>
                <c:pt idx="2">
                  <c:v>3595854.0101312199</c:v>
                </c:pt>
                <c:pt idx="3">
                  <c:v>4799243.5393628199</c:v>
                </c:pt>
                <c:pt idx="4">
                  <c:v>1254242.5550963001</c:v>
                </c:pt>
                <c:pt idx="5">
                  <c:v>3663815.1240694402</c:v>
                </c:pt>
                <c:pt idx="6">
                  <c:v>1542519.6160436401</c:v>
                </c:pt>
                <c:pt idx="7">
                  <c:v>2680276.8488356099</c:v>
                </c:pt>
                <c:pt idx="8">
                  <c:v>741126.90498455497</c:v>
                </c:pt>
                <c:pt idx="9">
                  <c:v>6056268.63210217</c:v>
                </c:pt>
                <c:pt idx="10">
                  <c:v>2846068.6397227598</c:v>
                </c:pt>
                <c:pt idx="11">
                  <c:v>8590994.4996388797</c:v>
                </c:pt>
                <c:pt idx="12">
                  <c:v>3713931.1999689001</c:v>
                </c:pt>
                <c:pt idx="13">
                  <c:v>4484066.1512117703</c:v>
                </c:pt>
                <c:pt idx="14">
                  <c:v>5743118.1695535798</c:v>
                </c:pt>
                <c:pt idx="15">
                  <c:v>2659890.6318173599</c:v>
                </c:pt>
                <c:pt idx="16">
                  <c:v>6164745.28905355</c:v>
                </c:pt>
                <c:pt idx="17">
                  <c:v>6416570.5196083598</c:v>
                </c:pt>
                <c:pt idx="18">
                  <c:v>1233550.9914899699</c:v>
                </c:pt>
              </c:numCache>
            </c:numRef>
          </c:xVal>
          <c:yVal>
            <c:numRef>
              <c:f>[3]Kvichak!$H$132:$H$150</c:f>
              <c:numCache>
                <c:formatCode>0</c:formatCode>
                <c:ptCount val="19"/>
                <c:pt idx="0">
                  <c:v>2051098.4702330399</c:v>
                </c:pt>
                <c:pt idx="1">
                  <c:v>1265247.02367751</c:v>
                </c:pt>
                <c:pt idx="2">
                  <c:v>1186521.23070345</c:v>
                </c:pt>
                <c:pt idx="3">
                  <c:v>2931163.7992824898</c:v>
                </c:pt>
                <c:pt idx="4">
                  <c:v>2033447.4117072499</c:v>
                </c:pt>
                <c:pt idx="5">
                  <c:v>2701997.1698060399</c:v>
                </c:pt>
                <c:pt idx="6">
                  <c:v>1853138.5504592999</c:v>
                </c:pt>
                <c:pt idx="7">
                  <c:v>1931316.27522207</c:v>
                </c:pt>
                <c:pt idx="8">
                  <c:v>1002139.74787987</c:v>
                </c:pt>
                <c:pt idx="9">
                  <c:v>5544927.7561170198</c:v>
                </c:pt>
                <c:pt idx="10">
                  <c:v>2168999.19073739</c:v>
                </c:pt>
                <c:pt idx="11">
                  <c:v>2635003.4804184898</c:v>
                </c:pt>
                <c:pt idx="12">
                  <c:v>2789273.8525459301</c:v>
                </c:pt>
                <c:pt idx="13">
                  <c:v>2072930.0898513999</c:v>
                </c:pt>
                <c:pt idx="14">
                  <c:v>7068370.8626361899</c:v>
                </c:pt>
                <c:pt idx="15">
                  <c:v>1895608.6447663701</c:v>
                </c:pt>
                <c:pt idx="16">
                  <c:v>4963345.9237097697</c:v>
                </c:pt>
                <c:pt idx="17">
                  <c:v>5597038.68300841</c:v>
                </c:pt>
                <c:pt idx="18">
                  <c:v>1169655.81357598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9A-4E6C-9564-BAD99DEEF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575631"/>
        <c:axId val="1087578031"/>
      </c:scatterChart>
      <c:valAx>
        <c:axId val="1087575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578031"/>
        <c:crosses val="autoZero"/>
        <c:crossBetween val="midCat"/>
      </c:valAx>
      <c:valAx>
        <c:axId val="108757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575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1.3 from 1.2 all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[3]Kvichak!$G$89:$G$149</c:f>
              <c:numCache>
                <c:formatCode>0</c:formatCode>
                <c:ptCount val="61"/>
                <c:pt idx="0">
                  <c:v>236513.57398061099</c:v>
                </c:pt>
                <c:pt idx="1">
                  <c:v>1017276.97189771</c:v>
                </c:pt>
                <c:pt idx="2">
                  <c:v>415244.555149864</c:v>
                </c:pt>
                <c:pt idx="3">
                  <c:v>107816.714581953</c:v>
                </c:pt>
                <c:pt idx="4">
                  <c:v>31231.4774550076</c:v>
                </c:pt>
                <c:pt idx="5">
                  <c:v>2288423.1753992001</c:v>
                </c:pt>
                <c:pt idx="6">
                  <c:v>10321864.2975106</c:v>
                </c:pt>
                <c:pt idx="7">
                  <c:v>524321.60158961103</c:v>
                </c:pt>
                <c:pt idx="8">
                  <c:v>342819.37797853898</c:v>
                </c:pt>
                <c:pt idx="9">
                  <c:v>300687.473853954</c:v>
                </c:pt>
                <c:pt idx="10">
                  <c:v>149287.15980969401</c:v>
                </c:pt>
                <c:pt idx="11">
                  <c:v>45470.509864138199</c:v>
                </c:pt>
                <c:pt idx="12">
                  <c:v>321013.17765240202</c:v>
                </c:pt>
                <c:pt idx="13">
                  <c:v>1971913.28735589</c:v>
                </c:pt>
                <c:pt idx="14">
                  <c:v>531509.24115837202</c:v>
                </c:pt>
                <c:pt idx="15">
                  <c:v>6047998.6536522396</c:v>
                </c:pt>
                <c:pt idx="16">
                  <c:v>5468930.8903334299</c:v>
                </c:pt>
                <c:pt idx="17">
                  <c:v>5940227.8133407403</c:v>
                </c:pt>
                <c:pt idx="18">
                  <c:v>2024757.69932087</c:v>
                </c:pt>
                <c:pt idx="19">
                  <c:v>1613301.0436080501</c:v>
                </c:pt>
                <c:pt idx="20">
                  <c:v>18868217.354832299</c:v>
                </c:pt>
                <c:pt idx="21">
                  <c:v>2539066.5916819698</c:v>
                </c:pt>
                <c:pt idx="22">
                  <c:v>745204.88033745205</c:v>
                </c:pt>
                <c:pt idx="23">
                  <c:v>492725.22020265198</c:v>
                </c:pt>
                <c:pt idx="24">
                  <c:v>9267004.5553450603</c:v>
                </c:pt>
                <c:pt idx="25">
                  <c:v>2578692.8006927799</c:v>
                </c:pt>
                <c:pt idx="26">
                  <c:v>1051304.82291986</c:v>
                </c:pt>
                <c:pt idx="27">
                  <c:v>652916.62252959399</c:v>
                </c:pt>
                <c:pt idx="28">
                  <c:v>4715391.6510769604</c:v>
                </c:pt>
                <c:pt idx="29">
                  <c:v>3035791.52389429</c:v>
                </c:pt>
                <c:pt idx="30">
                  <c:v>1860643.86705856</c:v>
                </c:pt>
                <c:pt idx="31">
                  <c:v>1635679.81816017</c:v>
                </c:pt>
                <c:pt idx="32">
                  <c:v>2192435.4713108302</c:v>
                </c:pt>
                <c:pt idx="33">
                  <c:v>651582.68725256901</c:v>
                </c:pt>
                <c:pt idx="34">
                  <c:v>1087088.05581493</c:v>
                </c:pt>
                <c:pt idx="35">
                  <c:v>2023631.03936713</c:v>
                </c:pt>
                <c:pt idx="36">
                  <c:v>7737952.0220754296</c:v>
                </c:pt>
                <c:pt idx="37">
                  <c:v>547555.93910410604</c:v>
                </c:pt>
                <c:pt idx="38">
                  <c:v>159364.71419261899</c:v>
                </c:pt>
                <c:pt idx="39">
                  <c:v>375942.27518815198</c:v>
                </c:pt>
                <c:pt idx="40">
                  <c:v>1010493.43929947</c:v>
                </c:pt>
                <c:pt idx="41">
                  <c:v>1884667.87736433</c:v>
                </c:pt>
                <c:pt idx="42">
                  <c:v>633259.02696178795</c:v>
                </c:pt>
                <c:pt idx="43">
                  <c:v>2456932.1869443902</c:v>
                </c:pt>
                <c:pt idx="44">
                  <c:v>3595854.0101312199</c:v>
                </c:pt>
                <c:pt idx="45">
                  <c:v>4799243.5393628199</c:v>
                </c:pt>
                <c:pt idx="46">
                  <c:v>1254242.5550963001</c:v>
                </c:pt>
                <c:pt idx="47">
                  <c:v>3663815.1240694402</c:v>
                </c:pt>
                <c:pt idx="48">
                  <c:v>1542519.6160436401</c:v>
                </c:pt>
                <c:pt idx="49">
                  <c:v>2680276.8488356099</c:v>
                </c:pt>
                <c:pt idx="50">
                  <c:v>741126.90498455497</c:v>
                </c:pt>
                <c:pt idx="51">
                  <c:v>6056268.63210217</c:v>
                </c:pt>
                <c:pt idx="52">
                  <c:v>2846068.6397227598</c:v>
                </c:pt>
                <c:pt idx="53">
                  <c:v>8590994.4996388797</c:v>
                </c:pt>
                <c:pt idx="54">
                  <c:v>3713931.1999689001</c:v>
                </c:pt>
                <c:pt idx="55">
                  <c:v>4484066.1512117703</c:v>
                </c:pt>
                <c:pt idx="56">
                  <c:v>5743118.1695535798</c:v>
                </c:pt>
                <c:pt idx="57">
                  <c:v>2659890.6318173599</c:v>
                </c:pt>
                <c:pt idx="58">
                  <c:v>6164745.28905355</c:v>
                </c:pt>
                <c:pt idx="59">
                  <c:v>6416570.5196083598</c:v>
                </c:pt>
                <c:pt idx="60">
                  <c:v>1233550.9914899699</c:v>
                </c:pt>
              </c:numCache>
            </c:numRef>
          </c:xVal>
          <c:yVal>
            <c:numRef>
              <c:f>[3]Kvichak!$H$90:$H$150</c:f>
              <c:numCache>
                <c:formatCode>0</c:formatCode>
                <c:ptCount val="61"/>
                <c:pt idx="0">
                  <c:v>3.6439995883634002E-2</c:v>
                </c:pt>
                <c:pt idx="1">
                  <c:v>456190.02356775303</c:v>
                </c:pt>
                <c:pt idx="2">
                  <c:v>201592.68823995101</c:v>
                </c:pt>
                <c:pt idx="3">
                  <c:v>133172.548187807</c:v>
                </c:pt>
                <c:pt idx="4">
                  <c:v>80022.549513591497</c:v>
                </c:pt>
                <c:pt idx="5">
                  <c:v>288370.72979837097</c:v>
                </c:pt>
                <c:pt idx="6">
                  <c:v>299792.792135706</c:v>
                </c:pt>
                <c:pt idx="7">
                  <c:v>885877.93522364099</c:v>
                </c:pt>
                <c:pt idx="8">
                  <c:v>321956.12171723403</c:v>
                </c:pt>
                <c:pt idx="9">
                  <c:v>38561.098342685698</c:v>
                </c:pt>
                <c:pt idx="10">
                  <c:v>321597.19322263502</c:v>
                </c:pt>
                <c:pt idx="11">
                  <c:v>40279.628289244603</c:v>
                </c:pt>
                <c:pt idx="12">
                  <c:v>653574.95887860295</c:v>
                </c:pt>
                <c:pt idx="13">
                  <c:v>142304.89789723299</c:v>
                </c:pt>
                <c:pt idx="14">
                  <c:v>1048800.1809499001</c:v>
                </c:pt>
                <c:pt idx="15">
                  <c:v>1845015.04188107</c:v>
                </c:pt>
                <c:pt idx="16">
                  <c:v>1305049.2148203901</c:v>
                </c:pt>
                <c:pt idx="17">
                  <c:v>675757.59228723298</c:v>
                </c:pt>
                <c:pt idx="18">
                  <c:v>718009.887947749</c:v>
                </c:pt>
                <c:pt idx="19">
                  <c:v>1063135.9708225101</c:v>
                </c:pt>
                <c:pt idx="20">
                  <c:v>2470065.01013749</c:v>
                </c:pt>
                <c:pt idx="21">
                  <c:v>1385037.2629771701</c:v>
                </c:pt>
                <c:pt idx="22">
                  <c:v>188998.29679534401</c:v>
                </c:pt>
                <c:pt idx="23">
                  <c:v>385822.91020932503</c:v>
                </c:pt>
                <c:pt idx="24">
                  <c:v>2995169.76133723</c:v>
                </c:pt>
                <c:pt idx="25">
                  <c:v>1438442.5016614201</c:v>
                </c:pt>
                <c:pt idx="26">
                  <c:v>959015.79090048501</c:v>
                </c:pt>
                <c:pt idx="27">
                  <c:v>868158.91799846897</c:v>
                </c:pt>
                <c:pt idx="28">
                  <c:v>2193830.7126480602</c:v>
                </c:pt>
                <c:pt idx="29">
                  <c:v>1958434.41272523</c:v>
                </c:pt>
                <c:pt idx="30">
                  <c:v>1072382.73567232</c:v>
                </c:pt>
                <c:pt idx="31">
                  <c:v>890766.52827216603</c:v>
                </c:pt>
                <c:pt idx="32">
                  <c:v>1181693.15116645</c:v>
                </c:pt>
                <c:pt idx="33">
                  <c:v>300635.18787046598</c:v>
                </c:pt>
                <c:pt idx="34">
                  <c:v>873115.77486185497</c:v>
                </c:pt>
                <c:pt idx="35">
                  <c:v>1062071.6033361901</c:v>
                </c:pt>
                <c:pt idx="36">
                  <c:v>2098055.6476268</c:v>
                </c:pt>
                <c:pt idx="37">
                  <c:v>1651817.7864150701</c:v>
                </c:pt>
                <c:pt idx="38">
                  <c:v>140515.836672732</c:v>
                </c:pt>
                <c:pt idx="39">
                  <c:v>422187.12283754302</c:v>
                </c:pt>
                <c:pt idx="40">
                  <c:v>278784.25885893899</c:v>
                </c:pt>
                <c:pt idx="41">
                  <c:v>1264567.00289689</c:v>
                </c:pt>
                <c:pt idx="42">
                  <c:v>2051098.4702330399</c:v>
                </c:pt>
                <c:pt idx="43">
                  <c:v>1265247.02367751</c:v>
                </c:pt>
                <c:pt idx="44">
                  <c:v>1186521.23070345</c:v>
                </c:pt>
                <c:pt idx="45">
                  <c:v>2931163.7992824898</c:v>
                </c:pt>
                <c:pt idx="46">
                  <c:v>2033447.4117072499</c:v>
                </c:pt>
                <c:pt idx="47">
                  <c:v>2701997.1698060399</c:v>
                </c:pt>
                <c:pt idx="48">
                  <c:v>1853138.5504592999</c:v>
                </c:pt>
                <c:pt idx="49">
                  <c:v>1931316.27522207</c:v>
                </c:pt>
                <c:pt idx="50">
                  <c:v>1002139.74787987</c:v>
                </c:pt>
                <c:pt idx="51">
                  <c:v>5544927.7561170198</c:v>
                </c:pt>
                <c:pt idx="52">
                  <c:v>2168999.19073739</c:v>
                </c:pt>
                <c:pt idx="53">
                  <c:v>2635003.4804184898</c:v>
                </c:pt>
                <c:pt idx="54">
                  <c:v>2789273.8525459301</c:v>
                </c:pt>
                <c:pt idx="55">
                  <c:v>2072930.0898513999</c:v>
                </c:pt>
                <c:pt idx="56">
                  <c:v>7068370.8626361899</c:v>
                </c:pt>
                <c:pt idx="57">
                  <c:v>1895608.6447663701</c:v>
                </c:pt>
                <c:pt idx="58">
                  <c:v>4963345.9237097697</c:v>
                </c:pt>
                <c:pt idx="59">
                  <c:v>5597038.68300841</c:v>
                </c:pt>
                <c:pt idx="60">
                  <c:v>1169655.81357598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D7-450F-AE1E-F2D779582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575631"/>
        <c:axId val="1087578031"/>
      </c:scatterChart>
      <c:valAx>
        <c:axId val="1087575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578031"/>
        <c:crosses val="autoZero"/>
        <c:crossBetween val="midCat"/>
      </c:valAx>
      <c:valAx>
        <c:axId val="108757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575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2.3 from 2.2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9.3995844269466319E-2"/>
                  <c:y val="-4.272382618839311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[3]Kvichak!$K$131:$K$149</c:f>
              <c:numCache>
                <c:formatCode>0</c:formatCode>
                <c:ptCount val="19"/>
                <c:pt idx="0">
                  <c:v>742842.99047039403</c:v>
                </c:pt>
                <c:pt idx="1">
                  <c:v>819689.21328180295</c:v>
                </c:pt>
                <c:pt idx="2">
                  <c:v>142426.30435677199</c:v>
                </c:pt>
                <c:pt idx="3">
                  <c:v>31398.658141728101</c:v>
                </c:pt>
                <c:pt idx="4">
                  <c:v>2634425.8540318399</c:v>
                </c:pt>
                <c:pt idx="5">
                  <c:v>4527247.8635668</c:v>
                </c:pt>
                <c:pt idx="6">
                  <c:v>1197114.7760107799</c:v>
                </c:pt>
                <c:pt idx="7">
                  <c:v>6975694.8538304605</c:v>
                </c:pt>
                <c:pt idx="8">
                  <c:v>1247831.2599196199</c:v>
                </c:pt>
                <c:pt idx="9">
                  <c:v>9731029.1591879502</c:v>
                </c:pt>
                <c:pt idx="10">
                  <c:v>13230425.139591301</c:v>
                </c:pt>
                <c:pt idx="11">
                  <c:v>2573729.23298511</c:v>
                </c:pt>
                <c:pt idx="12">
                  <c:v>397152.81642809598</c:v>
                </c:pt>
                <c:pt idx="13">
                  <c:v>38269.390429415202</c:v>
                </c:pt>
                <c:pt idx="14">
                  <c:v>71801.7612738147</c:v>
                </c:pt>
                <c:pt idx="15">
                  <c:v>119279.235687259</c:v>
                </c:pt>
                <c:pt idx="16">
                  <c:v>577513.28970349499</c:v>
                </c:pt>
                <c:pt idx="17">
                  <c:v>2091249.8818920499</c:v>
                </c:pt>
                <c:pt idx="18">
                  <c:v>367103.98740078998</c:v>
                </c:pt>
              </c:numCache>
            </c:numRef>
          </c:xVal>
          <c:yVal>
            <c:numRef>
              <c:f>[3]Kvichak!$L$132:$L$150</c:f>
              <c:numCache>
                <c:formatCode>0</c:formatCode>
                <c:ptCount val="19"/>
                <c:pt idx="0">
                  <c:v>367259.34656509402</c:v>
                </c:pt>
                <c:pt idx="1">
                  <c:v>901130.75954439002</c:v>
                </c:pt>
                <c:pt idx="2">
                  <c:v>10248.795355579899</c:v>
                </c:pt>
                <c:pt idx="3">
                  <c:v>129764.410910465</c:v>
                </c:pt>
                <c:pt idx="4">
                  <c:v>554818.66730966698</c:v>
                </c:pt>
                <c:pt idx="5">
                  <c:v>1754060.95432576</c:v>
                </c:pt>
                <c:pt idx="6">
                  <c:v>746953.27089689905</c:v>
                </c:pt>
                <c:pt idx="7">
                  <c:v>2380396.53009255</c:v>
                </c:pt>
                <c:pt idx="8">
                  <c:v>679367.62001147401</c:v>
                </c:pt>
                <c:pt idx="9">
                  <c:v>1396185.01086911</c:v>
                </c:pt>
                <c:pt idx="10">
                  <c:v>851679.14203451201</c:v>
                </c:pt>
                <c:pt idx="11">
                  <c:v>491949.80259328597</c:v>
                </c:pt>
                <c:pt idx="12">
                  <c:v>143170.08095041601</c:v>
                </c:pt>
                <c:pt idx="13">
                  <c:v>32242.898140994101</c:v>
                </c:pt>
                <c:pt idx="14">
                  <c:v>3352.85834573492</c:v>
                </c:pt>
                <c:pt idx="15">
                  <c:v>243444.801521669</c:v>
                </c:pt>
                <c:pt idx="16">
                  <c:v>174283.25566041001</c:v>
                </c:pt>
                <c:pt idx="17">
                  <c:v>1536242.24092957</c:v>
                </c:pt>
                <c:pt idx="18">
                  <c:v>319582.19292143401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E0-48D9-920B-B3C86B605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575631"/>
        <c:axId val="1087578031"/>
      </c:scatterChart>
      <c:valAx>
        <c:axId val="108757563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578031"/>
        <c:crosses val="autoZero"/>
        <c:crossBetween val="midCat"/>
      </c:valAx>
      <c:valAx>
        <c:axId val="108757803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575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1.2 from 1.1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7510476815398071"/>
                  <c:y val="4.73359580052493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[3]Kvichak!$F$131:$F$149</c:f>
              <c:numCache>
                <c:formatCode>0</c:formatCode>
                <c:ptCount val="19"/>
                <c:pt idx="0">
                  <c:v>3390.69693475351</c:v>
                </c:pt>
                <c:pt idx="1">
                  <c:v>3846.7367208476799</c:v>
                </c:pt>
                <c:pt idx="2">
                  <c:v>0</c:v>
                </c:pt>
                <c:pt idx="3">
                  <c:v>4315.9889299092401</c:v>
                </c:pt>
                <c:pt idx="4">
                  <c:v>2910.8827186049698</c:v>
                </c:pt>
                <c:pt idx="5">
                  <c:v>3.1287402296158098E-9</c:v>
                </c:pt>
                <c:pt idx="6">
                  <c:v>0</c:v>
                </c:pt>
                <c:pt idx="7">
                  <c:v>0</c:v>
                </c:pt>
                <c:pt idx="8">
                  <c:v>3046.7757735625701</c:v>
                </c:pt>
                <c:pt idx="9">
                  <c:v>4590.98176056788</c:v>
                </c:pt>
                <c:pt idx="10">
                  <c:v>21301.026131666302</c:v>
                </c:pt>
                <c:pt idx="11">
                  <c:v>2615.7121110550802</c:v>
                </c:pt>
                <c:pt idx="12">
                  <c:v>9832.2964493395102</c:v>
                </c:pt>
                <c:pt idx="13">
                  <c:v>4226.6375189437604</c:v>
                </c:pt>
                <c:pt idx="14">
                  <c:v>3010.9366544146201</c:v>
                </c:pt>
                <c:pt idx="15">
                  <c:v>1510.99094289287</c:v>
                </c:pt>
                <c:pt idx="16">
                  <c:v>12734.7865283423</c:v>
                </c:pt>
                <c:pt idx="17">
                  <c:v>1.04449762391799E-6</c:v>
                </c:pt>
                <c:pt idx="18">
                  <c:v>11391.816740676601</c:v>
                </c:pt>
              </c:numCache>
            </c:numRef>
          </c:xVal>
          <c:yVal>
            <c:numRef>
              <c:f>[3]Kvichak!$G$132:$G$150</c:f>
              <c:numCache>
                <c:formatCode>0</c:formatCode>
                <c:ptCount val="19"/>
                <c:pt idx="0">
                  <c:v>2456932.1869443902</c:v>
                </c:pt>
                <c:pt idx="1">
                  <c:v>3595854.0101312199</c:v>
                </c:pt>
                <c:pt idx="2">
                  <c:v>4799243.5393628199</c:v>
                </c:pt>
                <c:pt idx="3">
                  <c:v>1254242.5550963001</c:v>
                </c:pt>
                <c:pt idx="4">
                  <c:v>3663815.1240694402</c:v>
                </c:pt>
                <c:pt idx="5">
                  <c:v>1542519.6160436401</c:v>
                </c:pt>
                <c:pt idx="6">
                  <c:v>2680276.8488356099</c:v>
                </c:pt>
                <c:pt idx="7">
                  <c:v>741126.90498455497</c:v>
                </c:pt>
                <c:pt idx="8">
                  <c:v>6056268.63210217</c:v>
                </c:pt>
                <c:pt idx="9">
                  <c:v>2846068.6397227598</c:v>
                </c:pt>
                <c:pt idx="10">
                  <c:v>8590994.4996388797</c:v>
                </c:pt>
                <c:pt idx="11">
                  <c:v>3713931.1999689001</c:v>
                </c:pt>
                <c:pt idx="12">
                  <c:v>4484066.1512117703</c:v>
                </c:pt>
                <c:pt idx="13">
                  <c:v>5743118.1695535798</c:v>
                </c:pt>
                <c:pt idx="14">
                  <c:v>2659890.6318173599</c:v>
                </c:pt>
                <c:pt idx="15">
                  <c:v>6164745.28905355</c:v>
                </c:pt>
                <c:pt idx="16">
                  <c:v>6416570.5196083598</c:v>
                </c:pt>
                <c:pt idx="17">
                  <c:v>1233550.9914899699</c:v>
                </c:pt>
                <c:pt idx="18">
                  <c:v>9939082.9249525592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10-4088-B805-416921E46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575631"/>
        <c:axId val="1087578031"/>
      </c:scatterChart>
      <c:valAx>
        <c:axId val="1087575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578031"/>
        <c:crosses val="autoZero"/>
        <c:crossBetween val="midCat"/>
      </c:valAx>
      <c:valAx>
        <c:axId val="108757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575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image" Target="../media/image3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11</xdr:row>
      <xdr:rowOff>52387</xdr:rowOff>
    </xdr:from>
    <xdr:to>
      <xdr:col>18</xdr:col>
      <xdr:colOff>323850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84E914-0D0A-422B-81C2-3FDD2ADB1B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</xdr:colOff>
      <xdr:row>11</xdr:row>
      <xdr:rowOff>80962</xdr:rowOff>
    </xdr:from>
    <xdr:to>
      <xdr:col>18</xdr:col>
      <xdr:colOff>314325</xdr:colOff>
      <xdr:row>25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A0422E-72F0-4523-BFE7-A3F5615D1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266700</xdr:colOff>
      <xdr:row>27</xdr:row>
      <xdr:rowOff>4762</xdr:rowOff>
    </xdr:from>
    <xdr:to>
      <xdr:col>18</xdr:col>
      <xdr:colOff>571500</xdr:colOff>
      <xdr:row>41</xdr:row>
      <xdr:rowOff>80962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572DB9E-575F-EA8A-2731-0328F3EEB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304800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1BFB40-3F69-4D2E-9695-112503313D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17</xdr:col>
      <xdr:colOff>304800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151A47-D4C5-475B-9673-D6DB73B05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590550</xdr:colOff>
      <xdr:row>19</xdr:row>
      <xdr:rowOff>180975</xdr:rowOff>
    </xdr:from>
    <xdr:to>
      <xdr:col>8</xdr:col>
      <xdr:colOff>298339</xdr:colOff>
      <xdr:row>34</xdr:row>
      <xdr:rowOff>79106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6D1DD4-C5BD-EC62-925D-52AEF07D5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0550" y="3800475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8</xdr:col>
      <xdr:colOff>317389</xdr:colOff>
      <xdr:row>57</xdr:row>
      <xdr:rowOff>88631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3056A10-83E5-60B3-D361-B8CF6862F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8191500"/>
          <a:ext cx="4584589" cy="2755631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43</xdr:row>
      <xdr:rowOff>0</xdr:rowOff>
    </xdr:from>
    <xdr:to>
      <xdr:col>17</xdr:col>
      <xdr:colOff>304800</xdr:colOff>
      <xdr:row>57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91AAE3C-C0F2-49AE-B269-BF8869127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581025</xdr:colOff>
      <xdr:row>61</xdr:row>
      <xdr:rowOff>180975</xdr:rowOff>
    </xdr:from>
    <xdr:to>
      <xdr:col>8</xdr:col>
      <xdr:colOff>276225</xdr:colOff>
      <xdr:row>76</xdr:row>
      <xdr:rowOff>66675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4CA992E-2634-4689-937B-ADEC014DDC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80</xdr:row>
      <xdr:rowOff>0</xdr:rowOff>
    </xdr:from>
    <xdr:to>
      <xdr:col>8</xdr:col>
      <xdr:colOff>317389</xdr:colOff>
      <xdr:row>94</xdr:row>
      <xdr:rowOff>88631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BD33A8D-8729-35C5-FBBD-2320BF6ED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15240000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80</xdr:row>
      <xdr:rowOff>0</xdr:rowOff>
    </xdr:from>
    <xdr:to>
      <xdr:col>17</xdr:col>
      <xdr:colOff>317389</xdr:colOff>
      <xdr:row>94</xdr:row>
      <xdr:rowOff>88631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DC6E916-CE15-468F-5052-E3E6538E7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0" y="15240000"/>
          <a:ext cx="4584589" cy="27556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603885</xdr:colOff>
      <xdr:row>67</xdr:row>
      <xdr:rowOff>175260</xdr:rowOff>
    </xdr:from>
    <xdr:to>
      <xdr:col>8</xdr:col>
      <xdr:colOff>299085</xdr:colOff>
      <xdr:row>82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3247C1-FF5B-491B-8255-B3FC5ABC49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590550</xdr:colOff>
      <xdr:row>66</xdr:row>
      <xdr:rowOff>152400</xdr:rowOff>
    </xdr:from>
    <xdr:to>
      <xdr:col>16</xdr:col>
      <xdr:colOff>285750</xdr:colOff>
      <xdr:row>81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357EFE-DCB5-43A7-B9A0-1EE9F5582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117</xdr:row>
      <xdr:rowOff>0</xdr:rowOff>
    </xdr:from>
    <xdr:to>
      <xdr:col>2</xdr:col>
      <xdr:colOff>304800</xdr:colOff>
      <xdr:row>118</xdr:row>
      <xdr:rowOff>121920</xdr:rowOff>
    </xdr:to>
    <xdr:sp macro="" textlink="">
      <xdr:nvSpPr>
        <xdr:cNvPr id="4" name="AutoShape 2" descr="researchgate.net">
          <a:extLst>
            <a:ext uri="{FF2B5EF4-FFF2-40B4-BE49-F238E27FC236}">
              <a16:creationId xmlns:a16="http://schemas.microsoft.com/office/drawing/2014/main" id="{2086C6A6-0E19-42F8-A533-0B964CC7B66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3075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117</xdr:row>
      <xdr:rowOff>0</xdr:rowOff>
    </xdr:from>
    <xdr:to>
      <xdr:col>2</xdr:col>
      <xdr:colOff>304800</xdr:colOff>
      <xdr:row>118</xdr:row>
      <xdr:rowOff>121920</xdr:rowOff>
    </xdr:to>
    <xdr:sp macro="" textlink="">
      <xdr:nvSpPr>
        <xdr:cNvPr id="5" name="AutoShape 3" descr="researchgate.net">
          <a:extLst>
            <a:ext uri="{FF2B5EF4-FFF2-40B4-BE49-F238E27FC236}">
              <a16:creationId xmlns:a16="http://schemas.microsoft.com/office/drawing/2014/main" id="{EDC2FC01-E343-449F-A7F8-E680A0CCFF8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30755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9525</xdr:colOff>
      <xdr:row>66</xdr:row>
      <xdr:rowOff>152400</xdr:rowOff>
    </xdr:from>
    <xdr:to>
      <xdr:col>24</xdr:col>
      <xdr:colOff>481965</xdr:colOff>
      <xdr:row>81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CAAD32-44E4-460E-8EB2-EDC192C04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600075</xdr:colOff>
      <xdr:row>156</xdr:row>
      <xdr:rowOff>42862</xdr:rowOff>
    </xdr:from>
    <xdr:to>
      <xdr:col>9</xdr:col>
      <xdr:colOff>142875</xdr:colOff>
      <xdr:row>170</xdr:row>
      <xdr:rowOff>119062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A57CDA-D830-47BB-9DF7-1E25B2469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156</xdr:row>
      <xdr:rowOff>0</xdr:rowOff>
    </xdr:from>
    <xdr:to>
      <xdr:col>22</xdr:col>
      <xdr:colOff>523875</xdr:colOff>
      <xdr:row>170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5F5C536-D444-455E-B210-45022F07DA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0</xdr:colOff>
      <xdr:row>173</xdr:row>
      <xdr:rowOff>0</xdr:rowOff>
    </xdr:from>
    <xdr:to>
      <xdr:col>9</xdr:col>
      <xdr:colOff>152400</xdr:colOff>
      <xdr:row>187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EFDAE7A-9E91-4459-B179-F7F5550C8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191</xdr:row>
      <xdr:rowOff>0</xdr:rowOff>
    </xdr:from>
    <xdr:to>
      <xdr:col>9</xdr:col>
      <xdr:colOff>152400</xdr:colOff>
      <xdr:row>205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FFBBDE1-CFC0-411E-AFEB-69F3CA5F2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mac\OneDrive\Desktop\pacea.xlsx" TargetMode="External"/><Relationship Id="rId1" Type="http://schemas.openxmlformats.org/officeDocument/2006/relationships/externalLinkPath" Target="file:///C:\Users\abmac\OneDrive\Desktop\pace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lec&amp;BarbsFiles\Alec\AlecScience\SalmonPrize\2024RevisedData\ORGFinalSpreadsheets\Kvichak.xlsx" TargetMode="External"/><Relationship Id="rId1" Type="http://schemas.openxmlformats.org/officeDocument/2006/relationships/externalLinkPath" Target="/Alec&amp;BarbsFiles/Alec/AlecScience/SalmonPrize/2024RevisedData/ORGFinalSpreadsheets/Kvichak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lec&amp;BarbsFiles\Alec\AlecScience\SalmonPrize\2025Prize\bristolbay\BristolBayPreds2025.xlsx" TargetMode="External"/><Relationship Id="rId1" Type="http://schemas.openxmlformats.org/officeDocument/2006/relationships/externalLinkPath" Target="/Alec&amp;BarbsFiles/Alec/AlecScience/SalmonPrize/2025Prize/bristolbay/BristolBayPreds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cea-all"/>
      <sheetName val="shortened"/>
      <sheetName val="envdata"/>
      <sheetName val="CorTemplate"/>
      <sheetName val="results"/>
    </sheetNames>
    <sheetDataSet>
      <sheetData sheetId="0"/>
      <sheetData sheetId="1"/>
      <sheetData sheetId="2"/>
      <sheetData sheetId="3">
        <row r="5">
          <cell r="G5">
            <v>0.23250220767595539</v>
          </cell>
          <cell r="H5">
            <v>0.19418495737894026</v>
          </cell>
          <cell r="I5">
            <v>0.24480962492282948</v>
          </cell>
          <cell r="J5">
            <v>0.17223421523244936</v>
          </cell>
          <cell r="K5">
            <v>0.11419906818918081</v>
          </cell>
          <cell r="L5">
            <v>0.2579026753096561</v>
          </cell>
          <cell r="M5">
            <v>0.26056933640280466</v>
          </cell>
          <cell r="N5">
            <v>0.24317859814811771</v>
          </cell>
          <cell r="O5">
            <v>0.23271882222679649</v>
          </cell>
          <cell r="P5">
            <v>0.17939586977624172</v>
          </cell>
          <cell r="Q5">
            <v>0.27123117035787181</v>
          </cell>
          <cell r="R5">
            <v>0.3469047226065855</v>
          </cell>
          <cell r="S5">
            <v>0.45182068630319128</v>
          </cell>
          <cell r="T5">
            <v>0.3543722913029112</v>
          </cell>
          <cell r="U5">
            <v>0.31166290284756998</v>
          </cell>
          <cell r="V5">
            <v>0.33848075225612756</v>
          </cell>
          <cell r="W5">
            <v>0.24207065961206078</v>
          </cell>
          <cell r="X5">
            <v>0.31421534896795322</v>
          </cell>
          <cell r="Y5">
            <v>0.30173361634459944</v>
          </cell>
          <cell r="Z5">
            <v>0.34342066892694806</v>
          </cell>
          <cell r="AA5">
            <v>0.42605006226399789</v>
          </cell>
          <cell r="AB5">
            <v>0.39924915484704404</v>
          </cell>
          <cell r="AC5">
            <v>0.43677137512519842</v>
          </cell>
          <cell r="AD5">
            <v>0.4903756416006595</v>
          </cell>
          <cell r="AE5">
            <v>0.50357718221028069</v>
          </cell>
          <cell r="AF5">
            <v>0.43642354299234865</v>
          </cell>
          <cell r="AG5">
            <v>0.39491334064319572</v>
          </cell>
          <cell r="AH5">
            <v>0.29168503619934993</v>
          </cell>
          <cell r="AI5">
            <v>0.18503545015297554</v>
          </cell>
          <cell r="AJ5">
            <v>0.18322866013093492</v>
          </cell>
          <cell r="AK5">
            <v>0.25986778197339788</v>
          </cell>
          <cell r="AL5">
            <v>0.25351675175491994</v>
          </cell>
          <cell r="AM5">
            <v>0.26279699201785972</v>
          </cell>
          <cell r="AN5">
            <v>0.17064659271504912</v>
          </cell>
          <cell r="AO5">
            <v>0.20698505503636089</v>
          </cell>
          <cell r="AP5">
            <v>0.24515131019009903</v>
          </cell>
          <cell r="AQ5">
            <v>0.29944273231912383</v>
          </cell>
          <cell r="AR5">
            <v>0.33275297769843593</v>
          </cell>
          <cell r="AS5">
            <v>0.34778786657765137</v>
          </cell>
          <cell r="AT5">
            <v>0.40682254126251965</v>
          </cell>
          <cell r="AU5">
            <v>0.27106768349346116</v>
          </cell>
        </row>
        <row r="7">
          <cell r="G7">
            <v>0</v>
          </cell>
          <cell r="H7">
            <v>-1</v>
          </cell>
          <cell r="I7">
            <v>-2</v>
          </cell>
          <cell r="J7">
            <v>-3</v>
          </cell>
          <cell r="K7">
            <v>-4</v>
          </cell>
          <cell r="L7">
            <v>-5</v>
          </cell>
          <cell r="M7">
            <v>-6</v>
          </cell>
          <cell r="N7">
            <v>-7</v>
          </cell>
          <cell r="O7">
            <v>-8</v>
          </cell>
          <cell r="P7">
            <v>-9</v>
          </cell>
          <cell r="Q7">
            <v>-10</v>
          </cell>
          <cell r="R7">
            <v>-11</v>
          </cell>
          <cell r="S7">
            <v>-12</v>
          </cell>
          <cell r="T7">
            <v>-13</v>
          </cell>
          <cell r="U7">
            <v>-14</v>
          </cell>
          <cell r="V7">
            <v>-15</v>
          </cell>
          <cell r="W7">
            <v>-16</v>
          </cell>
          <cell r="X7">
            <v>-17</v>
          </cell>
          <cell r="Y7">
            <v>-18</v>
          </cell>
          <cell r="Z7">
            <v>-19</v>
          </cell>
          <cell r="AA7">
            <v>-20</v>
          </cell>
          <cell r="AB7">
            <v>-21</v>
          </cell>
          <cell r="AC7">
            <v>-22</v>
          </cell>
          <cell r="AD7">
            <v>-23</v>
          </cell>
          <cell r="AE7">
            <v>-24</v>
          </cell>
          <cell r="AF7">
            <v>-25</v>
          </cell>
          <cell r="AG7">
            <v>-26</v>
          </cell>
          <cell r="AH7">
            <v>-27</v>
          </cell>
          <cell r="AI7">
            <v>-28</v>
          </cell>
          <cell r="AJ7">
            <v>-29</v>
          </cell>
          <cell r="AK7">
            <v>-30</v>
          </cell>
          <cell r="AL7">
            <v>-31</v>
          </cell>
          <cell r="AM7">
            <v>-32</v>
          </cell>
          <cell r="AN7">
            <v>-33</v>
          </cell>
          <cell r="AO7">
            <v>-34</v>
          </cell>
          <cell r="AP7">
            <v>-35</v>
          </cell>
          <cell r="AQ7">
            <v>-36</v>
          </cell>
          <cell r="AR7">
            <v>-37</v>
          </cell>
          <cell r="AS7">
            <v>-38</v>
          </cell>
          <cell r="AT7">
            <v>-39</v>
          </cell>
          <cell r="AU7">
            <v>-40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vichak"/>
    </sheetNames>
    <sheetDataSet>
      <sheetData sheetId="0">
        <row r="4">
          <cell r="B4">
            <v>1963</v>
          </cell>
          <cell r="C4">
            <v>615338.55229560297</v>
          </cell>
        </row>
        <row r="5">
          <cell r="B5">
            <v>1964</v>
          </cell>
          <cell r="C5">
            <v>2181685.0607216302</v>
          </cell>
        </row>
        <row r="6">
          <cell r="B6">
            <v>1965</v>
          </cell>
          <cell r="C6">
            <v>48627304.918511003</v>
          </cell>
        </row>
        <row r="7">
          <cell r="B7">
            <v>1966</v>
          </cell>
          <cell r="C7">
            <v>8915532.9824190103</v>
          </cell>
        </row>
        <row r="8">
          <cell r="B8">
            <v>1967</v>
          </cell>
          <cell r="C8">
            <v>5545422.5274835099</v>
          </cell>
        </row>
        <row r="9">
          <cell r="B9">
            <v>1968</v>
          </cell>
          <cell r="C9">
            <v>3975964.0956830098</v>
          </cell>
        </row>
        <row r="10">
          <cell r="B10">
            <v>1969</v>
          </cell>
          <cell r="C10">
            <v>14054748.968049999</v>
          </cell>
        </row>
        <row r="11">
          <cell r="B11">
            <v>1970</v>
          </cell>
          <cell r="C11">
            <v>34839684.715581</v>
          </cell>
        </row>
        <row r="12">
          <cell r="B12">
            <v>1971</v>
          </cell>
          <cell r="C12">
            <v>6978106.7842170298</v>
          </cell>
        </row>
        <row r="13">
          <cell r="B13">
            <v>1972</v>
          </cell>
          <cell r="C13">
            <v>2132286.5784802702</v>
          </cell>
        </row>
        <row r="14">
          <cell r="B14">
            <v>1973</v>
          </cell>
          <cell r="C14">
            <v>410486.62934340502</v>
          </cell>
        </row>
        <row r="15">
          <cell r="B15">
            <v>1974</v>
          </cell>
          <cell r="C15">
            <v>5061353.0873880098</v>
          </cell>
        </row>
        <row r="16">
          <cell r="B16">
            <v>1975</v>
          </cell>
          <cell r="C16">
            <v>16219630.699003</v>
          </cell>
        </row>
        <row r="17">
          <cell r="B17">
            <v>1976</v>
          </cell>
          <cell r="C17">
            <v>3545332.4575000401</v>
          </cell>
        </row>
        <row r="18">
          <cell r="B18">
            <v>1977</v>
          </cell>
          <cell r="C18">
            <v>1675472.2523318001</v>
          </cell>
        </row>
        <row r="19">
          <cell r="B19">
            <v>1978</v>
          </cell>
          <cell r="C19">
            <v>7919094.2169210697</v>
          </cell>
        </row>
        <row r="20">
          <cell r="B20">
            <v>1979</v>
          </cell>
          <cell r="C20">
            <v>24927042.451058</v>
          </cell>
        </row>
        <row r="21">
          <cell r="B21">
            <v>1980</v>
          </cell>
          <cell r="C21">
            <v>37931680.055286199</v>
          </cell>
        </row>
        <row r="22">
          <cell r="B22">
            <v>1981</v>
          </cell>
          <cell r="C22">
            <v>6901353.487857</v>
          </cell>
        </row>
        <row r="23">
          <cell r="B23">
            <v>1982</v>
          </cell>
          <cell r="C23">
            <v>2811875.1391500002</v>
          </cell>
        </row>
        <row r="24">
          <cell r="B24">
            <v>1983</v>
          </cell>
          <cell r="C24">
            <v>21496871.561402999</v>
          </cell>
        </row>
        <row r="25">
          <cell r="B25">
            <v>1984</v>
          </cell>
          <cell r="C25">
            <v>23930917.962620001</v>
          </cell>
        </row>
        <row r="26">
          <cell r="B26">
            <v>1985</v>
          </cell>
          <cell r="C26">
            <v>14093497.289049</v>
          </cell>
        </row>
        <row r="27">
          <cell r="B27">
            <v>1986</v>
          </cell>
          <cell r="C27">
            <v>2012448.6116129099</v>
          </cell>
        </row>
        <row r="28">
          <cell r="B28">
            <v>1987</v>
          </cell>
          <cell r="C28">
            <v>10318113.254788101</v>
          </cell>
        </row>
        <row r="29">
          <cell r="B29">
            <v>1988</v>
          </cell>
          <cell r="C29">
            <v>6860048.6126930099</v>
          </cell>
        </row>
        <row r="30">
          <cell r="B30">
            <v>1989</v>
          </cell>
          <cell r="C30">
            <v>20484408.004480999</v>
          </cell>
        </row>
        <row r="31">
          <cell r="B31">
            <v>1990</v>
          </cell>
          <cell r="C31">
            <v>18192988.959779002</v>
          </cell>
        </row>
        <row r="32">
          <cell r="B32">
            <v>1991</v>
          </cell>
          <cell r="C32">
            <v>8613126.7931474093</v>
          </cell>
        </row>
        <row r="33">
          <cell r="B33">
            <v>1992</v>
          </cell>
          <cell r="C33">
            <v>10628639.807515001</v>
          </cell>
        </row>
        <row r="34">
          <cell r="B34">
            <v>1993</v>
          </cell>
          <cell r="C34">
            <v>8064870.9306939198</v>
          </cell>
        </row>
        <row r="35">
          <cell r="B35">
            <v>1994</v>
          </cell>
          <cell r="C35">
            <v>21592336.784862999</v>
          </cell>
        </row>
        <row r="36">
          <cell r="B36">
            <v>1995</v>
          </cell>
          <cell r="C36">
            <v>28426663.093738001</v>
          </cell>
        </row>
        <row r="37">
          <cell r="B37">
            <v>1996</v>
          </cell>
          <cell r="C37">
            <v>4474670.1871116199</v>
          </cell>
        </row>
        <row r="38">
          <cell r="B38">
            <v>1997</v>
          </cell>
          <cell r="C38">
            <v>2392217.5839761398</v>
          </cell>
        </row>
        <row r="39">
          <cell r="B39">
            <v>1998</v>
          </cell>
          <cell r="C39">
            <v>3811020.5496040098</v>
          </cell>
        </row>
        <row r="40">
          <cell r="B40">
            <v>1999</v>
          </cell>
          <cell r="C40">
            <v>13203151.607286001</v>
          </cell>
        </row>
        <row r="41">
          <cell r="B41">
            <v>2000</v>
          </cell>
          <cell r="C41">
            <v>3569959.42135939</v>
          </cell>
        </row>
        <row r="42">
          <cell r="B42">
            <v>2001</v>
          </cell>
          <cell r="C42">
            <v>1940224.7079255499</v>
          </cell>
        </row>
        <row r="43">
          <cell r="B43">
            <v>2002</v>
          </cell>
          <cell r="C43">
            <v>897873.61107529094</v>
          </cell>
        </row>
        <row r="44">
          <cell r="B44">
            <v>2003</v>
          </cell>
          <cell r="C44">
            <v>2001790.1856400799</v>
          </cell>
        </row>
        <row r="45">
          <cell r="B45">
            <v>2004</v>
          </cell>
          <cell r="C45">
            <v>8091278.3092360198</v>
          </cell>
        </row>
        <row r="46">
          <cell r="B46">
            <v>2005</v>
          </cell>
          <cell r="C46">
            <v>2867678.88875543</v>
          </cell>
        </row>
        <row r="47">
          <cell r="B47">
            <v>2006</v>
          </cell>
          <cell r="C47">
            <v>5715389.7959823199</v>
          </cell>
          <cell r="D47">
            <v>15.558673058656325</v>
          </cell>
        </row>
        <row r="48">
          <cell r="B48">
            <v>2007</v>
          </cell>
          <cell r="C48">
            <v>5917491.9635800105</v>
          </cell>
          <cell r="D48">
            <v>15.593423262292465</v>
          </cell>
        </row>
        <row r="49">
          <cell r="B49">
            <v>2008</v>
          </cell>
          <cell r="C49">
            <v>6032351.80396102</v>
          </cell>
          <cell r="D49">
            <v>15.612647509907047</v>
          </cell>
        </row>
        <row r="50">
          <cell r="B50">
            <v>2009</v>
          </cell>
          <cell r="C50">
            <v>6961784.0938240103</v>
          </cell>
          <cell r="D50">
            <v>15.755946334781859</v>
          </cell>
        </row>
        <row r="51">
          <cell r="B51">
            <v>2010</v>
          </cell>
          <cell r="C51">
            <v>10779329.067299999</v>
          </cell>
          <cell r="D51">
            <v>16.193140882853303</v>
          </cell>
        </row>
        <row r="52">
          <cell r="B52">
            <v>2011</v>
          </cell>
          <cell r="C52">
            <v>7228364.4379280498</v>
          </cell>
          <cell r="D52">
            <v>15.793523349723147</v>
          </cell>
        </row>
        <row r="53">
          <cell r="B53">
            <v>2012</v>
          </cell>
          <cell r="C53">
            <v>12269042.282512899</v>
          </cell>
          <cell r="D53">
            <v>16.322589760055823</v>
          </cell>
        </row>
        <row r="54">
          <cell r="B54">
            <v>2013</v>
          </cell>
          <cell r="C54">
            <v>6325832.5504131103</v>
          </cell>
          <cell r="D54">
            <v>15.660152212439396</v>
          </cell>
        </row>
        <row r="55">
          <cell r="B55">
            <v>2014</v>
          </cell>
          <cell r="C55">
            <v>17609473.737065502</v>
          </cell>
          <cell r="D55">
            <v>16.683947595702477</v>
          </cell>
        </row>
        <row r="56">
          <cell r="B56">
            <v>2015</v>
          </cell>
          <cell r="C56">
            <v>23103789.688104901</v>
          </cell>
          <cell r="D56">
            <v>16.955507217798463</v>
          </cell>
        </row>
        <row r="57">
          <cell r="B57">
            <v>2016</v>
          </cell>
          <cell r="C57">
            <v>14195449.420887001</v>
          </cell>
          <cell r="D57">
            <v>16.468432007894329</v>
          </cell>
        </row>
        <row r="58">
          <cell r="B58">
            <v>2017</v>
          </cell>
          <cell r="C58">
            <v>7250329.0924582602</v>
          </cell>
          <cell r="D58">
            <v>15.796557417863877</v>
          </cell>
        </row>
        <row r="59">
          <cell r="B59">
            <v>2018</v>
          </cell>
          <cell r="C59">
            <v>7466680.0053188298</v>
          </cell>
          <cell r="D59">
            <v>15.825961014582193</v>
          </cell>
        </row>
        <row r="60">
          <cell r="B60">
            <v>2019</v>
          </cell>
          <cell r="C60">
            <v>7936268.7898550499</v>
          </cell>
          <cell r="D60">
            <v>15.886953797062677</v>
          </cell>
        </row>
        <row r="61">
          <cell r="B61">
            <v>2020</v>
          </cell>
          <cell r="C61">
            <v>9866664.5982990097</v>
          </cell>
          <cell r="D61">
            <v>16.104672420994302</v>
          </cell>
        </row>
        <row r="62">
          <cell r="B62">
            <v>2021</v>
          </cell>
          <cell r="C62">
            <v>8907367.5156074204</v>
          </cell>
          <cell r="D62">
            <v>16.002389302998438</v>
          </cell>
        </row>
        <row r="63">
          <cell r="B63">
            <v>2022</v>
          </cell>
          <cell r="C63">
            <v>13647265.5899143</v>
          </cell>
          <cell r="D63">
            <v>16.429049736444693</v>
          </cell>
        </row>
        <row r="64">
          <cell r="B64">
            <v>2023</v>
          </cell>
          <cell r="C64">
            <v>8759375.6699135397</v>
          </cell>
          <cell r="D64">
            <v>15.985635189814893</v>
          </cell>
        </row>
        <row r="65">
          <cell r="B65">
            <v>2024</v>
          </cell>
          <cell r="C65">
            <v>12207052.9844853</v>
          </cell>
          <cell r="D65">
            <v>16.317524456142664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fficial"/>
      <sheetName val="Alagnak"/>
      <sheetName val="Egegik"/>
      <sheetName val="Igushik"/>
      <sheetName val="Kvichak"/>
      <sheetName val="Naknek"/>
      <sheetName val="Nushagak"/>
      <sheetName val="Ugashik"/>
      <sheetName val="Wood"/>
    </sheetNames>
    <sheetDataSet>
      <sheetData sheetId="0"/>
      <sheetData sheetId="1"/>
      <sheetData sheetId="2"/>
      <sheetData sheetId="3"/>
      <sheetData sheetId="4">
        <row r="65">
          <cell r="B65">
            <v>2024</v>
          </cell>
          <cell r="D65">
            <v>16.317524456142664</v>
          </cell>
        </row>
        <row r="89">
          <cell r="G89">
            <v>236513.57398061099</v>
          </cell>
        </row>
        <row r="90">
          <cell r="G90">
            <v>1017276.97189771</v>
          </cell>
          <cell r="H90">
            <v>3.6439995883634002E-2</v>
          </cell>
        </row>
        <row r="91">
          <cell r="G91">
            <v>415244.555149864</v>
          </cell>
          <cell r="H91">
            <v>456190.02356775303</v>
          </cell>
        </row>
        <row r="92">
          <cell r="G92">
            <v>107816.714581953</v>
          </cell>
          <cell r="H92">
            <v>201592.68823995101</v>
          </cell>
        </row>
        <row r="93">
          <cell r="G93">
            <v>31231.4774550076</v>
          </cell>
          <cell r="H93">
            <v>133172.548187807</v>
          </cell>
        </row>
        <row r="94">
          <cell r="G94">
            <v>2288423.1753992001</v>
          </cell>
          <cell r="H94">
            <v>80022.549513591497</v>
          </cell>
        </row>
        <row r="95">
          <cell r="G95">
            <v>10321864.2975106</v>
          </cell>
          <cell r="H95">
            <v>288370.72979837097</v>
          </cell>
        </row>
        <row r="96">
          <cell r="G96">
            <v>524321.60158961103</v>
          </cell>
          <cell r="H96">
            <v>299792.792135706</v>
          </cell>
        </row>
        <row r="97">
          <cell r="G97">
            <v>342819.37797853898</v>
          </cell>
          <cell r="H97">
            <v>885877.93522364099</v>
          </cell>
        </row>
        <row r="98">
          <cell r="G98">
            <v>300687.473853954</v>
          </cell>
          <cell r="H98">
            <v>321956.12171723403</v>
          </cell>
        </row>
        <row r="99">
          <cell r="G99">
            <v>149287.15980969401</v>
          </cell>
          <cell r="H99">
            <v>38561.098342685698</v>
          </cell>
        </row>
        <row r="100">
          <cell r="G100">
            <v>45470.509864138199</v>
          </cell>
          <cell r="H100">
            <v>321597.19322263502</v>
          </cell>
        </row>
        <row r="101">
          <cell r="G101">
            <v>321013.17765240202</v>
          </cell>
          <cell r="H101">
            <v>40279.628289244603</v>
          </cell>
        </row>
        <row r="102">
          <cell r="G102">
            <v>1971913.28735589</v>
          </cell>
          <cell r="H102">
            <v>653574.95887860295</v>
          </cell>
        </row>
        <row r="103">
          <cell r="G103">
            <v>531509.24115837202</v>
          </cell>
          <cell r="H103">
            <v>142304.89789723299</v>
          </cell>
        </row>
        <row r="104">
          <cell r="G104">
            <v>6047998.6536522396</v>
          </cell>
          <cell r="H104">
            <v>1048800.1809499001</v>
          </cell>
        </row>
        <row r="105">
          <cell r="G105">
            <v>5468930.8903334299</v>
          </cell>
          <cell r="H105">
            <v>1845015.04188107</v>
          </cell>
        </row>
        <row r="106">
          <cell r="G106">
            <v>5940227.8133407403</v>
          </cell>
          <cell r="H106">
            <v>1305049.2148203901</v>
          </cell>
        </row>
        <row r="107">
          <cell r="G107">
            <v>2024757.69932087</v>
          </cell>
          <cell r="H107">
            <v>675757.59228723298</v>
          </cell>
        </row>
        <row r="108">
          <cell r="G108">
            <v>1613301.0436080501</v>
          </cell>
          <cell r="H108">
            <v>718009.887947749</v>
          </cell>
        </row>
        <row r="109">
          <cell r="G109">
            <v>18868217.354832299</v>
          </cell>
          <cell r="H109">
            <v>1063135.9708225101</v>
          </cell>
        </row>
        <row r="110">
          <cell r="G110">
            <v>2539066.5916819698</v>
          </cell>
          <cell r="H110">
            <v>2470065.01013749</v>
          </cell>
        </row>
        <row r="111">
          <cell r="G111">
            <v>745204.88033745205</v>
          </cell>
          <cell r="H111">
            <v>1385037.2629771701</v>
          </cell>
        </row>
        <row r="112">
          <cell r="G112">
            <v>492725.22020265198</v>
          </cell>
          <cell r="H112">
            <v>188998.29679534401</v>
          </cell>
        </row>
        <row r="113">
          <cell r="G113">
            <v>9267004.5553450603</v>
          </cell>
          <cell r="H113">
            <v>385822.91020932503</v>
          </cell>
        </row>
        <row r="114">
          <cell r="G114">
            <v>2578692.8006927799</v>
          </cell>
          <cell r="H114">
            <v>2995169.76133723</v>
          </cell>
        </row>
        <row r="115">
          <cell r="G115">
            <v>1051304.82291986</v>
          </cell>
          <cell r="H115">
            <v>1438442.5016614201</v>
          </cell>
        </row>
        <row r="116">
          <cell r="G116">
            <v>652916.62252959399</v>
          </cell>
          <cell r="H116">
            <v>959015.79090048501</v>
          </cell>
        </row>
        <row r="117">
          <cell r="G117">
            <v>4715391.6510769604</v>
          </cell>
          <cell r="H117">
            <v>868158.91799846897</v>
          </cell>
        </row>
        <row r="118">
          <cell r="G118">
            <v>3035791.52389429</v>
          </cell>
          <cell r="H118">
            <v>2193830.7126480602</v>
          </cell>
        </row>
        <row r="119">
          <cell r="G119">
            <v>1860643.86705856</v>
          </cell>
          <cell r="H119">
            <v>1958434.41272523</v>
          </cell>
        </row>
        <row r="120">
          <cell r="G120">
            <v>1635679.81816017</v>
          </cell>
          <cell r="H120">
            <v>1072382.73567232</v>
          </cell>
        </row>
        <row r="121">
          <cell r="G121">
            <v>2192435.4713108302</v>
          </cell>
          <cell r="H121">
            <v>890766.52827216603</v>
          </cell>
        </row>
        <row r="122">
          <cell r="G122">
            <v>651582.68725256901</v>
          </cell>
          <cell r="H122">
            <v>1181693.15116645</v>
          </cell>
        </row>
        <row r="123">
          <cell r="G123">
            <v>1087088.05581493</v>
          </cell>
          <cell r="H123">
            <v>300635.18787046598</v>
          </cell>
        </row>
        <row r="124">
          <cell r="G124">
            <v>2023631.03936713</v>
          </cell>
          <cell r="H124">
            <v>873115.77486185497</v>
          </cell>
        </row>
        <row r="125">
          <cell r="G125">
            <v>7737952.0220754296</v>
          </cell>
          <cell r="H125">
            <v>1062071.6033361901</v>
          </cell>
        </row>
        <row r="126">
          <cell r="G126">
            <v>547555.93910410604</v>
          </cell>
          <cell r="H126">
            <v>2098055.6476268</v>
          </cell>
        </row>
        <row r="127">
          <cell r="G127">
            <v>159364.71419261899</v>
          </cell>
          <cell r="H127">
            <v>1651817.7864150701</v>
          </cell>
        </row>
        <row r="128">
          <cell r="G128">
            <v>375942.27518815198</v>
          </cell>
          <cell r="H128">
            <v>140515.836672732</v>
          </cell>
        </row>
        <row r="129">
          <cell r="G129">
            <v>1010493.43929947</v>
          </cell>
          <cell r="H129">
            <v>422187.12283754302</v>
          </cell>
        </row>
        <row r="130">
          <cell r="G130">
            <v>1884667.87736433</v>
          </cell>
          <cell r="H130">
            <v>278784.25885893899</v>
          </cell>
        </row>
        <row r="131">
          <cell r="F131">
            <v>3390.69693475351</v>
          </cell>
          <cell r="G131">
            <v>633259.02696178795</v>
          </cell>
          <cell r="H131">
            <v>1264567.00289689</v>
          </cell>
          <cell r="K131">
            <v>742842.99047039403</v>
          </cell>
        </row>
        <row r="132">
          <cell r="F132">
            <v>3846.7367208476799</v>
          </cell>
          <cell r="G132">
            <v>2456932.1869443902</v>
          </cell>
          <cell r="H132">
            <v>2051098.4702330399</v>
          </cell>
          <cell r="K132">
            <v>819689.21328180295</v>
          </cell>
          <cell r="L132">
            <v>367259.34656509402</v>
          </cell>
        </row>
        <row r="133">
          <cell r="F133">
            <v>0</v>
          </cell>
          <cell r="G133">
            <v>3595854.0101312199</v>
          </cell>
          <cell r="H133">
            <v>1265247.02367751</v>
          </cell>
          <cell r="K133">
            <v>142426.30435677199</v>
          </cell>
          <cell r="L133">
            <v>901130.75954439002</v>
          </cell>
        </row>
        <row r="134">
          <cell r="F134">
            <v>4315.9889299092401</v>
          </cell>
          <cell r="G134">
            <v>4799243.5393628199</v>
          </cell>
          <cell r="H134">
            <v>1186521.23070345</v>
          </cell>
          <cell r="K134">
            <v>31398.658141728101</v>
          </cell>
          <cell r="L134">
            <v>10248.795355579899</v>
          </cell>
        </row>
        <row r="135">
          <cell r="F135">
            <v>2910.8827186049698</v>
          </cell>
          <cell r="G135">
            <v>1254242.5550963001</v>
          </cell>
          <cell r="H135">
            <v>2931163.7992824898</v>
          </cell>
          <cell r="K135">
            <v>2634425.8540318399</v>
          </cell>
          <cell r="L135">
            <v>129764.410910465</v>
          </cell>
        </row>
        <row r="136">
          <cell r="F136">
            <v>3.1287402296158098E-9</v>
          </cell>
          <cell r="G136">
            <v>3663815.1240694402</v>
          </cell>
          <cell r="H136">
            <v>2033447.4117072499</v>
          </cell>
          <cell r="K136">
            <v>4527247.8635668</v>
          </cell>
          <cell r="L136">
            <v>554818.66730966698</v>
          </cell>
        </row>
        <row r="137">
          <cell r="F137">
            <v>0</v>
          </cell>
          <cell r="G137">
            <v>1542519.6160436401</v>
          </cell>
          <cell r="H137">
            <v>2701997.1698060399</v>
          </cell>
          <cell r="K137">
            <v>1197114.7760107799</v>
          </cell>
          <cell r="L137">
            <v>1754060.95432576</v>
          </cell>
        </row>
        <row r="138">
          <cell r="F138">
            <v>0</v>
          </cell>
          <cell r="G138">
            <v>2680276.8488356099</v>
          </cell>
          <cell r="H138">
            <v>1853138.5504592999</v>
          </cell>
          <cell r="K138">
            <v>6975694.8538304605</v>
          </cell>
          <cell r="L138">
            <v>746953.27089689905</v>
          </cell>
        </row>
        <row r="139">
          <cell r="F139">
            <v>3046.7757735625701</v>
          </cell>
          <cell r="G139">
            <v>741126.90498455497</v>
          </cell>
          <cell r="H139">
            <v>1931316.27522207</v>
          </cell>
          <cell r="K139">
            <v>1247831.2599196199</v>
          </cell>
          <cell r="L139">
            <v>2380396.53009255</v>
          </cell>
        </row>
        <row r="140">
          <cell r="F140">
            <v>4590.98176056788</v>
          </cell>
          <cell r="G140">
            <v>6056268.63210217</v>
          </cell>
          <cell r="H140">
            <v>1002139.74787987</v>
          </cell>
          <cell r="K140">
            <v>9731029.1591879502</v>
          </cell>
          <cell r="L140">
            <v>679367.62001147401</v>
          </cell>
        </row>
        <row r="141">
          <cell r="F141">
            <v>21301.026131666302</v>
          </cell>
          <cell r="G141">
            <v>2846068.6397227598</v>
          </cell>
          <cell r="H141">
            <v>5544927.7561170198</v>
          </cell>
          <cell r="K141">
            <v>13230425.139591301</v>
          </cell>
          <cell r="L141">
            <v>1396185.01086911</v>
          </cell>
        </row>
        <row r="142">
          <cell r="F142">
            <v>2615.7121110550802</v>
          </cell>
          <cell r="G142">
            <v>8590994.4996388797</v>
          </cell>
          <cell r="H142">
            <v>2168999.19073739</v>
          </cell>
          <cell r="K142">
            <v>2573729.23298511</v>
          </cell>
          <cell r="L142">
            <v>851679.14203451201</v>
          </cell>
        </row>
        <row r="143">
          <cell r="F143">
            <v>9832.2964493395102</v>
          </cell>
          <cell r="G143">
            <v>3713931.1999689001</v>
          </cell>
          <cell r="H143">
            <v>2635003.4804184898</v>
          </cell>
          <cell r="K143">
            <v>397152.81642809598</v>
          </cell>
          <cell r="L143">
            <v>491949.80259328597</v>
          </cell>
        </row>
        <row r="144">
          <cell r="F144">
            <v>4226.6375189437604</v>
          </cell>
          <cell r="G144">
            <v>4484066.1512117703</v>
          </cell>
          <cell r="H144">
            <v>2789273.8525459301</v>
          </cell>
          <cell r="K144">
            <v>38269.390429415202</v>
          </cell>
          <cell r="L144">
            <v>143170.08095041601</v>
          </cell>
        </row>
        <row r="145">
          <cell r="F145">
            <v>3010.9366544146201</v>
          </cell>
          <cell r="G145">
            <v>5743118.1695535798</v>
          </cell>
          <cell r="H145">
            <v>2072930.0898513999</v>
          </cell>
          <cell r="K145">
            <v>71801.7612738147</v>
          </cell>
          <cell r="L145">
            <v>32242.898140994101</v>
          </cell>
        </row>
        <row r="146">
          <cell r="F146">
            <v>1510.99094289287</v>
          </cell>
          <cell r="G146">
            <v>2659890.6318173599</v>
          </cell>
          <cell r="H146">
            <v>7068370.8626361899</v>
          </cell>
          <cell r="K146">
            <v>119279.235687259</v>
          </cell>
          <cell r="L146">
            <v>3352.85834573492</v>
          </cell>
        </row>
        <row r="147">
          <cell r="F147">
            <v>12734.7865283423</v>
          </cell>
          <cell r="G147">
            <v>6164745.28905355</v>
          </cell>
          <cell r="H147">
            <v>1895608.6447663701</v>
          </cell>
          <cell r="K147">
            <v>577513.28970349499</v>
          </cell>
          <cell r="L147">
            <v>243444.801521669</v>
          </cell>
        </row>
        <row r="148">
          <cell r="F148">
            <v>1.04449762391799E-6</v>
          </cell>
          <cell r="G148">
            <v>6416570.5196083598</v>
          </cell>
          <cell r="H148">
            <v>4963345.9237097697</v>
          </cell>
          <cell r="K148">
            <v>2091249.8818920499</v>
          </cell>
          <cell r="L148">
            <v>174283.25566041001</v>
          </cell>
        </row>
        <row r="149">
          <cell r="F149">
            <v>11391.816740676601</v>
          </cell>
          <cell r="G149">
            <v>1233550.9914899699</v>
          </cell>
          <cell r="H149">
            <v>5597038.68300841</v>
          </cell>
          <cell r="K149">
            <v>367103.98740078998</v>
          </cell>
          <cell r="L149">
            <v>1536242.24092957</v>
          </cell>
        </row>
        <row r="150">
          <cell r="G150">
            <v>9939082.9249525592</v>
          </cell>
          <cell r="H150">
            <v>1169655.81357598</v>
          </cell>
          <cell r="L150">
            <v>319582.19292143401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799AF-9F88-4A07-B36E-5936E9BAA03D}">
  <dimension ref="A1:AU53"/>
  <sheetViews>
    <sheetView workbookViewId="0">
      <selection activeCell="AD53" sqref="AD53"/>
    </sheetView>
  </sheetViews>
  <sheetFormatPr defaultRowHeight="15" x14ac:dyDescent="0.25"/>
  <cols>
    <col min="2" max="2" width="7.7109375" customWidth="1"/>
  </cols>
  <sheetData>
    <row r="1" spans="1:47" x14ac:dyDescent="0.25">
      <c r="A1" t="s">
        <v>9</v>
      </c>
    </row>
    <row r="2" spans="1:47" x14ac:dyDescent="0.25">
      <c r="A2" s="3"/>
      <c r="B2" s="3"/>
      <c r="C2" s="3"/>
      <c r="D2" s="3"/>
      <c r="E2" s="3"/>
    </row>
    <row r="3" spans="1:47" x14ac:dyDescent="0.25">
      <c r="A3" s="3"/>
      <c r="B3" s="3"/>
      <c r="C3" s="3"/>
      <c r="D3" s="5"/>
      <c r="E3" s="5"/>
    </row>
    <row r="4" spans="1:47" x14ac:dyDescent="0.25">
      <c r="A4" s="3"/>
      <c r="B4" s="3"/>
      <c r="C4" s="3"/>
      <c r="D4" s="3"/>
      <c r="E4" s="3"/>
      <c r="F4" t="s">
        <v>6</v>
      </c>
      <c r="G4">
        <f>CORREL($D$34:$D$51,G34:G51)</f>
        <v>4.7919104555892197E-2</v>
      </c>
      <c r="H4">
        <f t="shared" ref="H4:R4" si="0">CORREL($D$34:$D$51,H34:H51)</f>
        <v>-6.9932952332816198E-2</v>
      </c>
      <c r="I4">
        <f t="shared" si="0"/>
        <v>-0.1154362601131497</v>
      </c>
      <c r="J4">
        <f t="shared" si="0"/>
        <v>-0.20501896396528735</v>
      </c>
      <c r="K4">
        <f t="shared" si="0"/>
        <v>-0.31116811443956705</v>
      </c>
      <c r="L4">
        <f t="shared" si="0"/>
        <v>-0.22157795355766641</v>
      </c>
      <c r="M4">
        <f t="shared" si="0"/>
        <v>5.1213553893402146E-2</v>
      </c>
      <c r="N4">
        <f t="shared" si="0"/>
        <v>-8.6803064877244263E-2</v>
      </c>
      <c r="O4">
        <f t="shared" si="0"/>
        <v>-0.17280692770541783</v>
      </c>
      <c r="P4">
        <f t="shared" si="0"/>
        <v>-0.13765980261906077</v>
      </c>
      <c r="Q4">
        <f t="shared" si="0"/>
        <v>-2.4123525451052268E-2</v>
      </c>
      <c r="R4">
        <f t="shared" si="0"/>
        <v>-1.6465047539136414E-3</v>
      </c>
      <c r="S4">
        <f>CORREL($D$34:$D$52,S34:S52)</f>
        <v>0.23319893570259931</v>
      </c>
      <c r="T4">
        <f t="shared" ref="T4:AU4" si="1">CORREL($D$34:$D$52,T34:T52)</f>
        <v>0.38290810496762551</v>
      </c>
      <c r="U4">
        <f t="shared" si="1"/>
        <v>0.3019040458340998</v>
      </c>
      <c r="V4">
        <f t="shared" si="1"/>
        <v>0.56170423802269021</v>
      </c>
      <c r="W4">
        <f t="shared" si="1"/>
        <v>0.39689985516155335</v>
      </c>
      <c r="X4">
        <f t="shared" si="1"/>
        <v>0.53094246114468324</v>
      </c>
      <c r="Y4">
        <f t="shared" si="1"/>
        <v>0.32218664165720357</v>
      </c>
      <c r="Z4">
        <f t="shared" si="1"/>
        <v>0.4517619699823382</v>
      </c>
      <c r="AA4">
        <f t="shared" si="1"/>
        <v>0.56513864864949337</v>
      </c>
      <c r="AB4">
        <f t="shared" si="1"/>
        <v>0.59201976329267492</v>
      </c>
      <c r="AC4">
        <f t="shared" si="1"/>
        <v>0.67947682524497488</v>
      </c>
      <c r="AD4">
        <f t="shared" si="1"/>
        <v>0.69121796080875419</v>
      </c>
      <c r="AE4">
        <f t="shared" si="1"/>
        <v>0.54452886873007511</v>
      </c>
      <c r="AF4">
        <f t="shared" si="1"/>
        <v>0.41299974299193298</v>
      </c>
      <c r="AG4">
        <f t="shared" si="1"/>
        <v>0.36408973509004344</v>
      </c>
      <c r="AH4">
        <f t="shared" si="1"/>
        <v>0.18940036387742568</v>
      </c>
      <c r="AI4">
        <f t="shared" si="1"/>
        <v>0.27593962364520158</v>
      </c>
      <c r="AJ4">
        <f t="shared" si="1"/>
        <v>0.40034258842564857</v>
      </c>
      <c r="AK4">
        <f t="shared" si="1"/>
        <v>0.36573387195326812</v>
      </c>
      <c r="AL4">
        <f t="shared" si="1"/>
        <v>0.35380962317533005</v>
      </c>
      <c r="AM4">
        <f t="shared" si="1"/>
        <v>0.29761522592298062</v>
      </c>
      <c r="AN4">
        <f t="shared" si="1"/>
        <v>0.28636362725030451</v>
      </c>
      <c r="AO4">
        <f t="shared" si="1"/>
        <v>0.22932678700255882</v>
      </c>
      <c r="AP4">
        <f t="shared" si="1"/>
        <v>0.25644748276927803</v>
      </c>
      <c r="AQ4">
        <f t="shared" si="1"/>
        <v>0.47975586330689501</v>
      </c>
      <c r="AR4">
        <f t="shared" si="1"/>
        <v>0.43257980627816767</v>
      </c>
      <c r="AS4">
        <f t="shared" si="1"/>
        <v>0.55242696941269143</v>
      </c>
      <c r="AT4">
        <f t="shared" si="1"/>
        <v>0.43553047509015846</v>
      </c>
      <c r="AU4">
        <f t="shared" si="1"/>
        <v>0.49402129124999772</v>
      </c>
    </row>
    <row r="5" spans="1:47" x14ac:dyDescent="0.25">
      <c r="A5" s="3"/>
      <c r="B5" s="3"/>
      <c r="C5" s="3"/>
      <c r="D5" s="3"/>
      <c r="E5" s="3"/>
      <c r="F5" t="s">
        <v>6</v>
      </c>
      <c r="G5" t="e">
        <f>CORREL($D$13:$D$33,G13:G33)</f>
        <v>#DIV/0!</v>
      </c>
      <c r="H5" t="e">
        <f t="shared" ref="H5:AU5" si="2">CORREL($D$13:$D$33,H13:H33)</f>
        <v>#DIV/0!</v>
      </c>
      <c r="I5" t="e">
        <f t="shared" si="2"/>
        <v>#DIV/0!</v>
      </c>
      <c r="J5" t="e">
        <f t="shared" si="2"/>
        <v>#DIV/0!</v>
      </c>
      <c r="K5" t="e">
        <f t="shared" si="2"/>
        <v>#DIV/0!</v>
      </c>
      <c r="L5" t="e">
        <f t="shared" si="2"/>
        <v>#DIV/0!</v>
      </c>
      <c r="M5" t="e">
        <f t="shared" si="2"/>
        <v>#DIV/0!</v>
      </c>
      <c r="N5" t="e">
        <f t="shared" si="2"/>
        <v>#DIV/0!</v>
      </c>
      <c r="O5" t="e">
        <f t="shared" si="2"/>
        <v>#DIV/0!</v>
      </c>
      <c r="P5" t="e">
        <f t="shared" si="2"/>
        <v>#DIV/0!</v>
      </c>
      <c r="Q5" t="e">
        <f t="shared" si="2"/>
        <v>#DIV/0!</v>
      </c>
      <c r="R5" t="e">
        <f t="shared" si="2"/>
        <v>#DIV/0!</v>
      </c>
      <c r="S5" t="e">
        <f t="shared" si="2"/>
        <v>#DIV/0!</v>
      </c>
      <c r="T5" t="e">
        <f t="shared" si="2"/>
        <v>#DIV/0!</v>
      </c>
      <c r="U5" t="e">
        <f t="shared" si="2"/>
        <v>#DIV/0!</v>
      </c>
      <c r="V5" t="e">
        <f t="shared" si="2"/>
        <v>#DIV/0!</v>
      </c>
      <c r="W5" t="e">
        <f t="shared" si="2"/>
        <v>#DIV/0!</v>
      </c>
      <c r="X5" t="e">
        <f t="shared" si="2"/>
        <v>#DIV/0!</v>
      </c>
      <c r="Y5" t="e">
        <f t="shared" si="2"/>
        <v>#DIV/0!</v>
      </c>
      <c r="Z5" t="e">
        <f t="shared" si="2"/>
        <v>#DIV/0!</v>
      </c>
      <c r="AA5" t="e">
        <f t="shared" si="2"/>
        <v>#DIV/0!</v>
      </c>
      <c r="AB5" t="e">
        <f t="shared" si="2"/>
        <v>#DIV/0!</v>
      </c>
      <c r="AC5" t="e">
        <f t="shared" si="2"/>
        <v>#DIV/0!</v>
      </c>
      <c r="AD5" t="e">
        <f t="shared" si="2"/>
        <v>#DIV/0!</v>
      </c>
      <c r="AE5" t="e">
        <f t="shared" si="2"/>
        <v>#DIV/0!</v>
      </c>
      <c r="AF5" t="e">
        <f t="shared" si="2"/>
        <v>#DIV/0!</v>
      </c>
      <c r="AG5" t="e">
        <f t="shared" si="2"/>
        <v>#DIV/0!</v>
      </c>
      <c r="AH5" t="e">
        <f t="shared" si="2"/>
        <v>#DIV/0!</v>
      </c>
      <c r="AI5" t="e">
        <f t="shared" si="2"/>
        <v>#DIV/0!</v>
      </c>
      <c r="AJ5" t="e">
        <f t="shared" si="2"/>
        <v>#DIV/0!</v>
      </c>
      <c r="AK5" t="e">
        <f t="shared" si="2"/>
        <v>#DIV/0!</v>
      </c>
      <c r="AL5" t="e">
        <f t="shared" si="2"/>
        <v>#DIV/0!</v>
      </c>
      <c r="AM5" t="e">
        <f t="shared" si="2"/>
        <v>#DIV/0!</v>
      </c>
      <c r="AN5" t="e">
        <f t="shared" si="2"/>
        <v>#DIV/0!</v>
      </c>
      <c r="AO5" t="e">
        <f t="shared" si="2"/>
        <v>#DIV/0!</v>
      </c>
      <c r="AP5" t="e">
        <f t="shared" si="2"/>
        <v>#DIV/0!</v>
      </c>
      <c r="AQ5" t="e">
        <f t="shared" si="2"/>
        <v>#DIV/0!</v>
      </c>
      <c r="AR5" t="e">
        <f t="shared" si="2"/>
        <v>#DIV/0!</v>
      </c>
      <c r="AS5" t="e">
        <f t="shared" si="2"/>
        <v>#DIV/0!</v>
      </c>
      <c r="AT5" t="e">
        <f t="shared" si="2"/>
        <v>#DIV/0!</v>
      </c>
      <c r="AU5" t="e">
        <f t="shared" si="2"/>
        <v>#DIV/0!</v>
      </c>
    </row>
    <row r="6" spans="1:47" x14ac:dyDescent="0.25">
      <c r="A6" s="3"/>
      <c r="B6" s="3"/>
      <c r="C6" s="3"/>
      <c r="D6" s="3"/>
      <c r="E6" s="3"/>
      <c r="F6" t="s">
        <v>3</v>
      </c>
      <c r="G6">
        <f>5+G7</f>
        <v>5</v>
      </c>
      <c r="H6">
        <f t="shared" ref="H6:K6" si="3">5+H7</f>
        <v>4</v>
      </c>
      <c r="I6">
        <f t="shared" si="3"/>
        <v>3</v>
      </c>
      <c r="J6">
        <f t="shared" si="3"/>
        <v>2</v>
      </c>
      <c r="K6">
        <f t="shared" si="3"/>
        <v>1</v>
      </c>
      <c r="L6">
        <f>17+L7</f>
        <v>12</v>
      </c>
      <c r="M6">
        <f t="shared" ref="M6:W6" si="4">17+M7</f>
        <v>11</v>
      </c>
      <c r="N6">
        <f t="shared" si="4"/>
        <v>10</v>
      </c>
      <c r="O6">
        <f t="shared" si="4"/>
        <v>9</v>
      </c>
      <c r="P6">
        <f t="shared" si="4"/>
        <v>8</v>
      </c>
      <c r="Q6">
        <f t="shared" si="4"/>
        <v>7</v>
      </c>
      <c r="R6">
        <f t="shared" si="4"/>
        <v>6</v>
      </c>
      <c r="S6">
        <f t="shared" si="4"/>
        <v>5</v>
      </c>
      <c r="T6">
        <f t="shared" si="4"/>
        <v>4</v>
      </c>
      <c r="U6">
        <f t="shared" si="4"/>
        <v>3</v>
      </c>
      <c r="V6">
        <f t="shared" si="4"/>
        <v>2</v>
      </c>
      <c r="W6">
        <f t="shared" si="4"/>
        <v>1</v>
      </c>
      <c r="X6">
        <f>29+X7</f>
        <v>12</v>
      </c>
      <c r="Y6">
        <f t="shared" ref="Y6:AI6" si="5">29+Y7</f>
        <v>11</v>
      </c>
      <c r="Z6">
        <f t="shared" si="5"/>
        <v>10</v>
      </c>
      <c r="AA6">
        <f t="shared" si="5"/>
        <v>9</v>
      </c>
      <c r="AB6">
        <f t="shared" si="5"/>
        <v>8</v>
      </c>
      <c r="AC6">
        <f t="shared" si="5"/>
        <v>7</v>
      </c>
      <c r="AD6">
        <f t="shared" si="5"/>
        <v>6</v>
      </c>
      <c r="AE6">
        <f t="shared" si="5"/>
        <v>5</v>
      </c>
      <c r="AF6">
        <f t="shared" si="5"/>
        <v>4</v>
      </c>
      <c r="AG6">
        <f t="shared" si="5"/>
        <v>3</v>
      </c>
      <c r="AH6">
        <f t="shared" si="5"/>
        <v>2</v>
      </c>
      <c r="AI6">
        <f t="shared" si="5"/>
        <v>1</v>
      </c>
      <c r="AJ6">
        <f>41+AJ7</f>
        <v>12</v>
      </c>
      <c r="AK6">
        <f t="shared" ref="AK6:AU6" si="6">41+AK7</f>
        <v>11</v>
      </c>
      <c r="AL6">
        <f t="shared" si="6"/>
        <v>10</v>
      </c>
      <c r="AM6">
        <f t="shared" si="6"/>
        <v>9</v>
      </c>
      <c r="AN6">
        <f t="shared" si="6"/>
        <v>8</v>
      </c>
      <c r="AO6">
        <f t="shared" si="6"/>
        <v>7</v>
      </c>
      <c r="AP6">
        <f t="shared" si="6"/>
        <v>6</v>
      </c>
      <c r="AQ6">
        <f t="shared" si="6"/>
        <v>5</v>
      </c>
      <c r="AR6">
        <f t="shared" si="6"/>
        <v>4</v>
      </c>
      <c r="AS6">
        <f t="shared" si="6"/>
        <v>3</v>
      </c>
      <c r="AT6">
        <f t="shared" si="6"/>
        <v>2</v>
      </c>
      <c r="AU6">
        <f t="shared" si="6"/>
        <v>1</v>
      </c>
    </row>
    <row r="7" spans="1:47" x14ac:dyDescent="0.25">
      <c r="A7" s="3"/>
      <c r="B7" s="3"/>
      <c r="C7" s="3"/>
      <c r="D7" s="3" t="s">
        <v>0</v>
      </c>
      <c r="E7" s="3"/>
      <c r="F7" t="s">
        <v>7</v>
      </c>
      <c r="G7">
        <v>0</v>
      </c>
      <c r="H7">
        <v>-1</v>
      </c>
      <c r="I7">
        <v>-2</v>
      </c>
      <c r="J7">
        <v>-3</v>
      </c>
      <c r="K7">
        <v>-4</v>
      </c>
      <c r="L7">
        <v>-5</v>
      </c>
      <c r="M7">
        <v>-6</v>
      </c>
      <c r="N7">
        <v>-7</v>
      </c>
      <c r="O7">
        <v>-8</v>
      </c>
      <c r="P7">
        <v>-9</v>
      </c>
      <c r="Q7">
        <v>-10</v>
      </c>
      <c r="R7">
        <v>-11</v>
      </c>
      <c r="S7">
        <v>-12</v>
      </c>
      <c r="T7">
        <v>-13</v>
      </c>
      <c r="U7">
        <v>-14</v>
      </c>
      <c r="V7">
        <v>-15</v>
      </c>
      <c r="W7">
        <v>-16</v>
      </c>
      <c r="X7">
        <v>-17</v>
      </c>
      <c r="Y7">
        <v>-18</v>
      </c>
      <c r="Z7">
        <v>-19</v>
      </c>
      <c r="AA7">
        <v>-20</v>
      </c>
      <c r="AB7">
        <v>-21</v>
      </c>
      <c r="AC7">
        <v>-22</v>
      </c>
      <c r="AD7">
        <v>-23</v>
      </c>
      <c r="AE7">
        <v>-24</v>
      </c>
      <c r="AF7">
        <v>-25</v>
      </c>
      <c r="AG7">
        <v>-26</v>
      </c>
      <c r="AH7">
        <v>-27</v>
      </c>
      <c r="AI7">
        <v>-28</v>
      </c>
      <c r="AJ7">
        <v>-29</v>
      </c>
      <c r="AK7">
        <v>-30</v>
      </c>
      <c r="AL7">
        <v>-31</v>
      </c>
      <c r="AM7">
        <v>-32</v>
      </c>
      <c r="AN7">
        <v>-33</v>
      </c>
      <c r="AO7">
        <v>-34</v>
      </c>
      <c r="AP7">
        <v>-35</v>
      </c>
      <c r="AQ7">
        <v>-36</v>
      </c>
      <c r="AR7">
        <v>-37</v>
      </c>
      <c r="AS7">
        <v>-38</v>
      </c>
      <c r="AT7">
        <v>-39</v>
      </c>
      <c r="AU7">
        <v>-40</v>
      </c>
    </row>
    <row r="8" spans="1:47" x14ac:dyDescent="0.25">
      <c r="D8" t="s">
        <v>1</v>
      </c>
    </row>
    <row r="9" spans="1:47" x14ac:dyDescent="0.25">
      <c r="A9" t="s">
        <v>2</v>
      </c>
      <c r="B9" t="s">
        <v>3</v>
      </c>
      <c r="C9" t="s">
        <v>4</v>
      </c>
      <c r="D9" t="s">
        <v>5</v>
      </c>
      <c r="G9" t="s">
        <v>8</v>
      </c>
    </row>
    <row r="10" spans="1:47" x14ac:dyDescent="0.25">
      <c r="A10">
        <v>1982.375</v>
      </c>
      <c r="B10">
        <v>5</v>
      </c>
      <c r="C10" s="3">
        <v>1.6829712080392252</v>
      </c>
      <c r="G10" s="3">
        <v>1.6829712080392252</v>
      </c>
      <c r="H10" s="3">
        <v>2.2472897998692272</v>
      </c>
      <c r="I10" s="3">
        <v>1.5381377024192207</v>
      </c>
      <c r="J10" s="3">
        <v>0.95009040011922963</v>
      </c>
      <c r="K10" s="3">
        <v>0.16778843210923924</v>
      </c>
      <c r="L10" s="3">
        <v>-0.32820109656075358</v>
      </c>
      <c r="M10" s="3">
        <v>0.10288279560923042</v>
      </c>
      <c r="N10" s="3">
        <v>1.1606928748392318</v>
      </c>
      <c r="O10" s="3">
        <v>1.0248394490071275</v>
      </c>
      <c r="P10" s="3">
        <v>1.606789201499234</v>
      </c>
      <c r="Q10" s="3">
        <v>2.394840518709227</v>
      </c>
      <c r="R10" s="3">
        <v>1.0093508307130274</v>
      </c>
      <c r="S10" s="3">
        <v>0.70257197929922732</v>
      </c>
      <c r="T10" s="3">
        <v>0.71152544480922963</v>
      </c>
      <c r="U10" s="3">
        <v>-1.2758133939807617</v>
      </c>
      <c r="V10" s="3">
        <v>-1.1840317151307596</v>
      </c>
      <c r="W10" s="3">
        <v>-2.9731450761907507</v>
      </c>
      <c r="X10" s="3">
        <v>-0.826312025460755</v>
      </c>
      <c r="Y10" s="3">
        <v>-0.82430027525075733</v>
      </c>
      <c r="Z10" s="3">
        <v>-0.21680460930476167</v>
      </c>
      <c r="AA10" s="3">
        <v>1.2002363824092406</v>
      </c>
      <c r="AB10" s="3">
        <v>1.7415489131692448</v>
      </c>
      <c r="AC10" s="3">
        <v>1.1845717860692297</v>
      </c>
      <c r="AD10" s="3">
        <v>1.8719868955192429</v>
      </c>
      <c r="AE10" s="3">
        <v>0.19282233268922738</v>
      </c>
      <c r="AF10" s="3">
        <v>-0.41644266558675735</v>
      </c>
      <c r="AG10" s="3">
        <v>-0.7920709280307725</v>
      </c>
      <c r="AH10" s="3">
        <v>-3.1117011955307636</v>
      </c>
      <c r="AI10" s="3">
        <v>-1.754437314630755</v>
      </c>
      <c r="AJ10" s="3">
        <v>-0.6783287293607636</v>
      </c>
      <c r="AK10" s="3">
        <v>-0.13216066909075941</v>
      </c>
      <c r="AL10" s="3">
        <v>-1.2187106281307756</v>
      </c>
      <c r="AM10" s="3">
        <v>-0.23967928586077691</v>
      </c>
      <c r="AN10" s="3">
        <v>0.41425456986923609</v>
      </c>
      <c r="AO10" s="3">
        <v>1.4262948740692274</v>
      </c>
      <c r="AP10" s="3">
        <v>2.0884129651392276</v>
      </c>
      <c r="AQ10" s="3">
        <v>0.230319378419234</v>
      </c>
      <c r="AR10" s="3">
        <v>0.87058350376922755</v>
      </c>
      <c r="AS10" s="3">
        <v>-0.18409000339077064</v>
      </c>
      <c r="AT10" s="3">
        <v>1.3994548985492341</v>
      </c>
      <c r="AU10" s="3">
        <v>-1.1214605250507683</v>
      </c>
    </row>
    <row r="11" spans="1:47" x14ac:dyDescent="0.25">
      <c r="A11">
        <v>1983.375</v>
      </c>
      <c r="B11">
        <v>5</v>
      </c>
      <c r="C11" s="3">
        <v>-1.5365287291607705</v>
      </c>
      <c r="G11" s="3">
        <v>-1.5365287291607705</v>
      </c>
      <c r="H11" s="3">
        <v>-1.6037714177007616</v>
      </c>
      <c r="I11" s="3">
        <v>-4.4186573967507705</v>
      </c>
      <c r="J11" s="3">
        <v>-5.7546631341007721</v>
      </c>
      <c r="K11" s="3">
        <v>-4.2828241200607735</v>
      </c>
      <c r="L11" s="3">
        <v>-3.318813113430755</v>
      </c>
      <c r="M11" s="3">
        <v>-2.2869922902807649</v>
      </c>
      <c r="N11" s="3">
        <v>-1.1141125145307573</v>
      </c>
      <c r="O11" s="3">
        <v>-0.85833921068075947</v>
      </c>
      <c r="P11" s="3">
        <v>0.19842168935924309</v>
      </c>
      <c r="Q11" s="3">
        <v>9.0747949279244927E-2</v>
      </c>
      <c r="R11" s="3">
        <v>0.28020932696923401</v>
      </c>
      <c r="S11" s="3">
        <v>1.6829712080392252</v>
      </c>
      <c r="T11" s="3">
        <v>2.2472897998692272</v>
      </c>
      <c r="U11" s="3">
        <v>1.5381377024192207</v>
      </c>
      <c r="V11" s="3">
        <v>0.95009040011922963</v>
      </c>
      <c r="W11" s="3">
        <v>0.16778843210923924</v>
      </c>
      <c r="X11" s="3">
        <v>-0.32820109656075358</v>
      </c>
      <c r="Y11" s="3">
        <v>0.10288279560923042</v>
      </c>
      <c r="Z11" s="3">
        <v>1.1606928748392318</v>
      </c>
      <c r="AA11" s="3">
        <v>1.0248394490071275</v>
      </c>
      <c r="AB11" s="3">
        <v>1.606789201499234</v>
      </c>
      <c r="AC11" s="3">
        <v>2.394840518709227</v>
      </c>
      <c r="AD11" s="3">
        <v>1.0093508307130274</v>
      </c>
      <c r="AE11" s="3">
        <v>0.70257197929922732</v>
      </c>
      <c r="AF11" s="3">
        <v>0.71152544480922963</v>
      </c>
      <c r="AG11" s="3">
        <v>-1.2758133939807617</v>
      </c>
      <c r="AH11" s="3">
        <v>-1.1840317151307596</v>
      </c>
      <c r="AI11" s="3">
        <v>-2.9731450761907507</v>
      </c>
      <c r="AJ11" s="3">
        <v>-0.826312025460755</v>
      </c>
      <c r="AK11" s="3">
        <v>-0.82430027525075733</v>
      </c>
      <c r="AL11" s="3">
        <v>-0.21680460930476167</v>
      </c>
      <c r="AM11" s="3">
        <v>1.2002363824092406</v>
      </c>
      <c r="AN11" s="3">
        <v>1.7415489131692448</v>
      </c>
      <c r="AO11" s="3">
        <v>1.1845717860692297</v>
      </c>
      <c r="AP11" s="3">
        <v>1.8719868955192429</v>
      </c>
      <c r="AQ11" s="3">
        <v>0.19282233268922738</v>
      </c>
      <c r="AR11" s="3">
        <v>-0.41644266558675735</v>
      </c>
      <c r="AS11" s="3">
        <v>-0.7920709280307725</v>
      </c>
      <c r="AT11" s="3">
        <v>-3.1117011955307636</v>
      </c>
      <c r="AU11" s="3">
        <v>-1.754437314630755</v>
      </c>
    </row>
    <row r="12" spans="1:47" x14ac:dyDescent="0.25">
      <c r="A12">
        <v>1984.375</v>
      </c>
      <c r="B12">
        <v>5</v>
      </c>
      <c r="C12" s="3">
        <v>1.880515014489234</v>
      </c>
      <c r="G12" s="3">
        <v>1.880515014489234</v>
      </c>
      <c r="H12" s="3">
        <v>1.4169093568692384</v>
      </c>
      <c r="I12" s="3">
        <v>-1.459145150890766</v>
      </c>
      <c r="J12" s="3">
        <v>-0.25170846241076383</v>
      </c>
      <c r="K12" s="3">
        <v>-0.36195759964077051</v>
      </c>
      <c r="L12" s="3">
        <v>-0.47425017163075722</v>
      </c>
      <c r="M12" s="3">
        <v>-0.51962604492076825</v>
      </c>
      <c r="N12" s="3">
        <v>1.7054727707192336</v>
      </c>
      <c r="O12" s="3">
        <v>1.999494930519234</v>
      </c>
      <c r="P12" s="3">
        <v>1.7188996157552427</v>
      </c>
      <c r="Q12" s="3">
        <v>0.12128620823924474</v>
      </c>
      <c r="R12" s="3">
        <v>-1.4051694421937548</v>
      </c>
      <c r="S12" s="3">
        <v>-1.5365287291607705</v>
      </c>
      <c r="T12" s="3">
        <v>-1.6037714177007616</v>
      </c>
      <c r="U12" s="3">
        <v>-4.4186573967507705</v>
      </c>
      <c r="V12" s="3">
        <v>-5.7546631341007721</v>
      </c>
      <c r="W12" s="3">
        <v>-4.2828241200607735</v>
      </c>
      <c r="X12" s="3">
        <v>-3.318813113430755</v>
      </c>
      <c r="Y12" s="3">
        <v>-2.2869922902807649</v>
      </c>
      <c r="Z12" s="3">
        <v>-1.1141125145307573</v>
      </c>
      <c r="AA12" s="3">
        <v>-0.85833921068075947</v>
      </c>
      <c r="AB12" s="3">
        <v>0.19842168935924309</v>
      </c>
      <c r="AC12" s="3">
        <v>9.0747949279244927E-2</v>
      </c>
      <c r="AD12" s="3">
        <v>0.28020932696923401</v>
      </c>
      <c r="AE12" s="3">
        <v>1.6829712080392252</v>
      </c>
      <c r="AF12" s="3">
        <v>2.2472897998692272</v>
      </c>
      <c r="AG12" s="3">
        <v>1.5381377024192207</v>
      </c>
      <c r="AH12" s="3">
        <v>0.95009040011922963</v>
      </c>
      <c r="AI12" s="3">
        <v>0.16778843210923924</v>
      </c>
      <c r="AJ12" s="3">
        <v>-0.32820109656075358</v>
      </c>
      <c r="AK12" s="3">
        <v>0.10288279560923042</v>
      </c>
      <c r="AL12" s="3">
        <v>1.1606928748392318</v>
      </c>
      <c r="AM12" s="3">
        <v>1.0248394490071275</v>
      </c>
      <c r="AN12" s="3">
        <v>1.606789201499234</v>
      </c>
      <c r="AO12" s="3">
        <v>2.394840518709227</v>
      </c>
      <c r="AP12" s="3">
        <v>1.0093508307130274</v>
      </c>
      <c r="AQ12" s="3">
        <v>0.70257197929922732</v>
      </c>
      <c r="AR12" s="3">
        <v>0.71152544480922963</v>
      </c>
      <c r="AS12" s="3">
        <v>-1.2758133939807617</v>
      </c>
      <c r="AT12" s="3">
        <v>-1.1840317151307596</v>
      </c>
      <c r="AU12" s="3">
        <v>-2.9731450761907507</v>
      </c>
    </row>
    <row r="13" spans="1:47" x14ac:dyDescent="0.25">
      <c r="A13">
        <v>1985.375</v>
      </c>
      <c r="B13">
        <v>5</v>
      </c>
      <c r="C13" s="3">
        <v>3.018522973209234</v>
      </c>
      <c r="G13" s="3">
        <v>3.018522973209234</v>
      </c>
      <c r="H13" s="3">
        <v>3.2037219389892342</v>
      </c>
      <c r="I13" s="3">
        <v>2.8503516876992365</v>
      </c>
      <c r="J13" s="3">
        <v>1.5492982089822276</v>
      </c>
      <c r="K13" s="3">
        <v>-1.9206002569707727</v>
      </c>
      <c r="L13" s="3">
        <v>1.132073258699223</v>
      </c>
      <c r="M13" s="3">
        <v>0.48051006084922643</v>
      </c>
      <c r="N13" s="3">
        <v>1.0633639918392426</v>
      </c>
      <c r="O13" s="3">
        <v>0.96519801415922746</v>
      </c>
      <c r="P13" s="3">
        <v>1.8375980735592425</v>
      </c>
      <c r="Q13" s="3">
        <v>2.7315166602692278</v>
      </c>
      <c r="R13" s="3">
        <v>2.1734786425192314</v>
      </c>
      <c r="S13" s="3">
        <v>1.880515014489234</v>
      </c>
      <c r="T13" s="3">
        <v>1.4169093568692384</v>
      </c>
      <c r="U13" s="3">
        <v>-1.459145150890766</v>
      </c>
      <c r="V13" s="3">
        <v>-0.25170846241076383</v>
      </c>
      <c r="W13" s="3">
        <v>-0.36195759964077051</v>
      </c>
      <c r="X13" s="3">
        <v>-0.47425017163075722</v>
      </c>
      <c r="Y13" s="3">
        <v>-0.51962604492076825</v>
      </c>
      <c r="Z13" s="3">
        <v>1.7054727707192336</v>
      </c>
      <c r="AA13" s="3">
        <v>1.999494930519234</v>
      </c>
      <c r="AB13" s="3">
        <v>1.7188996157552427</v>
      </c>
      <c r="AC13" s="3">
        <v>0.12128620823924474</v>
      </c>
      <c r="AD13" s="3">
        <v>-1.4051694421937548</v>
      </c>
      <c r="AE13" s="3">
        <v>-1.5365287291607705</v>
      </c>
      <c r="AF13" s="3">
        <v>-1.6037714177007616</v>
      </c>
      <c r="AG13" s="3">
        <v>-4.4186573967507705</v>
      </c>
      <c r="AH13" s="3">
        <v>-5.7546631341007721</v>
      </c>
      <c r="AI13" s="3">
        <v>-4.2828241200607735</v>
      </c>
      <c r="AJ13" s="3">
        <v>-3.318813113430755</v>
      </c>
      <c r="AK13" s="3">
        <v>-2.2869922902807649</v>
      </c>
      <c r="AL13" s="3">
        <v>-1.1141125145307573</v>
      </c>
      <c r="AM13" s="3">
        <v>-0.85833921068075947</v>
      </c>
      <c r="AN13" s="3">
        <v>0.19842168935924309</v>
      </c>
      <c r="AO13" s="3">
        <v>9.0747949279244927E-2</v>
      </c>
      <c r="AP13" s="3">
        <v>0.28020932696923401</v>
      </c>
      <c r="AQ13" s="3">
        <v>1.6829712080392252</v>
      </c>
      <c r="AR13" s="3">
        <v>2.2472897998692272</v>
      </c>
      <c r="AS13" s="3">
        <v>1.5381377024192207</v>
      </c>
      <c r="AT13" s="3">
        <v>0.95009040011922963</v>
      </c>
      <c r="AU13" s="3">
        <v>0.16778843210923924</v>
      </c>
    </row>
    <row r="14" spans="1:47" x14ac:dyDescent="0.25">
      <c r="A14">
        <v>1986.375</v>
      </c>
      <c r="B14">
        <v>5</v>
      </c>
      <c r="C14" s="3">
        <v>1.1785690316392319</v>
      </c>
      <c r="G14" s="3">
        <v>1.1785690316392319</v>
      </c>
      <c r="H14" s="3">
        <v>1.7114235345992364</v>
      </c>
      <c r="I14" s="3">
        <v>-0.43541689654075511</v>
      </c>
      <c r="J14" s="3">
        <v>-2.7417317744307681</v>
      </c>
      <c r="K14" s="3">
        <v>-1.8271438100307529</v>
      </c>
      <c r="L14" s="3">
        <v>-1.8732676199307727</v>
      </c>
      <c r="M14" s="3">
        <v>0.73595420476922957</v>
      </c>
      <c r="N14" s="3">
        <v>1.5659244664692271</v>
      </c>
      <c r="O14" s="3">
        <v>1.8524098023792341</v>
      </c>
      <c r="P14" s="3">
        <v>2.4420961504492311</v>
      </c>
      <c r="Q14" s="3">
        <v>1.9535774414092228</v>
      </c>
      <c r="R14" s="3">
        <v>2.1399495708212228</v>
      </c>
      <c r="S14" s="3">
        <v>3.018522973209234</v>
      </c>
      <c r="T14" s="3">
        <v>3.2037219389892342</v>
      </c>
      <c r="U14" s="3">
        <v>2.8503516876992365</v>
      </c>
      <c r="V14" s="3">
        <v>1.5492982089822276</v>
      </c>
      <c r="W14" s="3">
        <v>-1.9206002569707727</v>
      </c>
      <c r="X14" s="3">
        <v>1.132073258699223</v>
      </c>
      <c r="Y14" s="3">
        <v>0.48051006084922643</v>
      </c>
      <c r="Z14" s="3">
        <v>1.0633639918392426</v>
      </c>
      <c r="AA14" s="3">
        <v>0.96519801415922746</v>
      </c>
      <c r="AB14" s="3">
        <v>1.8375980735592425</v>
      </c>
      <c r="AC14" s="3">
        <v>2.7315166602692278</v>
      </c>
      <c r="AD14" s="3">
        <v>2.1734786425192314</v>
      </c>
      <c r="AE14" s="3">
        <v>1.880515014489234</v>
      </c>
      <c r="AF14" s="3">
        <v>1.4169093568692384</v>
      </c>
      <c r="AG14" s="3">
        <v>-1.459145150890766</v>
      </c>
      <c r="AH14" s="3">
        <v>-0.25170846241076383</v>
      </c>
      <c r="AI14" s="3">
        <v>-0.36195759964077051</v>
      </c>
      <c r="AJ14" s="3">
        <v>-0.47425017163075722</v>
      </c>
      <c r="AK14" s="3">
        <v>-0.51962604492076825</v>
      </c>
      <c r="AL14" s="3">
        <v>1.7054727707192336</v>
      </c>
      <c r="AM14" s="3">
        <v>1.999494930519234</v>
      </c>
      <c r="AN14" s="3">
        <v>1.7188996157552427</v>
      </c>
      <c r="AO14" s="3">
        <v>0.12128620823924474</v>
      </c>
      <c r="AP14" s="3">
        <v>-1.4051694421937548</v>
      </c>
      <c r="AQ14" s="3">
        <v>-1.5365287291607705</v>
      </c>
      <c r="AR14" s="3">
        <v>-1.6037714177007616</v>
      </c>
      <c r="AS14" s="3">
        <v>-4.4186573967507705</v>
      </c>
      <c r="AT14" s="3">
        <v>-5.7546631341007721</v>
      </c>
      <c r="AU14" s="3">
        <v>-4.2828241200607735</v>
      </c>
    </row>
    <row r="15" spans="1:47" x14ac:dyDescent="0.25">
      <c r="A15">
        <v>1987.375</v>
      </c>
      <c r="B15">
        <v>5</v>
      </c>
      <c r="C15" s="3">
        <v>-0.33535354034076137</v>
      </c>
      <c r="G15" s="3">
        <v>-0.33535354034076137</v>
      </c>
      <c r="H15" s="3">
        <v>-1.3114206938707769</v>
      </c>
      <c r="I15" s="3">
        <v>-2.4788721167707712</v>
      </c>
      <c r="J15" s="3">
        <v>-2.8403952011307547</v>
      </c>
      <c r="K15" s="3">
        <v>-3.2496489045707593</v>
      </c>
      <c r="L15" s="3">
        <v>-3.9234169669407635</v>
      </c>
      <c r="M15" s="3">
        <v>-1.1159987036507704</v>
      </c>
      <c r="N15" s="3">
        <v>-0.73488822433075951</v>
      </c>
      <c r="O15" s="3">
        <v>2.1393244769225279E-2</v>
      </c>
      <c r="P15" s="3">
        <v>0.346637390069234</v>
      </c>
      <c r="Q15" s="3">
        <v>0.912020787759243</v>
      </c>
      <c r="R15" s="3">
        <v>0.75677649209923836</v>
      </c>
      <c r="S15" s="3">
        <v>1.1785690316392319</v>
      </c>
      <c r="T15" s="3">
        <v>1.7114235345992364</v>
      </c>
      <c r="U15" s="3">
        <v>-0.43541689654075511</v>
      </c>
      <c r="V15" s="3">
        <v>-2.7417317744307681</v>
      </c>
      <c r="W15" s="3">
        <v>-1.8271438100307529</v>
      </c>
      <c r="X15" s="3">
        <v>-1.8732676199307727</v>
      </c>
      <c r="Y15" s="3">
        <v>0.73595420476922957</v>
      </c>
      <c r="Z15" s="3">
        <v>1.5659244664692271</v>
      </c>
      <c r="AA15" s="3">
        <v>1.8524098023792341</v>
      </c>
      <c r="AB15" s="3">
        <v>2.4420961504492311</v>
      </c>
      <c r="AC15" s="3">
        <v>1.9535774414092228</v>
      </c>
      <c r="AD15" s="3">
        <v>2.1399495708212228</v>
      </c>
      <c r="AE15" s="3">
        <v>3.018522973209234</v>
      </c>
      <c r="AF15" s="3">
        <v>3.2037219389892342</v>
      </c>
      <c r="AG15" s="3">
        <v>2.8503516876992365</v>
      </c>
      <c r="AH15" s="3">
        <v>1.5492982089822276</v>
      </c>
      <c r="AI15" s="3">
        <v>-1.9206002569707727</v>
      </c>
      <c r="AJ15" s="3">
        <v>1.132073258699223</v>
      </c>
      <c r="AK15" s="3">
        <v>0.48051006084922643</v>
      </c>
      <c r="AL15" s="3">
        <v>1.0633639918392426</v>
      </c>
      <c r="AM15" s="3">
        <v>0.96519801415922746</v>
      </c>
      <c r="AN15" s="3">
        <v>1.8375980735592425</v>
      </c>
      <c r="AO15" s="3">
        <v>2.7315166602692278</v>
      </c>
      <c r="AP15" s="3">
        <v>2.1734786425192314</v>
      </c>
      <c r="AQ15" s="3">
        <v>1.880515014489234</v>
      </c>
      <c r="AR15" s="3">
        <v>1.4169093568692384</v>
      </c>
      <c r="AS15" s="3">
        <v>-1.459145150890766</v>
      </c>
      <c r="AT15" s="3">
        <v>-0.25170846241076383</v>
      </c>
      <c r="AU15" s="3">
        <v>-0.36195759964077051</v>
      </c>
    </row>
    <row r="16" spans="1:47" x14ac:dyDescent="0.25">
      <c r="A16">
        <v>1988.375</v>
      </c>
      <c r="B16">
        <v>5</v>
      </c>
      <c r="C16" s="3">
        <v>1.8152388873692404</v>
      </c>
      <c r="G16" s="3">
        <v>1.8152388873692404</v>
      </c>
      <c r="H16" s="3">
        <v>1.3004161718692424</v>
      </c>
      <c r="I16" s="3">
        <v>0.42120302822923172</v>
      </c>
      <c r="J16" s="3">
        <v>-1.738144879260775</v>
      </c>
      <c r="K16" s="3">
        <v>-1.4435084742307702</v>
      </c>
      <c r="L16" s="3">
        <v>-1.3359299806807639</v>
      </c>
      <c r="M16" s="3">
        <v>-1.46228869434076</v>
      </c>
      <c r="N16" s="3">
        <v>-1.0676690314607571</v>
      </c>
      <c r="O16" s="3">
        <v>-0.84388256081077684</v>
      </c>
      <c r="P16" s="3">
        <v>-0.98430620713077255</v>
      </c>
      <c r="Q16" s="3">
        <v>-1.0628494561707658</v>
      </c>
      <c r="R16" s="3">
        <v>-0.85776481624076351</v>
      </c>
      <c r="S16" s="3">
        <v>-0.33535354034076137</v>
      </c>
      <c r="T16" s="3">
        <v>-1.3114206938707769</v>
      </c>
      <c r="U16" s="3">
        <v>-2.4788721167707712</v>
      </c>
      <c r="V16" s="3">
        <v>-2.8403952011307547</v>
      </c>
      <c r="W16" s="3">
        <v>-3.2496489045707593</v>
      </c>
      <c r="X16" s="3">
        <v>-3.9234169669407635</v>
      </c>
      <c r="Y16" s="3">
        <v>-1.1159987036507704</v>
      </c>
      <c r="Z16" s="3">
        <v>-0.73488822433075951</v>
      </c>
      <c r="AA16" s="3">
        <v>2.1393244769225279E-2</v>
      </c>
      <c r="AB16" s="3">
        <v>0.346637390069234</v>
      </c>
      <c r="AC16" s="3">
        <v>0.912020787759243</v>
      </c>
      <c r="AD16" s="3">
        <v>0.75677649209923836</v>
      </c>
      <c r="AE16" s="3">
        <v>1.1785690316392319</v>
      </c>
      <c r="AF16" s="3">
        <v>1.7114235345992364</v>
      </c>
      <c r="AG16" s="3">
        <v>-0.43541689654075511</v>
      </c>
      <c r="AH16" s="3">
        <v>-2.7417317744307681</v>
      </c>
      <c r="AI16" s="3">
        <v>-1.8271438100307529</v>
      </c>
      <c r="AJ16" s="3">
        <v>-1.8732676199307727</v>
      </c>
      <c r="AK16" s="3">
        <v>0.73595420476922957</v>
      </c>
      <c r="AL16" s="3">
        <v>1.5659244664692271</v>
      </c>
      <c r="AM16" s="3">
        <v>1.8524098023792341</v>
      </c>
      <c r="AN16" s="3">
        <v>2.4420961504492311</v>
      </c>
      <c r="AO16" s="3">
        <v>1.9535774414092228</v>
      </c>
      <c r="AP16" s="3">
        <v>2.1399495708212228</v>
      </c>
      <c r="AQ16" s="3">
        <v>3.018522973209234</v>
      </c>
      <c r="AR16" s="3">
        <v>3.2037219389892342</v>
      </c>
      <c r="AS16" s="3">
        <v>2.8503516876992365</v>
      </c>
      <c r="AT16" s="3">
        <v>1.5492982089822276</v>
      </c>
      <c r="AU16" s="3">
        <v>-1.9206002569707727</v>
      </c>
    </row>
    <row r="17" spans="1:47" x14ac:dyDescent="0.25">
      <c r="A17">
        <v>1989.375</v>
      </c>
      <c r="B17">
        <v>5</v>
      </c>
      <c r="C17" s="3">
        <v>3.101098920829223</v>
      </c>
      <c r="G17" s="3">
        <v>3.101098920829223</v>
      </c>
      <c r="H17" s="3">
        <v>2.9412418136592424</v>
      </c>
      <c r="I17" s="3">
        <v>3.3389959835592316</v>
      </c>
      <c r="J17" s="3">
        <v>4.0775932636092254</v>
      </c>
      <c r="K17" s="3">
        <v>3.5894435184692313</v>
      </c>
      <c r="L17" s="3">
        <v>2.3186386828592394</v>
      </c>
      <c r="M17" s="3">
        <v>2.519808289969224</v>
      </c>
      <c r="N17" s="3">
        <v>2.8509511295692231</v>
      </c>
      <c r="O17" s="3">
        <v>4.210773910769225</v>
      </c>
      <c r="P17" s="3">
        <v>3.9125285119692315</v>
      </c>
      <c r="Q17" s="3">
        <v>4.1239791073692293</v>
      </c>
      <c r="R17" s="3">
        <v>2.838481122869227</v>
      </c>
      <c r="S17" s="3">
        <v>1.8152388873692404</v>
      </c>
      <c r="T17" s="3">
        <v>1.3004161718692424</v>
      </c>
      <c r="U17" s="3">
        <v>0.42120302822923172</v>
      </c>
      <c r="V17" s="3">
        <v>-1.738144879260775</v>
      </c>
      <c r="W17" s="3">
        <v>-1.4435084742307702</v>
      </c>
      <c r="X17" s="3">
        <v>-1.3359299806807639</v>
      </c>
      <c r="Y17" s="3">
        <v>-1.46228869434076</v>
      </c>
      <c r="Z17" s="3">
        <v>-1.0676690314607571</v>
      </c>
      <c r="AA17" s="3">
        <v>-0.84388256081077684</v>
      </c>
      <c r="AB17" s="3">
        <v>-0.98430620713077255</v>
      </c>
      <c r="AC17" s="3">
        <v>-1.0628494561707658</v>
      </c>
      <c r="AD17" s="3">
        <v>-0.85776481624076351</v>
      </c>
      <c r="AE17" s="3">
        <v>-0.33535354034076137</v>
      </c>
      <c r="AF17" s="3">
        <v>-1.3114206938707769</v>
      </c>
      <c r="AG17" s="3">
        <v>-2.4788721167707712</v>
      </c>
      <c r="AH17" s="3">
        <v>-2.8403952011307547</v>
      </c>
      <c r="AI17" s="3">
        <v>-3.2496489045707593</v>
      </c>
      <c r="AJ17" s="3">
        <v>-3.9234169669407635</v>
      </c>
      <c r="AK17" s="3">
        <v>-1.1159987036507704</v>
      </c>
      <c r="AL17" s="3">
        <v>-0.73488822433075951</v>
      </c>
      <c r="AM17" s="3">
        <v>2.1393244769225279E-2</v>
      </c>
      <c r="AN17" s="3">
        <v>0.346637390069234</v>
      </c>
      <c r="AO17" s="3">
        <v>0.912020787759243</v>
      </c>
      <c r="AP17" s="3">
        <v>0.75677649209923836</v>
      </c>
      <c r="AQ17" s="3">
        <v>1.1785690316392319</v>
      </c>
      <c r="AR17" s="3">
        <v>1.7114235345992364</v>
      </c>
      <c r="AS17" s="3">
        <v>-0.43541689654075511</v>
      </c>
      <c r="AT17" s="3">
        <v>-2.7417317744307681</v>
      </c>
      <c r="AU17" s="3">
        <v>-1.8271438100307529</v>
      </c>
    </row>
    <row r="18" spans="1:47" x14ac:dyDescent="0.25">
      <c r="A18">
        <v>1990.375</v>
      </c>
      <c r="B18">
        <v>5</v>
      </c>
      <c r="C18" s="3">
        <v>1.2389727557242383</v>
      </c>
      <c r="G18" s="3">
        <v>1.2389727557242383</v>
      </c>
      <c r="H18" s="3">
        <v>1.6186363016892316</v>
      </c>
      <c r="I18" s="3">
        <v>0.87342533512922516</v>
      </c>
      <c r="J18" s="3">
        <v>2.4928988691492382</v>
      </c>
      <c r="K18" s="3">
        <v>-6.0649675430752892E-2</v>
      </c>
      <c r="L18" s="3">
        <v>-0.80318400744077045</v>
      </c>
      <c r="M18" s="3">
        <v>1.7226007102992229</v>
      </c>
      <c r="N18" s="3">
        <v>2.123144150119245</v>
      </c>
      <c r="O18" s="3">
        <v>1.9350583343592276</v>
      </c>
      <c r="P18" s="3">
        <v>2.4970583207292276</v>
      </c>
      <c r="Q18" s="3">
        <v>3.1293092386692387</v>
      </c>
      <c r="R18" s="3">
        <v>2.5792642141692426</v>
      </c>
      <c r="S18" s="3">
        <v>3.101098920829223</v>
      </c>
      <c r="T18" s="3">
        <v>2.9412418136592424</v>
      </c>
      <c r="U18" s="3">
        <v>3.3389959835592316</v>
      </c>
      <c r="V18" s="3">
        <v>4.0775932636092254</v>
      </c>
      <c r="W18" s="3">
        <v>3.5894435184692313</v>
      </c>
      <c r="X18" s="3">
        <v>2.3186386828592394</v>
      </c>
      <c r="Y18" s="3">
        <v>2.519808289969224</v>
      </c>
      <c r="Z18" s="3">
        <v>2.8509511295692231</v>
      </c>
      <c r="AA18" s="3">
        <v>4.210773910769225</v>
      </c>
      <c r="AB18" s="3">
        <v>3.9125285119692315</v>
      </c>
      <c r="AC18" s="3">
        <v>4.1239791073692293</v>
      </c>
      <c r="AD18" s="3">
        <v>2.838481122869227</v>
      </c>
      <c r="AE18" s="3">
        <v>1.8152388873692404</v>
      </c>
      <c r="AF18" s="3">
        <v>1.3004161718692424</v>
      </c>
      <c r="AG18" s="3">
        <v>0.42120302822923172</v>
      </c>
      <c r="AH18" s="3">
        <v>-1.738144879260775</v>
      </c>
      <c r="AI18" s="3">
        <v>-1.4435084742307702</v>
      </c>
      <c r="AJ18" s="3">
        <v>-1.3359299806807639</v>
      </c>
      <c r="AK18" s="3">
        <v>-1.46228869434076</v>
      </c>
      <c r="AL18" s="3">
        <v>-1.0676690314607571</v>
      </c>
      <c r="AM18" s="3">
        <v>-0.84388256081077684</v>
      </c>
      <c r="AN18" s="3">
        <v>-0.98430620713077255</v>
      </c>
      <c r="AO18" s="3">
        <v>-1.0628494561707658</v>
      </c>
      <c r="AP18" s="3">
        <v>-0.85776481624076351</v>
      </c>
      <c r="AQ18" s="3">
        <v>-0.33535354034076137</v>
      </c>
      <c r="AR18" s="3">
        <v>-1.3114206938707769</v>
      </c>
      <c r="AS18" s="3">
        <v>-2.4788721167707712</v>
      </c>
      <c r="AT18" s="3">
        <v>-2.8403952011307547</v>
      </c>
      <c r="AU18" s="3">
        <v>-3.2496489045707593</v>
      </c>
    </row>
    <row r="19" spans="1:47" x14ac:dyDescent="0.25">
      <c r="A19">
        <v>1991.375</v>
      </c>
      <c r="B19">
        <v>5</v>
      </c>
      <c r="C19" s="3">
        <v>1.5588966751912405</v>
      </c>
      <c r="G19" s="3">
        <v>1.5588966751912405</v>
      </c>
      <c r="H19" s="3">
        <v>1.6316906620592251</v>
      </c>
      <c r="I19" s="3">
        <v>1.2957303481892386</v>
      </c>
      <c r="J19" s="3">
        <v>-1.2335507462607638</v>
      </c>
      <c r="K19" s="3">
        <v>0.16320301782923852</v>
      </c>
      <c r="L19" s="3">
        <v>1.1043187677692341</v>
      </c>
      <c r="M19" s="3">
        <v>2.7184411626292273</v>
      </c>
      <c r="N19" s="3">
        <v>1.6554374506492406</v>
      </c>
      <c r="O19" s="3">
        <v>0.73988715803922955</v>
      </c>
      <c r="P19" s="3">
        <v>1.2394592322392297</v>
      </c>
      <c r="Q19" s="3">
        <v>1.5319094081492275</v>
      </c>
      <c r="R19" s="3">
        <v>1.4473524387232231</v>
      </c>
      <c r="S19" s="3">
        <v>1.2389727557242383</v>
      </c>
      <c r="T19" s="3">
        <v>1.6186363016892316</v>
      </c>
      <c r="U19" s="3">
        <v>0.87342533512922516</v>
      </c>
      <c r="V19" s="3">
        <v>2.4928988691492382</v>
      </c>
      <c r="W19" s="3">
        <v>-6.0649675430752892E-2</v>
      </c>
      <c r="X19" s="3">
        <v>-0.80318400744077045</v>
      </c>
      <c r="Y19" s="3">
        <v>1.7226007102992229</v>
      </c>
      <c r="Z19" s="3">
        <v>2.123144150119245</v>
      </c>
      <c r="AA19" s="3">
        <v>1.9350583343592276</v>
      </c>
      <c r="AB19" s="3">
        <v>2.4970583207292276</v>
      </c>
      <c r="AC19" s="3">
        <v>3.1293092386692387</v>
      </c>
      <c r="AD19" s="3">
        <v>2.5792642141692426</v>
      </c>
      <c r="AE19" s="3">
        <v>3.101098920829223</v>
      </c>
      <c r="AF19" s="3">
        <v>2.9412418136592424</v>
      </c>
      <c r="AG19" s="3">
        <v>3.3389959835592316</v>
      </c>
      <c r="AH19" s="3">
        <v>4.0775932636092254</v>
      </c>
      <c r="AI19" s="3">
        <v>3.5894435184692313</v>
      </c>
      <c r="AJ19" s="3">
        <v>2.3186386828592394</v>
      </c>
      <c r="AK19" s="3">
        <v>2.519808289969224</v>
      </c>
      <c r="AL19" s="3">
        <v>2.8509511295692231</v>
      </c>
      <c r="AM19" s="3">
        <v>4.210773910769225</v>
      </c>
      <c r="AN19" s="3">
        <v>3.9125285119692315</v>
      </c>
      <c r="AO19" s="3">
        <v>4.1239791073692293</v>
      </c>
      <c r="AP19" s="3">
        <v>2.838481122869227</v>
      </c>
      <c r="AQ19" s="3">
        <v>1.8152388873692404</v>
      </c>
      <c r="AR19" s="3">
        <v>1.3004161718692424</v>
      </c>
      <c r="AS19" s="3">
        <v>0.42120302822923172</v>
      </c>
      <c r="AT19" s="3">
        <v>-1.738144879260775</v>
      </c>
      <c r="AU19" s="3">
        <v>-1.4435084742307702</v>
      </c>
    </row>
    <row r="20" spans="1:47" x14ac:dyDescent="0.25">
      <c r="A20">
        <v>1992.375</v>
      </c>
      <c r="B20">
        <v>5</v>
      </c>
      <c r="C20" s="3">
        <v>-0.84115852963076165</v>
      </c>
      <c r="G20" s="3">
        <v>-0.84115852963076165</v>
      </c>
      <c r="H20" s="3">
        <v>-1.4262157430307572</v>
      </c>
      <c r="I20" s="3">
        <v>-1.6423887356207789</v>
      </c>
      <c r="J20" s="3">
        <v>-2.3034867752407635</v>
      </c>
      <c r="K20" s="3">
        <v>-4.0346397557107512</v>
      </c>
      <c r="L20" s="3">
        <v>-1.5787000165107659</v>
      </c>
      <c r="M20" s="3">
        <v>-1.6823914399807602</v>
      </c>
      <c r="N20" s="3">
        <v>-0.45250741993075744</v>
      </c>
      <c r="O20" s="3">
        <v>-0.43909391222076166</v>
      </c>
      <c r="P20" s="3">
        <v>0.99610122664924261</v>
      </c>
      <c r="Q20" s="3">
        <v>1.3196503246692344</v>
      </c>
      <c r="R20" s="3">
        <v>1.5908299070092362</v>
      </c>
      <c r="S20" s="3">
        <v>1.5588966751912405</v>
      </c>
      <c r="T20" s="3">
        <v>1.6316906620592251</v>
      </c>
      <c r="U20" s="3">
        <v>1.2957303481892386</v>
      </c>
      <c r="V20" s="3">
        <v>-1.2335507462607638</v>
      </c>
      <c r="W20" s="3">
        <v>0.16320301782923852</v>
      </c>
      <c r="X20" s="3">
        <v>1.1043187677692341</v>
      </c>
      <c r="Y20" s="3">
        <v>2.7184411626292273</v>
      </c>
      <c r="Z20" s="3">
        <v>1.6554374506492406</v>
      </c>
      <c r="AA20" s="3">
        <v>0.73988715803922955</v>
      </c>
      <c r="AB20" s="3">
        <v>1.2394592322392297</v>
      </c>
      <c r="AC20" s="3">
        <v>1.5319094081492275</v>
      </c>
      <c r="AD20" s="3">
        <v>1.4473524387232231</v>
      </c>
      <c r="AE20" s="3">
        <v>1.2389727557242383</v>
      </c>
      <c r="AF20" s="3">
        <v>1.6186363016892316</v>
      </c>
      <c r="AG20" s="3">
        <v>0.87342533512922516</v>
      </c>
      <c r="AH20" s="3">
        <v>2.4928988691492382</v>
      </c>
      <c r="AI20" s="3">
        <v>-6.0649675430752892E-2</v>
      </c>
      <c r="AJ20" s="3">
        <v>-0.80318400744077045</v>
      </c>
      <c r="AK20" s="3">
        <v>1.7226007102992229</v>
      </c>
      <c r="AL20" s="3">
        <v>2.123144150119245</v>
      </c>
      <c r="AM20" s="3">
        <v>1.9350583343592276</v>
      </c>
      <c r="AN20" s="3">
        <v>2.4970583207292276</v>
      </c>
      <c r="AO20" s="3">
        <v>3.1293092386692387</v>
      </c>
      <c r="AP20" s="3">
        <v>2.5792642141692426</v>
      </c>
      <c r="AQ20" s="3">
        <v>3.101098920829223</v>
      </c>
      <c r="AR20" s="3">
        <v>2.9412418136592424</v>
      </c>
      <c r="AS20" s="3">
        <v>3.3389959835592316</v>
      </c>
      <c r="AT20" s="3">
        <v>4.0775932636092254</v>
      </c>
      <c r="AU20" s="3">
        <v>3.5894435184692313</v>
      </c>
    </row>
    <row r="21" spans="1:47" x14ac:dyDescent="0.25">
      <c r="A21">
        <v>1993.375</v>
      </c>
      <c r="B21">
        <v>5</v>
      </c>
      <c r="C21" s="3">
        <v>-1.7499852617307701</v>
      </c>
      <c r="G21" s="3">
        <v>-1.7499852617307701</v>
      </c>
      <c r="H21" s="3">
        <v>-1.4652308750507557</v>
      </c>
      <c r="I21" s="3">
        <v>-1.400128325530777</v>
      </c>
      <c r="J21" s="3">
        <v>-2.5427820538307531</v>
      </c>
      <c r="K21" s="3">
        <v>-6.6647353730779207E-2</v>
      </c>
      <c r="L21" s="3">
        <v>0.2562015870692339</v>
      </c>
      <c r="M21" s="3">
        <v>-0.76324945283075885</v>
      </c>
      <c r="N21" s="3">
        <v>-0.47740350051075731</v>
      </c>
      <c r="O21" s="3">
        <v>0.67246091184924062</v>
      </c>
      <c r="P21" s="3">
        <v>0.91106123696924057</v>
      </c>
      <c r="Q21" s="3">
        <v>0.30045070326922318</v>
      </c>
      <c r="R21" s="3">
        <v>-1.121383650430777</v>
      </c>
      <c r="S21" s="3">
        <v>-0.84115852963076165</v>
      </c>
      <c r="T21" s="3">
        <v>-1.4262157430307572</v>
      </c>
      <c r="U21" s="3">
        <v>-1.6423887356207789</v>
      </c>
      <c r="V21" s="3">
        <v>-2.3034867752407635</v>
      </c>
      <c r="W21" s="3">
        <v>-4.0346397557107512</v>
      </c>
      <c r="X21" s="3">
        <v>-1.5787000165107659</v>
      </c>
      <c r="Y21" s="3">
        <v>-1.6823914399807602</v>
      </c>
      <c r="Z21" s="3">
        <v>-0.45250741993075744</v>
      </c>
      <c r="AA21" s="3">
        <v>-0.43909391222076166</v>
      </c>
      <c r="AB21" s="3">
        <v>0.99610122664924261</v>
      </c>
      <c r="AC21" s="3">
        <v>1.3196503246692344</v>
      </c>
      <c r="AD21" s="3">
        <v>1.5908299070092362</v>
      </c>
      <c r="AE21" s="3">
        <v>1.5588966751912405</v>
      </c>
      <c r="AF21" s="3">
        <v>1.6316906620592251</v>
      </c>
      <c r="AG21" s="3">
        <v>1.2957303481892386</v>
      </c>
      <c r="AH21" s="3">
        <v>-1.2335507462607638</v>
      </c>
      <c r="AI21" s="3">
        <v>0.16320301782923852</v>
      </c>
      <c r="AJ21" s="3">
        <v>1.1043187677692341</v>
      </c>
      <c r="AK21" s="3">
        <v>2.7184411626292273</v>
      </c>
      <c r="AL21" s="3">
        <v>1.6554374506492406</v>
      </c>
      <c r="AM21" s="3">
        <v>0.73988715803922955</v>
      </c>
      <c r="AN21" s="3">
        <v>1.2394592322392297</v>
      </c>
      <c r="AO21" s="3">
        <v>1.5319094081492275</v>
      </c>
      <c r="AP21" s="3">
        <v>1.4473524387232231</v>
      </c>
      <c r="AQ21" s="3">
        <v>1.2389727557242383</v>
      </c>
      <c r="AR21" s="3">
        <v>1.6186363016892316</v>
      </c>
      <c r="AS21" s="3">
        <v>0.87342533512922516</v>
      </c>
      <c r="AT21" s="3">
        <v>2.4928988691492382</v>
      </c>
      <c r="AU21" s="3">
        <v>-6.0649675430752892E-2</v>
      </c>
    </row>
    <row r="22" spans="1:47" x14ac:dyDescent="0.25">
      <c r="A22">
        <v>1994.375</v>
      </c>
      <c r="B22">
        <v>5</v>
      </c>
      <c r="C22" s="3">
        <v>0.48058693018923609</v>
      </c>
      <c r="G22" s="3">
        <v>0.48058693018923609</v>
      </c>
      <c r="H22" s="3">
        <v>0.43658393346923852</v>
      </c>
      <c r="I22" s="3">
        <v>0.55829599056923407</v>
      </c>
      <c r="J22" s="3">
        <v>-0.26735246563077253</v>
      </c>
      <c r="K22" s="3">
        <v>-0.96840572933077751</v>
      </c>
      <c r="L22" s="3">
        <v>-1.3840851574307529</v>
      </c>
      <c r="M22" s="3">
        <v>-0.34274929363076823</v>
      </c>
      <c r="N22" s="3">
        <v>-1.003711165430766</v>
      </c>
      <c r="O22" s="3">
        <v>3.3413247869227392E-2</v>
      </c>
      <c r="P22" s="3">
        <v>-0.23892460953076178</v>
      </c>
      <c r="Q22" s="3">
        <v>-5.7858695630772616E-2</v>
      </c>
      <c r="R22" s="3">
        <v>-1.2440622765307658</v>
      </c>
      <c r="S22" s="3">
        <v>-1.7499852617307701</v>
      </c>
      <c r="T22" s="3">
        <v>-1.4652308750507557</v>
      </c>
      <c r="U22" s="3">
        <v>-1.400128325530777</v>
      </c>
      <c r="V22" s="3">
        <v>-2.5427820538307531</v>
      </c>
      <c r="W22" s="3">
        <v>-6.6647353730779207E-2</v>
      </c>
      <c r="X22" s="3">
        <v>0.2562015870692339</v>
      </c>
      <c r="Y22" s="3">
        <v>-0.76324945283075885</v>
      </c>
      <c r="Z22" s="3">
        <v>-0.47740350051075731</v>
      </c>
      <c r="AA22" s="3">
        <v>0.67246091184924062</v>
      </c>
      <c r="AB22" s="3">
        <v>0.91106123696924057</v>
      </c>
      <c r="AC22" s="3">
        <v>0.30045070326922318</v>
      </c>
      <c r="AD22" s="3">
        <v>-1.121383650430777</v>
      </c>
      <c r="AE22" s="3">
        <v>-0.84115852963076165</v>
      </c>
      <c r="AF22" s="3">
        <v>-1.4262157430307572</v>
      </c>
      <c r="AG22" s="3">
        <v>-1.6423887356207789</v>
      </c>
      <c r="AH22" s="3">
        <v>-2.3034867752407635</v>
      </c>
      <c r="AI22" s="3">
        <v>-4.0346397557107512</v>
      </c>
      <c r="AJ22" s="3">
        <v>-1.5787000165107659</v>
      </c>
      <c r="AK22" s="3">
        <v>-1.6823914399807602</v>
      </c>
      <c r="AL22" s="3">
        <v>-0.45250741993075744</v>
      </c>
      <c r="AM22" s="3">
        <v>-0.43909391222076166</v>
      </c>
      <c r="AN22" s="3">
        <v>0.99610122664924261</v>
      </c>
      <c r="AO22" s="3">
        <v>1.3196503246692344</v>
      </c>
      <c r="AP22" s="3">
        <v>1.5908299070092362</v>
      </c>
      <c r="AQ22" s="3">
        <v>1.5588966751912405</v>
      </c>
      <c r="AR22" s="3">
        <v>1.6316906620592251</v>
      </c>
      <c r="AS22" s="3">
        <v>1.2957303481892386</v>
      </c>
      <c r="AT22" s="3">
        <v>-1.2335507462607638</v>
      </c>
      <c r="AU22" s="3">
        <v>0.16320301782923852</v>
      </c>
    </row>
    <row r="23" spans="1:47" x14ac:dyDescent="0.25">
      <c r="A23">
        <v>1995.375</v>
      </c>
      <c r="B23">
        <v>5</v>
      </c>
      <c r="C23" s="3">
        <v>7.6683764169240554E-2</v>
      </c>
      <c r="G23" s="3">
        <v>7.6683764169240554E-2</v>
      </c>
      <c r="H23" s="3">
        <v>0.10972375916922747</v>
      </c>
      <c r="I23" s="3">
        <v>-0.31761633993075511</v>
      </c>
      <c r="J23" s="3">
        <v>-1.3699783146307574</v>
      </c>
      <c r="K23" s="3">
        <v>-2.2407406892407531</v>
      </c>
      <c r="L23" s="3">
        <v>-1.0063510335307699</v>
      </c>
      <c r="M23" s="3">
        <v>1.3061153370692451</v>
      </c>
      <c r="N23" s="3">
        <v>-0.22854296843077238</v>
      </c>
      <c r="O23" s="3">
        <v>0.54970240346922294</v>
      </c>
      <c r="P23" s="3">
        <v>1.4629862816792296</v>
      </c>
      <c r="Q23" s="3">
        <v>1.3126903932192404</v>
      </c>
      <c r="R23" s="3">
        <v>1.4165573207592337</v>
      </c>
      <c r="S23" s="3">
        <v>0.48058693018923609</v>
      </c>
      <c r="T23" s="3">
        <v>0.43658393346923852</v>
      </c>
      <c r="U23" s="3">
        <v>0.55829599056923407</v>
      </c>
      <c r="V23" s="3">
        <v>-0.26735246563077253</v>
      </c>
      <c r="W23" s="3">
        <v>-0.96840572933077751</v>
      </c>
      <c r="X23" s="3">
        <v>-1.3840851574307529</v>
      </c>
      <c r="Y23" s="3">
        <v>-0.34274929363076823</v>
      </c>
      <c r="Z23" s="3">
        <v>-1.003711165430766</v>
      </c>
      <c r="AA23" s="3">
        <v>3.3413247869227392E-2</v>
      </c>
      <c r="AB23" s="3">
        <v>-0.23892460953076178</v>
      </c>
      <c r="AC23" s="3">
        <v>-5.7858695630772616E-2</v>
      </c>
      <c r="AD23" s="3">
        <v>-1.2440622765307658</v>
      </c>
      <c r="AE23" s="3">
        <v>-1.7499852617307701</v>
      </c>
      <c r="AF23" s="3">
        <v>-1.4652308750507557</v>
      </c>
      <c r="AG23" s="3">
        <v>-1.400128325530777</v>
      </c>
      <c r="AH23" s="3">
        <v>-2.5427820538307531</v>
      </c>
      <c r="AI23" s="3">
        <v>-6.6647353730779207E-2</v>
      </c>
      <c r="AJ23" s="3">
        <v>0.2562015870692339</v>
      </c>
      <c r="AK23" s="3">
        <v>-0.76324945283075885</v>
      </c>
      <c r="AL23" s="3">
        <v>-0.47740350051075731</v>
      </c>
      <c r="AM23" s="3">
        <v>0.67246091184924062</v>
      </c>
      <c r="AN23" s="3">
        <v>0.91106123696924057</v>
      </c>
      <c r="AO23" s="3">
        <v>0.30045070326922318</v>
      </c>
      <c r="AP23" s="3">
        <v>-1.121383650430777</v>
      </c>
      <c r="AQ23" s="3">
        <v>-0.84115852963076165</v>
      </c>
      <c r="AR23" s="3">
        <v>-1.4262157430307572</v>
      </c>
      <c r="AS23" s="3">
        <v>-1.6423887356207789</v>
      </c>
      <c r="AT23" s="3">
        <v>-2.3034867752407635</v>
      </c>
      <c r="AU23" s="3">
        <v>-4.0346397557107512</v>
      </c>
    </row>
    <row r="24" spans="1:47" x14ac:dyDescent="0.25">
      <c r="A24">
        <v>1996.375</v>
      </c>
      <c r="B24">
        <v>5</v>
      </c>
      <c r="C24" s="3">
        <v>0.93481068946924495</v>
      </c>
      <c r="G24" s="3">
        <v>0.93481068946924495</v>
      </c>
      <c r="H24" s="3">
        <v>-9.6817897150762722E-2</v>
      </c>
      <c r="I24" s="3">
        <v>0.34425614486924488</v>
      </c>
      <c r="J24" s="3">
        <v>5.2294937169236277E-2</v>
      </c>
      <c r="K24" s="3">
        <v>0.12928496692922442</v>
      </c>
      <c r="L24" s="3">
        <v>-1.3773610517907746</v>
      </c>
      <c r="M24" s="3">
        <v>1.5170529866692426</v>
      </c>
      <c r="N24" s="3">
        <v>1.4887714762392252</v>
      </c>
      <c r="O24" s="3">
        <v>0.48882257341924473</v>
      </c>
      <c r="P24" s="3">
        <v>2.4735421464692338</v>
      </c>
      <c r="Q24" s="3">
        <v>1.2489220058692447</v>
      </c>
      <c r="R24" s="3">
        <v>0.55404742496924286</v>
      </c>
      <c r="S24" s="3">
        <v>7.6683764169240554E-2</v>
      </c>
      <c r="T24" s="3">
        <v>0.10972375916922747</v>
      </c>
      <c r="U24" s="3">
        <v>-0.31761633993075511</v>
      </c>
      <c r="V24" s="3">
        <v>-1.3699783146307574</v>
      </c>
      <c r="W24" s="3">
        <v>-2.2407406892407531</v>
      </c>
      <c r="X24" s="3">
        <v>-1.0063510335307699</v>
      </c>
      <c r="Y24" s="3">
        <v>1.3061153370692451</v>
      </c>
      <c r="Z24" s="3">
        <v>-0.22854296843077238</v>
      </c>
      <c r="AA24" s="3">
        <v>0.54970240346922294</v>
      </c>
      <c r="AB24" s="3">
        <v>1.4629862816792296</v>
      </c>
      <c r="AC24" s="3">
        <v>1.3126903932192404</v>
      </c>
      <c r="AD24" s="3">
        <v>1.4165573207592337</v>
      </c>
      <c r="AE24" s="3">
        <v>0.48058693018923609</v>
      </c>
      <c r="AF24" s="3">
        <v>0.43658393346923852</v>
      </c>
      <c r="AG24" s="3">
        <v>0.55829599056923407</v>
      </c>
      <c r="AH24" s="3">
        <v>-0.26735246563077253</v>
      </c>
      <c r="AI24" s="3">
        <v>-0.96840572933077751</v>
      </c>
      <c r="AJ24" s="3">
        <v>-1.3840851574307529</v>
      </c>
      <c r="AK24" s="3">
        <v>-0.34274929363076823</v>
      </c>
      <c r="AL24" s="3">
        <v>-1.003711165430766</v>
      </c>
      <c r="AM24" s="3">
        <v>3.3413247869227392E-2</v>
      </c>
      <c r="AN24" s="3">
        <v>-0.23892460953076178</v>
      </c>
      <c r="AO24" s="3">
        <v>-5.7858695630772616E-2</v>
      </c>
      <c r="AP24" s="3">
        <v>-1.2440622765307658</v>
      </c>
      <c r="AQ24" s="3">
        <v>-1.7499852617307701</v>
      </c>
      <c r="AR24" s="3">
        <v>-1.4652308750507557</v>
      </c>
      <c r="AS24" s="3">
        <v>-1.400128325530777</v>
      </c>
      <c r="AT24" s="3">
        <v>-2.5427820538307531</v>
      </c>
      <c r="AU24" s="3">
        <v>-6.6647353730779207E-2</v>
      </c>
    </row>
    <row r="25" spans="1:47" x14ac:dyDescent="0.25">
      <c r="A25">
        <v>1997.375</v>
      </c>
      <c r="B25">
        <v>5</v>
      </c>
      <c r="C25" s="3">
        <v>-1.0207669603507683</v>
      </c>
      <c r="G25" s="3">
        <v>-1.0207669603507683</v>
      </c>
      <c r="H25" s="3">
        <v>-9.7373376630768144E-2</v>
      </c>
      <c r="I25" s="3">
        <v>1.4184623768092359</v>
      </c>
      <c r="J25" s="3">
        <v>-0.48558845493075964</v>
      </c>
      <c r="K25" s="3">
        <v>-1.4328003235307725</v>
      </c>
      <c r="L25" s="3">
        <v>0.25270418406924511</v>
      </c>
      <c r="M25" s="3">
        <v>0.81910462036922738</v>
      </c>
      <c r="N25" s="3">
        <v>1.2670931882692424</v>
      </c>
      <c r="O25" s="3">
        <v>1.252030043689234</v>
      </c>
      <c r="P25" s="3">
        <v>2.7404304538592403</v>
      </c>
      <c r="Q25" s="3">
        <v>2.3489521429392384</v>
      </c>
      <c r="R25" s="3">
        <v>1.766043151369225</v>
      </c>
      <c r="S25" s="3">
        <v>0.93481068946924495</v>
      </c>
      <c r="T25" s="3">
        <v>-9.6817897150762722E-2</v>
      </c>
      <c r="U25" s="3">
        <v>0.34425614486924488</v>
      </c>
      <c r="V25" s="3">
        <v>5.2294937169236277E-2</v>
      </c>
      <c r="W25" s="3">
        <v>0.12928496692922442</v>
      </c>
      <c r="X25" s="3">
        <v>-1.3773610517907746</v>
      </c>
      <c r="Y25" s="3">
        <v>1.5170529866692426</v>
      </c>
      <c r="Z25" s="3">
        <v>1.4887714762392252</v>
      </c>
      <c r="AA25" s="3">
        <v>0.48882257341924473</v>
      </c>
      <c r="AB25" s="3">
        <v>2.4735421464692338</v>
      </c>
      <c r="AC25" s="3">
        <v>1.2489220058692447</v>
      </c>
      <c r="AD25" s="3">
        <v>0.55404742496924286</v>
      </c>
      <c r="AE25" s="3">
        <v>7.6683764169240554E-2</v>
      </c>
      <c r="AF25" s="3">
        <v>0.10972375916922747</v>
      </c>
      <c r="AG25" s="3">
        <v>-0.31761633993075511</v>
      </c>
      <c r="AH25" s="3">
        <v>-1.3699783146307574</v>
      </c>
      <c r="AI25" s="3">
        <v>-2.2407406892407531</v>
      </c>
      <c r="AJ25" s="3">
        <v>-1.0063510335307699</v>
      </c>
      <c r="AK25" s="3">
        <v>1.3061153370692451</v>
      </c>
      <c r="AL25" s="3">
        <v>-0.22854296843077238</v>
      </c>
      <c r="AM25" s="3">
        <v>0.54970240346922294</v>
      </c>
      <c r="AN25" s="3">
        <v>1.4629862816792296</v>
      </c>
      <c r="AO25" s="3">
        <v>1.3126903932192404</v>
      </c>
      <c r="AP25" s="3">
        <v>1.4165573207592337</v>
      </c>
      <c r="AQ25" s="3">
        <v>0.48058693018923609</v>
      </c>
      <c r="AR25" s="3">
        <v>0.43658393346923852</v>
      </c>
      <c r="AS25" s="3">
        <v>0.55829599056923407</v>
      </c>
      <c r="AT25" s="3">
        <v>-0.26735246563077253</v>
      </c>
      <c r="AU25" s="3">
        <v>-0.96840572933077751</v>
      </c>
    </row>
    <row r="26" spans="1:47" x14ac:dyDescent="0.25">
      <c r="A26">
        <v>1998.375</v>
      </c>
      <c r="B26">
        <v>5</v>
      </c>
      <c r="C26" s="3">
        <v>0.36530161782924503</v>
      </c>
      <c r="G26" s="3">
        <v>0.36530161782924503</v>
      </c>
      <c r="H26" s="3">
        <v>-0.67479155132076152</v>
      </c>
      <c r="I26" s="3">
        <v>-2.787153976350762</v>
      </c>
      <c r="J26" s="3">
        <v>-4.7932476183307555</v>
      </c>
      <c r="K26" s="3">
        <v>-5.1007095236207638</v>
      </c>
      <c r="L26" s="3">
        <v>-3.1512866676807603</v>
      </c>
      <c r="M26" s="3">
        <v>-3.1398037807207642</v>
      </c>
      <c r="N26" s="3">
        <v>-2.6304183801607746</v>
      </c>
      <c r="O26" s="3">
        <v>-2.6443173447007617</v>
      </c>
      <c r="P26" s="3">
        <v>-2.0635819996307614</v>
      </c>
      <c r="Q26" s="3">
        <v>-1.616506618360757</v>
      </c>
      <c r="R26" s="3">
        <v>-2.2607291906107592</v>
      </c>
      <c r="S26" s="3">
        <v>-1.0207669603507683</v>
      </c>
      <c r="T26" s="3">
        <v>-9.7373376630768144E-2</v>
      </c>
      <c r="U26" s="3">
        <v>1.4184623768092359</v>
      </c>
      <c r="V26" s="3">
        <v>-0.48558845493075964</v>
      </c>
      <c r="W26" s="3">
        <v>-1.4328003235307725</v>
      </c>
      <c r="X26" s="3">
        <v>0.25270418406924511</v>
      </c>
      <c r="Y26" s="3">
        <v>0.81910462036922738</v>
      </c>
      <c r="Z26" s="3">
        <v>1.2670931882692424</v>
      </c>
      <c r="AA26" s="3">
        <v>1.252030043689234</v>
      </c>
      <c r="AB26" s="3">
        <v>2.7404304538592403</v>
      </c>
      <c r="AC26" s="3">
        <v>2.3489521429392384</v>
      </c>
      <c r="AD26" s="3">
        <v>1.766043151369225</v>
      </c>
      <c r="AE26" s="3">
        <v>0.93481068946924495</v>
      </c>
      <c r="AF26" s="3">
        <v>-9.6817897150762722E-2</v>
      </c>
      <c r="AG26" s="3">
        <v>0.34425614486924488</v>
      </c>
      <c r="AH26" s="3">
        <v>5.2294937169236277E-2</v>
      </c>
      <c r="AI26" s="3">
        <v>0.12928496692922442</v>
      </c>
      <c r="AJ26" s="3">
        <v>-1.3773610517907746</v>
      </c>
      <c r="AK26" s="3">
        <v>1.5170529866692426</v>
      </c>
      <c r="AL26" s="3">
        <v>1.4887714762392252</v>
      </c>
      <c r="AM26" s="3">
        <v>0.48882257341924473</v>
      </c>
      <c r="AN26" s="3">
        <v>2.4735421464692338</v>
      </c>
      <c r="AO26" s="3">
        <v>1.2489220058692447</v>
      </c>
      <c r="AP26" s="3">
        <v>0.55404742496924286</v>
      </c>
      <c r="AQ26" s="3">
        <v>7.6683764169240554E-2</v>
      </c>
      <c r="AR26" s="3">
        <v>0.10972375916922747</v>
      </c>
      <c r="AS26" s="3">
        <v>-0.31761633993075511</v>
      </c>
      <c r="AT26" s="3">
        <v>-1.3699783146307574</v>
      </c>
      <c r="AU26" s="3">
        <v>-2.2407406892407531</v>
      </c>
    </row>
    <row r="27" spans="1:47" x14ac:dyDescent="0.25">
      <c r="A27">
        <v>1999.375</v>
      </c>
      <c r="B27">
        <v>5</v>
      </c>
      <c r="C27" s="3">
        <v>4.2896200438692365</v>
      </c>
      <c r="G27" s="3">
        <v>4.2896200438692365</v>
      </c>
      <c r="H27" s="3">
        <v>4.2750099174692346</v>
      </c>
      <c r="I27" s="3">
        <v>2.720610813269225</v>
      </c>
      <c r="J27" s="3">
        <v>2.0505162265692274</v>
      </c>
      <c r="K27" s="3">
        <v>2.0362881506692445</v>
      </c>
      <c r="L27" s="3">
        <v>3.053984121499234</v>
      </c>
      <c r="M27" s="3">
        <v>2.044175869139242</v>
      </c>
      <c r="N27" s="3">
        <v>3.7128887155072277</v>
      </c>
      <c r="O27" s="3">
        <v>3.4363206710852405</v>
      </c>
      <c r="P27" s="3">
        <v>4.4289432049292321</v>
      </c>
      <c r="Q27" s="3">
        <v>3.8889257109492208</v>
      </c>
      <c r="R27" s="3">
        <v>2.0395898820592362</v>
      </c>
      <c r="S27" s="3">
        <v>0.36530161782924503</v>
      </c>
      <c r="T27" s="3">
        <v>-0.67479155132076152</v>
      </c>
      <c r="U27" s="3">
        <v>-2.787153976350762</v>
      </c>
      <c r="V27" s="3">
        <v>-4.7932476183307555</v>
      </c>
      <c r="W27" s="3">
        <v>-5.1007095236207638</v>
      </c>
      <c r="X27" s="3">
        <v>-3.1512866676807603</v>
      </c>
      <c r="Y27" s="3">
        <v>-3.1398037807207642</v>
      </c>
      <c r="Z27" s="3">
        <v>-2.6304183801607746</v>
      </c>
      <c r="AA27" s="3">
        <v>-2.6443173447007617</v>
      </c>
      <c r="AB27" s="3">
        <v>-2.0635819996307614</v>
      </c>
      <c r="AC27" s="3">
        <v>-1.616506618360757</v>
      </c>
      <c r="AD27" s="3">
        <v>-2.2607291906107592</v>
      </c>
      <c r="AE27" s="3">
        <v>-1.0207669603507683</v>
      </c>
      <c r="AF27" s="3">
        <v>-9.7373376630768144E-2</v>
      </c>
      <c r="AG27" s="3">
        <v>1.4184623768092359</v>
      </c>
      <c r="AH27" s="3">
        <v>-0.48558845493075964</v>
      </c>
      <c r="AI27" s="3">
        <v>-1.4328003235307725</v>
      </c>
      <c r="AJ27" s="3">
        <v>0.25270418406924511</v>
      </c>
      <c r="AK27" s="3">
        <v>0.81910462036922738</v>
      </c>
      <c r="AL27" s="3">
        <v>1.2670931882692424</v>
      </c>
      <c r="AM27" s="3">
        <v>1.252030043689234</v>
      </c>
      <c r="AN27" s="3">
        <v>2.7404304538592403</v>
      </c>
      <c r="AO27" s="3">
        <v>2.3489521429392384</v>
      </c>
      <c r="AP27" s="3">
        <v>1.766043151369225</v>
      </c>
      <c r="AQ27" s="3">
        <v>0.93481068946924495</v>
      </c>
      <c r="AR27" s="3">
        <v>-9.6817897150762722E-2</v>
      </c>
      <c r="AS27" s="3">
        <v>0.34425614486924488</v>
      </c>
      <c r="AT27" s="3">
        <v>5.2294937169236277E-2</v>
      </c>
      <c r="AU27" s="3">
        <v>0.12928496692922442</v>
      </c>
    </row>
    <row r="28" spans="1:47" x14ac:dyDescent="0.25">
      <c r="A28">
        <v>2000.375</v>
      </c>
      <c r="B28">
        <v>5</v>
      </c>
      <c r="C28" s="3">
        <v>3.5373226747692317</v>
      </c>
      <c r="G28" s="3">
        <v>3.5373226747692317</v>
      </c>
      <c r="H28" s="3">
        <v>3.0903652242692421</v>
      </c>
      <c r="I28" s="3">
        <v>1.4600406446692253</v>
      </c>
      <c r="J28" s="3">
        <v>0.9794701684692293</v>
      </c>
      <c r="K28" s="3">
        <v>4.1817926795692255</v>
      </c>
      <c r="L28" s="3">
        <v>3.394136948569225</v>
      </c>
      <c r="M28" s="3">
        <v>3.509488163569245</v>
      </c>
      <c r="N28" s="3">
        <v>4.1367831363692362</v>
      </c>
      <c r="O28" s="3">
        <v>3.8332401099692253</v>
      </c>
      <c r="P28" s="3">
        <v>3.4883985685692318</v>
      </c>
      <c r="Q28" s="3">
        <v>4.7052333398692276</v>
      </c>
      <c r="R28" s="3">
        <v>4.0284021538692274</v>
      </c>
      <c r="S28" s="3">
        <v>4.2896200438692365</v>
      </c>
      <c r="T28" s="3">
        <v>4.2750099174692346</v>
      </c>
      <c r="U28" s="3">
        <v>2.720610813269225</v>
      </c>
      <c r="V28" s="3">
        <v>2.0505162265692274</v>
      </c>
      <c r="W28" s="3">
        <v>2.0362881506692445</v>
      </c>
      <c r="X28" s="3">
        <v>3.053984121499234</v>
      </c>
      <c r="Y28" s="3">
        <v>2.044175869139242</v>
      </c>
      <c r="Z28" s="3">
        <v>3.7128887155072277</v>
      </c>
      <c r="AA28" s="3">
        <v>3.4363206710852405</v>
      </c>
      <c r="AB28" s="3">
        <v>4.4289432049292321</v>
      </c>
      <c r="AC28" s="3">
        <v>3.8889257109492208</v>
      </c>
      <c r="AD28" s="3">
        <v>2.0395898820592362</v>
      </c>
      <c r="AE28" s="3">
        <v>0.36530161782924503</v>
      </c>
      <c r="AF28" s="3">
        <v>-0.67479155132076152</v>
      </c>
      <c r="AG28" s="3">
        <v>-2.787153976350762</v>
      </c>
      <c r="AH28" s="3">
        <v>-4.7932476183307555</v>
      </c>
      <c r="AI28" s="3">
        <v>-5.1007095236207638</v>
      </c>
      <c r="AJ28" s="3">
        <v>-3.1512866676807603</v>
      </c>
      <c r="AK28" s="3">
        <v>-3.1398037807207642</v>
      </c>
      <c r="AL28" s="3">
        <v>-2.6304183801607746</v>
      </c>
      <c r="AM28" s="3">
        <v>-2.6443173447007617</v>
      </c>
      <c r="AN28" s="3">
        <v>-2.0635819996307614</v>
      </c>
      <c r="AO28" s="3">
        <v>-1.616506618360757</v>
      </c>
      <c r="AP28" s="3">
        <v>-2.2607291906107592</v>
      </c>
      <c r="AQ28" s="3">
        <v>-1.0207669603507683</v>
      </c>
      <c r="AR28" s="3">
        <v>-9.7373376630768144E-2</v>
      </c>
      <c r="AS28" s="3">
        <v>1.4184623768092359</v>
      </c>
      <c r="AT28" s="3">
        <v>-0.48558845493075964</v>
      </c>
      <c r="AU28" s="3">
        <v>-1.4328003235307725</v>
      </c>
    </row>
    <row r="29" spans="1:47" x14ac:dyDescent="0.25">
      <c r="A29">
        <v>2001.375</v>
      </c>
      <c r="B29">
        <v>5</v>
      </c>
      <c r="C29" s="3">
        <v>2.8748315578692294</v>
      </c>
      <c r="G29" s="3">
        <v>2.8748315578692294</v>
      </c>
      <c r="H29" s="3">
        <v>3.2092950798692228</v>
      </c>
      <c r="I29" s="3">
        <v>1.7469426557692425</v>
      </c>
      <c r="J29" s="3">
        <v>1.4616929183692422</v>
      </c>
      <c r="K29" s="3">
        <v>-0.38835567963076423</v>
      </c>
      <c r="L29" s="3">
        <v>-0.22668680423076398</v>
      </c>
      <c r="M29" s="3">
        <v>1.6595333543692334</v>
      </c>
      <c r="N29" s="3">
        <v>2.6644051674692379</v>
      </c>
      <c r="O29" s="3">
        <v>2.5123353872692271</v>
      </c>
      <c r="P29" s="3">
        <v>3.4102340611692208</v>
      </c>
      <c r="Q29" s="3">
        <v>3.4716817257692343</v>
      </c>
      <c r="R29" s="3">
        <v>3.2955469341692334</v>
      </c>
      <c r="S29" s="3">
        <v>3.5373226747692317</v>
      </c>
      <c r="T29" s="3">
        <v>3.0903652242692421</v>
      </c>
      <c r="U29" s="3">
        <v>1.4600406446692253</v>
      </c>
      <c r="V29" s="3">
        <v>0.9794701684692293</v>
      </c>
      <c r="W29" s="3">
        <v>4.1817926795692255</v>
      </c>
      <c r="X29" s="3">
        <v>3.394136948569225</v>
      </c>
      <c r="Y29" s="3">
        <v>3.509488163569245</v>
      </c>
      <c r="Z29" s="3">
        <v>4.1367831363692362</v>
      </c>
      <c r="AA29" s="3">
        <v>3.8332401099692253</v>
      </c>
      <c r="AB29" s="3">
        <v>3.4883985685692318</v>
      </c>
      <c r="AC29" s="3">
        <v>4.7052333398692276</v>
      </c>
      <c r="AD29" s="3">
        <v>4.0284021538692274</v>
      </c>
      <c r="AE29" s="3">
        <v>4.2896200438692365</v>
      </c>
      <c r="AF29" s="3">
        <v>4.2750099174692346</v>
      </c>
      <c r="AG29" s="3">
        <v>2.720610813269225</v>
      </c>
      <c r="AH29" s="3">
        <v>2.0505162265692274</v>
      </c>
      <c r="AI29" s="3">
        <v>2.0362881506692445</v>
      </c>
      <c r="AJ29" s="3">
        <v>3.053984121499234</v>
      </c>
      <c r="AK29" s="3">
        <v>2.044175869139242</v>
      </c>
      <c r="AL29" s="3">
        <v>3.7128887155072277</v>
      </c>
      <c r="AM29" s="3">
        <v>3.4363206710852405</v>
      </c>
      <c r="AN29" s="3">
        <v>4.4289432049292321</v>
      </c>
      <c r="AO29" s="3">
        <v>3.8889257109492208</v>
      </c>
      <c r="AP29" s="3">
        <v>2.0395898820592362</v>
      </c>
      <c r="AQ29" s="3">
        <v>0.36530161782924503</v>
      </c>
      <c r="AR29" s="3">
        <v>-0.67479155132076152</v>
      </c>
      <c r="AS29" s="3">
        <v>-2.787153976350762</v>
      </c>
      <c r="AT29" s="3">
        <v>-4.7932476183307555</v>
      </c>
      <c r="AU29" s="3">
        <v>-5.1007095236207638</v>
      </c>
    </row>
    <row r="30" spans="1:47" x14ac:dyDescent="0.25">
      <c r="A30">
        <v>2002.375</v>
      </c>
      <c r="B30">
        <v>5</v>
      </c>
      <c r="C30" s="3">
        <v>1.9076068417692387</v>
      </c>
      <c r="G30" s="3">
        <v>1.9076068417692387</v>
      </c>
      <c r="H30" s="3">
        <v>3.0384176178892228</v>
      </c>
      <c r="I30" s="3">
        <v>2.3836384248692406</v>
      </c>
      <c r="J30" s="3">
        <v>1.7291000883692318</v>
      </c>
      <c r="K30" s="3">
        <v>0.57640479186923832</v>
      </c>
      <c r="L30" s="3">
        <v>0.41005423246923839</v>
      </c>
      <c r="M30" s="3">
        <v>0.95477888506922737</v>
      </c>
      <c r="N30" s="3">
        <v>2.6059359112692251</v>
      </c>
      <c r="O30" s="3">
        <v>2.3933862785692384</v>
      </c>
      <c r="P30" s="3">
        <v>2.724954240169227</v>
      </c>
      <c r="Q30" s="3">
        <v>3.197693081169227</v>
      </c>
      <c r="R30" s="3">
        <v>3.2077139517692337</v>
      </c>
      <c r="S30" s="3">
        <v>2.8748315578692294</v>
      </c>
      <c r="T30" s="3">
        <v>3.2092950798692228</v>
      </c>
      <c r="U30" s="3">
        <v>1.7469426557692425</v>
      </c>
      <c r="V30" s="3">
        <v>1.4616929183692422</v>
      </c>
      <c r="W30" s="3">
        <v>-0.38835567963076423</v>
      </c>
      <c r="X30" s="3">
        <v>-0.22668680423076398</v>
      </c>
      <c r="Y30" s="3">
        <v>1.6595333543692334</v>
      </c>
      <c r="Z30" s="3">
        <v>2.6644051674692379</v>
      </c>
      <c r="AA30" s="3">
        <v>2.5123353872692271</v>
      </c>
      <c r="AB30" s="3">
        <v>3.4102340611692208</v>
      </c>
      <c r="AC30" s="3">
        <v>3.4716817257692343</v>
      </c>
      <c r="AD30" s="3">
        <v>3.2955469341692334</v>
      </c>
      <c r="AE30" s="3">
        <v>3.5373226747692317</v>
      </c>
      <c r="AF30" s="3">
        <v>3.0903652242692421</v>
      </c>
      <c r="AG30" s="3">
        <v>1.4600406446692253</v>
      </c>
      <c r="AH30" s="3">
        <v>0.9794701684692293</v>
      </c>
      <c r="AI30" s="3">
        <v>4.1817926795692255</v>
      </c>
      <c r="AJ30" s="3">
        <v>3.394136948569225</v>
      </c>
      <c r="AK30" s="3">
        <v>3.509488163569245</v>
      </c>
      <c r="AL30" s="3">
        <v>4.1367831363692362</v>
      </c>
      <c r="AM30" s="3">
        <v>3.8332401099692253</v>
      </c>
      <c r="AN30" s="3">
        <v>3.4883985685692318</v>
      </c>
      <c r="AO30" s="3">
        <v>4.7052333398692276</v>
      </c>
      <c r="AP30" s="3">
        <v>4.0284021538692274</v>
      </c>
      <c r="AQ30" s="3">
        <v>4.2896200438692365</v>
      </c>
      <c r="AR30" s="3">
        <v>4.2750099174692346</v>
      </c>
      <c r="AS30" s="3">
        <v>2.720610813269225</v>
      </c>
      <c r="AT30" s="3">
        <v>2.0505162265692274</v>
      </c>
      <c r="AU30" s="3">
        <v>2.0362881506692445</v>
      </c>
    </row>
    <row r="31" spans="1:47" x14ac:dyDescent="0.25">
      <c r="A31">
        <v>2003.375</v>
      </c>
      <c r="B31">
        <v>5</v>
      </c>
      <c r="C31" s="3">
        <v>2.2880968023692252</v>
      </c>
      <c r="G31" s="3">
        <v>2.2880968023692252</v>
      </c>
      <c r="H31" s="3">
        <v>1.3477316226692384</v>
      </c>
      <c r="I31" s="3">
        <v>-0.21509650943075509</v>
      </c>
      <c r="J31" s="3">
        <v>-1.3804676941707616</v>
      </c>
      <c r="K31" s="3">
        <v>-3.3722278468307572</v>
      </c>
      <c r="L31" s="3">
        <v>-2.8223534988307661</v>
      </c>
      <c r="M31" s="3">
        <v>-2.5511742228307752</v>
      </c>
      <c r="N31" s="3">
        <v>-0.85183288539076163</v>
      </c>
      <c r="O31" s="3">
        <v>0.39340332639922526</v>
      </c>
      <c r="P31" s="3">
        <v>0.59083584561924296</v>
      </c>
      <c r="Q31" s="3">
        <v>1.6826666062692384</v>
      </c>
      <c r="R31" s="3">
        <v>1.4205022298692254</v>
      </c>
      <c r="S31" s="3">
        <v>1.9076068417692387</v>
      </c>
      <c r="T31" s="3">
        <v>3.0384176178892228</v>
      </c>
      <c r="U31" s="3">
        <v>2.3836384248692406</v>
      </c>
      <c r="V31" s="3">
        <v>1.7291000883692318</v>
      </c>
      <c r="W31" s="3">
        <v>0.57640479186923832</v>
      </c>
      <c r="X31" s="3">
        <v>0.41005423246923839</v>
      </c>
      <c r="Y31" s="3">
        <v>0.95477888506922737</v>
      </c>
      <c r="Z31" s="3">
        <v>2.6059359112692251</v>
      </c>
      <c r="AA31" s="3">
        <v>2.3933862785692384</v>
      </c>
      <c r="AB31" s="3">
        <v>2.724954240169227</v>
      </c>
      <c r="AC31" s="3">
        <v>3.197693081169227</v>
      </c>
      <c r="AD31" s="3">
        <v>3.2077139517692337</v>
      </c>
      <c r="AE31" s="3">
        <v>2.8748315578692294</v>
      </c>
      <c r="AF31" s="3">
        <v>3.2092950798692228</v>
      </c>
      <c r="AG31" s="3">
        <v>1.7469426557692425</v>
      </c>
      <c r="AH31" s="3">
        <v>1.4616929183692422</v>
      </c>
      <c r="AI31" s="3">
        <v>-0.38835567963076423</v>
      </c>
      <c r="AJ31" s="3">
        <v>-0.22668680423076398</v>
      </c>
      <c r="AK31" s="3">
        <v>1.6595333543692334</v>
      </c>
      <c r="AL31" s="3">
        <v>2.6644051674692379</v>
      </c>
      <c r="AM31" s="3">
        <v>2.5123353872692271</v>
      </c>
      <c r="AN31" s="3">
        <v>3.4102340611692208</v>
      </c>
      <c r="AO31" s="3">
        <v>3.4716817257692343</v>
      </c>
      <c r="AP31" s="3">
        <v>3.2955469341692334</v>
      </c>
      <c r="AQ31" s="3">
        <v>3.5373226747692317</v>
      </c>
      <c r="AR31" s="3">
        <v>3.0903652242692421</v>
      </c>
      <c r="AS31" s="3">
        <v>1.4600406446692253</v>
      </c>
      <c r="AT31" s="3">
        <v>0.9794701684692293</v>
      </c>
      <c r="AU31" s="3">
        <v>4.1817926795692255</v>
      </c>
    </row>
    <row r="32" spans="1:47" x14ac:dyDescent="0.25">
      <c r="A32">
        <v>2004.375</v>
      </c>
      <c r="B32">
        <v>5</v>
      </c>
      <c r="C32" s="3">
        <v>1.3046613783592229</v>
      </c>
      <c r="G32" s="3">
        <v>1.3046613783592229</v>
      </c>
      <c r="H32" s="3">
        <v>0.59094081723922087</v>
      </c>
      <c r="I32" s="3">
        <v>1.4408482313592275</v>
      </c>
      <c r="J32" s="3">
        <v>-1.6729482482407596</v>
      </c>
      <c r="K32" s="3">
        <v>-1.095964693210753</v>
      </c>
      <c r="L32" s="3">
        <v>-1.0499957530007684</v>
      </c>
      <c r="M32" s="3">
        <v>1.8076010837492387</v>
      </c>
      <c r="N32" s="3">
        <v>5.9040367769244984E-2</v>
      </c>
      <c r="O32" s="3">
        <v>1.020079867869234</v>
      </c>
      <c r="P32" s="3">
        <v>1.3330668343492251</v>
      </c>
      <c r="Q32" s="3">
        <v>2.0764134763692423</v>
      </c>
      <c r="R32" s="3">
        <v>1.538133375409245</v>
      </c>
      <c r="S32" s="3">
        <v>2.2880968023692252</v>
      </c>
      <c r="T32" s="3">
        <v>1.3477316226692384</v>
      </c>
      <c r="U32" s="3">
        <v>-0.21509650943075509</v>
      </c>
      <c r="V32" s="3">
        <v>-1.3804676941707616</v>
      </c>
      <c r="W32" s="3">
        <v>-3.3722278468307572</v>
      </c>
      <c r="X32" s="3">
        <v>-2.8223534988307661</v>
      </c>
      <c r="Y32" s="3">
        <v>-2.5511742228307752</v>
      </c>
      <c r="Z32" s="3">
        <v>-0.85183288539076163</v>
      </c>
      <c r="AA32" s="3">
        <v>0.39340332639922526</v>
      </c>
      <c r="AB32" s="3">
        <v>0.59083584561924296</v>
      </c>
      <c r="AC32" s="3">
        <v>1.6826666062692384</v>
      </c>
      <c r="AD32" s="3">
        <v>1.4205022298692254</v>
      </c>
      <c r="AE32" s="3">
        <v>1.9076068417692387</v>
      </c>
      <c r="AF32" s="3">
        <v>3.0384176178892228</v>
      </c>
      <c r="AG32" s="3">
        <v>2.3836384248692406</v>
      </c>
      <c r="AH32" s="3">
        <v>1.7291000883692318</v>
      </c>
      <c r="AI32" s="3">
        <v>0.57640479186923832</v>
      </c>
      <c r="AJ32" s="3">
        <v>0.41005423246923839</v>
      </c>
      <c r="AK32" s="3">
        <v>0.95477888506922737</v>
      </c>
      <c r="AL32" s="3">
        <v>2.6059359112692251</v>
      </c>
      <c r="AM32" s="3">
        <v>2.3933862785692384</v>
      </c>
      <c r="AN32" s="3">
        <v>2.724954240169227</v>
      </c>
      <c r="AO32" s="3">
        <v>3.197693081169227</v>
      </c>
      <c r="AP32" s="3">
        <v>3.2077139517692337</v>
      </c>
      <c r="AQ32" s="3">
        <v>2.8748315578692294</v>
      </c>
      <c r="AR32" s="3">
        <v>3.2092950798692228</v>
      </c>
      <c r="AS32" s="3">
        <v>1.7469426557692425</v>
      </c>
      <c r="AT32" s="3">
        <v>1.4616929183692422</v>
      </c>
      <c r="AU32" s="3">
        <v>-0.38835567963076423</v>
      </c>
    </row>
    <row r="33" spans="1:47" x14ac:dyDescent="0.25">
      <c r="A33">
        <v>2005.375</v>
      </c>
      <c r="B33">
        <v>5</v>
      </c>
      <c r="C33" s="3">
        <v>-0.5079246517307725</v>
      </c>
      <c r="G33" s="3">
        <v>-0.5079246517307725</v>
      </c>
      <c r="H33" s="3">
        <v>0.29846351686923395</v>
      </c>
      <c r="I33" s="3">
        <v>-1.6761749096307603</v>
      </c>
      <c r="J33" s="3">
        <v>-1.3825177939307545</v>
      </c>
      <c r="K33" s="3">
        <v>-1.774578943930764</v>
      </c>
      <c r="L33" s="3">
        <v>-0.34530564288076371</v>
      </c>
      <c r="M33" s="3">
        <v>0.32788333794924063</v>
      </c>
      <c r="N33" s="3">
        <v>0.44187939644322305</v>
      </c>
      <c r="O33" s="3">
        <v>0.97939350272924519</v>
      </c>
      <c r="P33" s="3">
        <v>0.19707756144923189</v>
      </c>
      <c r="Q33" s="3">
        <v>0.82747681711923837</v>
      </c>
      <c r="R33" s="3">
        <v>1.9188675702592293</v>
      </c>
      <c r="S33" s="3">
        <v>1.3046613783592229</v>
      </c>
      <c r="T33" s="3">
        <v>0.59094081723922087</v>
      </c>
      <c r="U33" s="3">
        <v>1.4408482313592275</v>
      </c>
      <c r="V33" s="3">
        <v>-1.6729482482407596</v>
      </c>
      <c r="W33" s="3">
        <v>-1.095964693210753</v>
      </c>
      <c r="X33" s="3">
        <v>-1.0499957530007684</v>
      </c>
      <c r="Y33" s="3">
        <v>1.8076010837492387</v>
      </c>
      <c r="Z33" s="3">
        <v>5.9040367769244984E-2</v>
      </c>
      <c r="AA33" s="3">
        <v>1.020079867869234</v>
      </c>
      <c r="AB33" s="3">
        <v>1.3330668343492251</v>
      </c>
      <c r="AC33" s="3">
        <v>2.0764134763692423</v>
      </c>
      <c r="AD33" s="3">
        <v>1.538133375409245</v>
      </c>
      <c r="AE33" s="3">
        <v>2.2880968023692252</v>
      </c>
      <c r="AF33" s="3">
        <v>1.3477316226692384</v>
      </c>
      <c r="AG33" s="3">
        <v>-0.21509650943075509</v>
      </c>
      <c r="AH33" s="3">
        <v>-1.3804676941707616</v>
      </c>
      <c r="AI33" s="3">
        <v>-3.3722278468307572</v>
      </c>
      <c r="AJ33" s="3">
        <v>-2.8223534988307661</v>
      </c>
      <c r="AK33" s="3">
        <v>-2.5511742228307752</v>
      </c>
      <c r="AL33" s="3">
        <v>-0.85183288539076163</v>
      </c>
      <c r="AM33" s="3">
        <v>0.39340332639922526</v>
      </c>
      <c r="AN33" s="3">
        <v>0.59083584561924296</v>
      </c>
      <c r="AO33" s="3">
        <v>1.6826666062692384</v>
      </c>
      <c r="AP33" s="3">
        <v>1.4205022298692254</v>
      </c>
      <c r="AQ33" s="3">
        <v>1.9076068417692387</v>
      </c>
      <c r="AR33" s="3">
        <v>3.0384176178892228</v>
      </c>
      <c r="AS33" s="3">
        <v>2.3836384248692406</v>
      </c>
      <c r="AT33" s="3">
        <v>1.7291000883692318</v>
      </c>
      <c r="AU33" s="3">
        <v>0.57640479186923832</v>
      </c>
    </row>
    <row r="34" spans="1:47" x14ac:dyDescent="0.25">
      <c r="A34">
        <v>2006.375</v>
      </c>
      <c r="B34">
        <v>5</v>
      </c>
      <c r="C34" s="3">
        <v>2.1628221249392339</v>
      </c>
      <c r="G34" s="3">
        <v>2.1628221249392339</v>
      </c>
      <c r="H34" s="3">
        <v>2.2926456901192314</v>
      </c>
      <c r="I34" s="3">
        <v>1.9418874460192272</v>
      </c>
      <c r="J34" s="3">
        <v>1.5328446123392316</v>
      </c>
      <c r="K34" s="3">
        <v>0.24639725443924221</v>
      </c>
      <c r="L34" s="3">
        <v>-1.7059552504307725</v>
      </c>
      <c r="M34" s="3">
        <v>2.3657050289692316</v>
      </c>
      <c r="N34" s="3">
        <v>2.1485403461692405</v>
      </c>
      <c r="O34" s="3">
        <v>1.8314558438692428</v>
      </c>
      <c r="P34" s="3">
        <v>1.3496924048692274</v>
      </c>
      <c r="Q34" s="3">
        <v>1.4338550498692317</v>
      </c>
      <c r="R34" s="3">
        <v>0.3387690722692363</v>
      </c>
      <c r="S34" s="3">
        <v>-0.5079246517307725</v>
      </c>
      <c r="T34" s="3">
        <v>0.29846351686923395</v>
      </c>
      <c r="U34" s="3">
        <v>-1.6761749096307603</v>
      </c>
      <c r="V34" s="3">
        <v>-1.3825177939307545</v>
      </c>
      <c r="W34" s="3">
        <v>-1.774578943930764</v>
      </c>
      <c r="X34" s="3">
        <v>-0.34530564288076371</v>
      </c>
      <c r="Y34" s="3">
        <v>0.32788333794924063</v>
      </c>
      <c r="Z34" s="3">
        <v>0.44187939644322305</v>
      </c>
      <c r="AA34" s="3">
        <v>0.97939350272924519</v>
      </c>
      <c r="AB34" s="3">
        <v>0.19707756144923189</v>
      </c>
      <c r="AC34" s="3">
        <v>0.82747681711923837</v>
      </c>
      <c r="AD34" s="3">
        <v>1.9188675702592293</v>
      </c>
      <c r="AE34" s="3">
        <v>1.3046613783592229</v>
      </c>
      <c r="AF34" s="3">
        <v>0.59094081723922087</v>
      </c>
      <c r="AG34" s="3">
        <v>1.4408482313592275</v>
      </c>
      <c r="AH34" s="3">
        <v>-1.6729482482407596</v>
      </c>
      <c r="AI34" s="3">
        <v>-1.095964693210753</v>
      </c>
      <c r="AJ34" s="3">
        <v>-1.0499957530007684</v>
      </c>
      <c r="AK34" s="3">
        <v>1.8076010837492387</v>
      </c>
      <c r="AL34" s="3">
        <v>5.9040367769244984E-2</v>
      </c>
      <c r="AM34" s="3">
        <v>1.020079867869234</v>
      </c>
      <c r="AN34" s="3">
        <v>1.3330668343492251</v>
      </c>
      <c r="AO34" s="3">
        <v>2.0764134763692423</v>
      </c>
      <c r="AP34" s="3">
        <v>1.538133375409245</v>
      </c>
      <c r="AQ34" s="3">
        <v>2.2880968023692252</v>
      </c>
      <c r="AR34" s="3">
        <v>1.3477316226692384</v>
      </c>
      <c r="AS34" s="3">
        <v>-0.21509650943075509</v>
      </c>
      <c r="AT34" s="3">
        <v>-1.3804676941707616</v>
      </c>
      <c r="AU34" s="3">
        <v>-3.3722278468307572</v>
      </c>
    </row>
    <row r="35" spans="1:47" x14ac:dyDescent="0.25">
      <c r="A35">
        <v>2007.375</v>
      </c>
      <c r="B35">
        <v>5</v>
      </c>
      <c r="C35" s="3">
        <v>2.2741382218892316</v>
      </c>
      <c r="D35">
        <v>-0.6636461144668484</v>
      </c>
      <c r="G35" s="3">
        <v>2.2741382218892316</v>
      </c>
      <c r="H35" s="3">
        <v>0.91576861426923528</v>
      </c>
      <c r="I35" s="3">
        <v>1.5584511780692361</v>
      </c>
      <c r="J35" s="3">
        <v>-0.38390259033377455</v>
      </c>
      <c r="K35" s="3">
        <v>-0.29827832770077151</v>
      </c>
      <c r="L35" s="3">
        <v>-1.3194225846907526</v>
      </c>
      <c r="M35" s="3">
        <v>0.34878441866923404</v>
      </c>
      <c r="N35" s="3">
        <v>0.133375123389223</v>
      </c>
      <c r="O35" s="3">
        <v>1.2713854909392337</v>
      </c>
      <c r="P35" s="3">
        <v>1.789928194669234</v>
      </c>
      <c r="Q35" s="3">
        <v>1.2275044462992428</v>
      </c>
      <c r="R35" s="3">
        <v>1.816965704619234</v>
      </c>
      <c r="S35" s="3">
        <v>2.1628221249392339</v>
      </c>
      <c r="T35" s="3">
        <v>2.2926456901192314</v>
      </c>
      <c r="U35" s="3">
        <v>1.9418874460192272</v>
      </c>
      <c r="V35" s="3">
        <v>1.5328446123392316</v>
      </c>
      <c r="W35" s="3">
        <v>0.24639725443924221</v>
      </c>
      <c r="X35" s="3">
        <v>-1.7059552504307725</v>
      </c>
      <c r="Y35" s="3">
        <v>2.3657050289692316</v>
      </c>
      <c r="Z35" s="3">
        <v>2.1485403461692405</v>
      </c>
      <c r="AA35" s="3">
        <v>1.8314558438692428</v>
      </c>
      <c r="AB35" s="3">
        <v>1.3496924048692274</v>
      </c>
      <c r="AC35" s="3">
        <v>1.4338550498692317</v>
      </c>
      <c r="AD35" s="3">
        <v>0.3387690722692363</v>
      </c>
      <c r="AE35" s="3">
        <v>-0.5079246517307725</v>
      </c>
      <c r="AF35" s="3">
        <v>0.29846351686923395</v>
      </c>
      <c r="AG35" s="3">
        <v>-1.6761749096307603</v>
      </c>
      <c r="AH35" s="3">
        <v>-1.3825177939307545</v>
      </c>
      <c r="AI35" s="3">
        <v>-1.774578943930764</v>
      </c>
      <c r="AJ35" s="3">
        <v>-0.34530564288076371</v>
      </c>
      <c r="AK35" s="3">
        <v>0.32788333794924063</v>
      </c>
      <c r="AL35" s="3">
        <v>0.44187939644322305</v>
      </c>
      <c r="AM35" s="3">
        <v>0.97939350272924519</v>
      </c>
      <c r="AN35" s="3">
        <v>0.19707756144923189</v>
      </c>
      <c r="AO35" s="3">
        <v>0.82747681711923837</v>
      </c>
      <c r="AP35" s="3">
        <v>1.9188675702592293</v>
      </c>
      <c r="AQ35" s="3">
        <v>1.3046613783592229</v>
      </c>
      <c r="AR35" s="3">
        <v>0.59094081723922087</v>
      </c>
      <c r="AS35" s="3">
        <v>1.4408482313592275</v>
      </c>
      <c r="AT35" s="3">
        <v>-1.6729482482407596</v>
      </c>
      <c r="AU35" s="3">
        <v>-1.095964693210753</v>
      </c>
    </row>
    <row r="36" spans="1:47" x14ac:dyDescent="0.25">
      <c r="A36">
        <v>2008.375</v>
      </c>
      <c r="B36">
        <v>5</v>
      </c>
      <c r="C36" s="3">
        <v>3.1445083440692292</v>
      </c>
      <c r="D36">
        <v>-1.1087558276462417</v>
      </c>
      <c r="G36" s="3">
        <v>3.1445083440692292</v>
      </c>
      <c r="H36" s="3">
        <v>4.3037038856692229</v>
      </c>
      <c r="I36" s="3">
        <v>3.5141544352692451</v>
      </c>
      <c r="J36" s="3">
        <v>2.0171252992692406</v>
      </c>
      <c r="K36" s="3">
        <v>2.6252510639492432</v>
      </c>
      <c r="L36" s="3">
        <v>2.6049737380592211</v>
      </c>
      <c r="M36" s="3">
        <v>1.9780654593992426</v>
      </c>
      <c r="N36" s="3">
        <v>3.8121810804692426</v>
      </c>
      <c r="O36" s="3">
        <v>2.9581203447292252</v>
      </c>
      <c r="P36" s="3">
        <v>2.7815152350692447</v>
      </c>
      <c r="Q36" s="3">
        <v>2.0566604165692253</v>
      </c>
      <c r="R36" s="3">
        <v>2.5920905191692314</v>
      </c>
      <c r="S36" s="3">
        <v>2.2741382218892316</v>
      </c>
      <c r="T36" s="3">
        <v>0.91576861426923528</v>
      </c>
      <c r="U36" s="3">
        <v>1.5584511780692361</v>
      </c>
      <c r="V36" s="3">
        <v>-0.38390259033377455</v>
      </c>
      <c r="W36" s="3">
        <v>-0.29827832770077151</v>
      </c>
      <c r="X36" s="3">
        <v>-1.3194225846907526</v>
      </c>
      <c r="Y36" s="3">
        <v>0.34878441866923404</v>
      </c>
      <c r="Z36" s="3">
        <v>0.133375123389223</v>
      </c>
      <c r="AA36" s="3">
        <v>1.2713854909392337</v>
      </c>
      <c r="AB36" s="3">
        <v>1.789928194669234</v>
      </c>
      <c r="AC36" s="3">
        <v>1.2275044462992428</v>
      </c>
      <c r="AD36" s="3">
        <v>1.816965704619234</v>
      </c>
      <c r="AE36" s="3">
        <v>2.1628221249392339</v>
      </c>
      <c r="AF36" s="3">
        <v>2.2926456901192314</v>
      </c>
      <c r="AG36" s="3">
        <v>1.9418874460192272</v>
      </c>
      <c r="AH36" s="3">
        <v>1.5328446123392316</v>
      </c>
      <c r="AI36" s="3">
        <v>0.24639725443924221</v>
      </c>
      <c r="AJ36" s="3">
        <v>-1.7059552504307725</v>
      </c>
      <c r="AK36" s="3">
        <v>2.3657050289692316</v>
      </c>
      <c r="AL36" s="3">
        <v>2.1485403461692405</v>
      </c>
      <c r="AM36" s="3">
        <v>1.8314558438692428</v>
      </c>
      <c r="AN36" s="3">
        <v>1.3496924048692274</v>
      </c>
      <c r="AO36" s="3">
        <v>1.4338550498692317</v>
      </c>
      <c r="AP36" s="3">
        <v>0.3387690722692363</v>
      </c>
      <c r="AQ36" s="3">
        <v>-0.5079246517307725</v>
      </c>
      <c r="AR36" s="3">
        <v>0.29846351686923395</v>
      </c>
      <c r="AS36" s="3">
        <v>-1.6761749096307603</v>
      </c>
      <c r="AT36" s="3">
        <v>-1.3825177939307545</v>
      </c>
      <c r="AU36" s="3">
        <v>-1.774578943930764</v>
      </c>
    </row>
    <row r="37" spans="1:47" x14ac:dyDescent="0.25">
      <c r="A37">
        <v>2009.375</v>
      </c>
      <c r="B37">
        <v>5</v>
      </c>
      <c r="C37" s="3">
        <v>2.8559780762592273</v>
      </c>
      <c r="D37">
        <v>-0.49305876424242001</v>
      </c>
      <c r="G37" s="3">
        <v>2.8559780762592273</v>
      </c>
      <c r="H37" s="3">
        <v>3.3982535946892316</v>
      </c>
      <c r="I37" s="3">
        <v>3.7437798352422273</v>
      </c>
      <c r="J37" s="3">
        <v>3.1401515433092211</v>
      </c>
      <c r="K37" s="3">
        <v>2.3256610174192414</v>
      </c>
      <c r="L37" s="3">
        <v>3.0732084994992381</v>
      </c>
      <c r="M37" s="3">
        <v>2.4197133966692208</v>
      </c>
      <c r="N37" s="3">
        <v>3.7297149387692254</v>
      </c>
      <c r="O37" s="3">
        <v>3.1178040014692385</v>
      </c>
      <c r="P37" s="3">
        <v>3.3034292364692428</v>
      </c>
      <c r="Q37" s="3">
        <v>3.5154691291692206</v>
      </c>
      <c r="R37" s="3">
        <v>3.7396919383692429</v>
      </c>
      <c r="S37" s="3">
        <v>3.1445083440692292</v>
      </c>
      <c r="T37" s="3">
        <v>4.3037038856692229</v>
      </c>
      <c r="U37" s="3">
        <v>3.5141544352692451</v>
      </c>
      <c r="V37" s="3">
        <v>2.0171252992692406</v>
      </c>
      <c r="W37" s="3">
        <v>2.6252510639492432</v>
      </c>
      <c r="X37" s="3">
        <v>2.6049737380592211</v>
      </c>
      <c r="Y37" s="3">
        <v>1.9780654593992426</v>
      </c>
      <c r="Z37" s="3">
        <v>3.8121810804692426</v>
      </c>
      <c r="AA37" s="3">
        <v>2.9581203447292252</v>
      </c>
      <c r="AB37" s="3">
        <v>2.7815152350692447</v>
      </c>
      <c r="AC37" s="3">
        <v>2.0566604165692253</v>
      </c>
      <c r="AD37" s="3">
        <v>2.5920905191692314</v>
      </c>
      <c r="AE37" s="3">
        <v>2.2741382218892316</v>
      </c>
      <c r="AF37" s="3">
        <v>0.91576861426923528</v>
      </c>
      <c r="AG37" s="3">
        <v>1.5584511780692361</v>
      </c>
      <c r="AH37" s="3">
        <v>-0.38390259033377455</v>
      </c>
      <c r="AI37" s="3">
        <v>-0.29827832770077151</v>
      </c>
      <c r="AJ37" s="3">
        <v>-1.3194225846907526</v>
      </c>
      <c r="AK37" s="3">
        <v>0.34878441866923404</v>
      </c>
      <c r="AL37" s="3">
        <v>0.133375123389223</v>
      </c>
      <c r="AM37" s="3">
        <v>1.2713854909392337</v>
      </c>
      <c r="AN37" s="3">
        <v>1.789928194669234</v>
      </c>
      <c r="AO37" s="3">
        <v>1.2275044462992428</v>
      </c>
      <c r="AP37" s="3">
        <v>1.816965704619234</v>
      </c>
      <c r="AQ37" s="3">
        <v>2.1628221249392339</v>
      </c>
      <c r="AR37" s="3">
        <v>2.2926456901192314</v>
      </c>
      <c r="AS37" s="3">
        <v>1.9418874460192272</v>
      </c>
      <c r="AT37" s="3">
        <v>1.5328446123392316</v>
      </c>
      <c r="AU37" s="3">
        <v>0.24639725443924221</v>
      </c>
    </row>
    <row r="38" spans="1:47" x14ac:dyDescent="0.25">
      <c r="A38">
        <v>2010.375</v>
      </c>
      <c r="B38">
        <v>5</v>
      </c>
      <c r="C38" s="3">
        <v>2.1367981933692386</v>
      </c>
      <c r="D38">
        <v>0.48320073643252925</v>
      </c>
      <c r="G38" s="3">
        <v>2.1367981933692386</v>
      </c>
      <c r="H38" s="3">
        <v>1.1052457697692384</v>
      </c>
      <c r="I38" s="3">
        <v>-0.48756181103076601</v>
      </c>
      <c r="J38" s="3">
        <v>-2.6477017098307662</v>
      </c>
      <c r="K38" s="3">
        <v>-3.3208245141307722</v>
      </c>
      <c r="L38" s="3">
        <v>-2.4654593805307572</v>
      </c>
      <c r="M38" s="3">
        <v>1.0901500019244892E-2</v>
      </c>
      <c r="N38" s="3">
        <v>-0.44134536233076377</v>
      </c>
      <c r="O38" s="3">
        <v>0.55891123916923846</v>
      </c>
      <c r="P38" s="3">
        <v>1.2312497751892382</v>
      </c>
      <c r="Q38" s="3">
        <v>1.1174872949192272</v>
      </c>
      <c r="R38" s="3">
        <v>1.0325521682292274</v>
      </c>
      <c r="S38" s="3">
        <v>2.8559780762592273</v>
      </c>
      <c r="T38" s="3">
        <v>3.3982535946892316</v>
      </c>
      <c r="U38" s="3">
        <v>3.7437798352422273</v>
      </c>
      <c r="V38" s="3">
        <v>3.1401515433092211</v>
      </c>
      <c r="W38" s="3">
        <v>2.3256610174192414</v>
      </c>
      <c r="X38" s="3">
        <v>3.0732084994992381</v>
      </c>
      <c r="Y38" s="3">
        <v>2.4197133966692208</v>
      </c>
      <c r="Z38" s="3">
        <v>3.7297149387692254</v>
      </c>
      <c r="AA38" s="3">
        <v>3.1178040014692385</v>
      </c>
      <c r="AB38" s="3">
        <v>3.3034292364692428</v>
      </c>
      <c r="AC38" s="3">
        <v>3.5154691291692206</v>
      </c>
      <c r="AD38" s="3">
        <v>3.7396919383692429</v>
      </c>
      <c r="AE38" s="3">
        <v>3.1445083440692292</v>
      </c>
      <c r="AF38" s="3">
        <v>4.3037038856692229</v>
      </c>
      <c r="AG38" s="3">
        <v>3.5141544352692451</v>
      </c>
      <c r="AH38" s="3">
        <v>2.0171252992692406</v>
      </c>
      <c r="AI38" s="3">
        <v>2.6252510639492432</v>
      </c>
      <c r="AJ38" s="3">
        <v>2.6049737380592211</v>
      </c>
      <c r="AK38" s="3">
        <v>1.9780654593992426</v>
      </c>
      <c r="AL38" s="3">
        <v>3.8121810804692426</v>
      </c>
      <c r="AM38" s="3">
        <v>2.9581203447292252</v>
      </c>
      <c r="AN38" s="3">
        <v>2.7815152350692447</v>
      </c>
      <c r="AO38" s="3">
        <v>2.0566604165692253</v>
      </c>
      <c r="AP38" s="3">
        <v>2.5920905191692314</v>
      </c>
      <c r="AQ38" s="3">
        <v>2.2741382218892316</v>
      </c>
      <c r="AR38" s="3">
        <v>0.91576861426923528</v>
      </c>
      <c r="AS38" s="3">
        <v>1.5584511780692361</v>
      </c>
      <c r="AT38" s="3">
        <v>-0.38390259033377455</v>
      </c>
      <c r="AU38" s="3">
        <v>-0.29827832770077151</v>
      </c>
    </row>
    <row r="39" spans="1:47" x14ac:dyDescent="0.25">
      <c r="A39">
        <v>2011.375</v>
      </c>
      <c r="B39">
        <v>5</v>
      </c>
      <c r="C39" s="3">
        <v>2.994733051169236</v>
      </c>
      <c r="D39">
        <v>-0.30451379604088125</v>
      </c>
      <c r="G39" s="3">
        <v>2.994733051169236</v>
      </c>
      <c r="H39" s="3">
        <v>3.7169376469992383</v>
      </c>
      <c r="I39" s="3">
        <v>2.6917547487692408</v>
      </c>
      <c r="J39" s="3">
        <v>4.0854112138192225</v>
      </c>
      <c r="K39" s="3">
        <v>1.239910041719225</v>
      </c>
      <c r="L39" s="3">
        <v>3.7306486162292316</v>
      </c>
      <c r="M39" s="3">
        <v>4.031058309969243</v>
      </c>
      <c r="N39" s="3">
        <v>3.7667653419692209</v>
      </c>
      <c r="O39" s="3">
        <v>4.2842263740692337</v>
      </c>
      <c r="P39" s="3">
        <v>5.3692223996192361</v>
      </c>
      <c r="Q39" s="3">
        <v>5.3632401589792407</v>
      </c>
      <c r="R39" s="3">
        <v>3.3288297101692361</v>
      </c>
      <c r="S39" s="3">
        <v>2.1367981933692386</v>
      </c>
      <c r="T39" s="3">
        <v>1.1052457697692384</v>
      </c>
      <c r="U39" s="3">
        <v>-0.48756181103076601</v>
      </c>
      <c r="V39" s="3">
        <v>-2.6477017098307662</v>
      </c>
      <c r="W39" s="3">
        <v>-3.3208245141307722</v>
      </c>
      <c r="X39" s="3">
        <v>-2.4654593805307572</v>
      </c>
      <c r="Y39" s="3">
        <v>1.0901500019244892E-2</v>
      </c>
      <c r="Z39" s="3">
        <v>-0.44134536233076377</v>
      </c>
      <c r="AA39" s="3">
        <v>0.55891123916923846</v>
      </c>
      <c r="AB39" s="3">
        <v>1.2312497751892382</v>
      </c>
      <c r="AC39" s="3">
        <v>1.1174872949192272</v>
      </c>
      <c r="AD39" s="3">
        <v>1.0325521682292274</v>
      </c>
      <c r="AE39" s="3">
        <v>2.8559780762592273</v>
      </c>
      <c r="AF39" s="3">
        <v>3.3982535946892316</v>
      </c>
      <c r="AG39" s="3">
        <v>3.7437798352422273</v>
      </c>
      <c r="AH39" s="3">
        <v>3.1401515433092211</v>
      </c>
      <c r="AI39" s="3">
        <v>2.3256610174192414</v>
      </c>
      <c r="AJ39" s="3">
        <v>3.0732084994992381</v>
      </c>
      <c r="AK39" s="3">
        <v>2.4197133966692208</v>
      </c>
      <c r="AL39" s="3">
        <v>3.7297149387692254</v>
      </c>
      <c r="AM39" s="3">
        <v>3.1178040014692385</v>
      </c>
      <c r="AN39" s="3">
        <v>3.3034292364692428</v>
      </c>
      <c r="AO39" s="3">
        <v>3.5154691291692206</v>
      </c>
      <c r="AP39" s="3">
        <v>3.7396919383692429</v>
      </c>
      <c r="AQ39" s="3">
        <v>3.1445083440692292</v>
      </c>
      <c r="AR39" s="3">
        <v>4.3037038856692229</v>
      </c>
      <c r="AS39" s="3">
        <v>3.5141544352692451</v>
      </c>
      <c r="AT39" s="3">
        <v>2.0171252992692406</v>
      </c>
      <c r="AU39" s="3">
        <v>2.6252510639492432</v>
      </c>
    </row>
    <row r="40" spans="1:47" x14ac:dyDescent="0.25">
      <c r="A40">
        <v>2012.375</v>
      </c>
      <c r="B40">
        <v>5</v>
      </c>
      <c r="C40" s="3">
        <v>3.3148665312692316</v>
      </c>
      <c r="D40">
        <v>0.18346352163542434</v>
      </c>
      <c r="G40" s="3">
        <v>3.3148665312692316</v>
      </c>
      <c r="H40" s="3">
        <v>2.7316463550692207</v>
      </c>
      <c r="I40" s="3">
        <v>2.9837590889692205</v>
      </c>
      <c r="J40" s="3">
        <v>0.95535216508924714</v>
      </c>
      <c r="K40" s="3">
        <v>1.7700253141892386</v>
      </c>
      <c r="L40" s="3">
        <v>2.882561274810246</v>
      </c>
      <c r="M40" s="3">
        <v>4.0480641576192209</v>
      </c>
      <c r="N40" s="3">
        <v>3.3780577038692257</v>
      </c>
      <c r="O40" s="3">
        <v>3.505408443069232</v>
      </c>
      <c r="P40" s="3">
        <v>3.303517913359225</v>
      </c>
      <c r="Q40" s="3">
        <v>3.6558712369092294</v>
      </c>
      <c r="R40" s="3">
        <v>2.754497701969234</v>
      </c>
      <c r="S40" s="3">
        <v>2.994733051169236</v>
      </c>
      <c r="T40" s="3">
        <v>3.7169376469992383</v>
      </c>
      <c r="U40" s="3">
        <v>2.6917547487692408</v>
      </c>
      <c r="V40" s="3">
        <v>4.0854112138192225</v>
      </c>
      <c r="W40" s="3">
        <v>1.239910041719225</v>
      </c>
      <c r="X40" s="3">
        <v>3.7306486162292316</v>
      </c>
      <c r="Y40" s="3">
        <v>4.031058309969243</v>
      </c>
      <c r="Z40" s="3">
        <v>3.7667653419692209</v>
      </c>
      <c r="AA40" s="3">
        <v>4.2842263740692337</v>
      </c>
      <c r="AB40" s="3">
        <v>5.3692223996192361</v>
      </c>
      <c r="AC40" s="3">
        <v>5.3632401589792407</v>
      </c>
      <c r="AD40" s="3">
        <v>3.3288297101692361</v>
      </c>
      <c r="AE40" s="3">
        <v>2.1367981933692386</v>
      </c>
      <c r="AF40" s="3">
        <v>1.1052457697692384</v>
      </c>
      <c r="AG40" s="3">
        <v>-0.48756181103076601</v>
      </c>
      <c r="AH40" s="3">
        <v>-2.6477017098307662</v>
      </c>
      <c r="AI40" s="3">
        <v>-3.3208245141307722</v>
      </c>
      <c r="AJ40" s="3">
        <v>-2.4654593805307572</v>
      </c>
      <c r="AK40" s="3">
        <v>1.0901500019244892E-2</v>
      </c>
      <c r="AL40" s="3">
        <v>-0.44134536233076377</v>
      </c>
      <c r="AM40" s="3">
        <v>0.55891123916923846</v>
      </c>
      <c r="AN40" s="3">
        <v>1.2312497751892382</v>
      </c>
      <c r="AO40" s="3">
        <v>1.1174872949192272</v>
      </c>
      <c r="AP40" s="3">
        <v>1.0325521682292274</v>
      </c>
      <c r="AQ40" s="3">
        <v>2.8559780762592273</v>
      </c>
      <c r="AR40" s="3">
        <v>3.3982535946892316</v>
      </c>
      <c r="AS40" s="3">
        <v>3.7437798352422273</v>
      </c>
      <c r="AT40" s="3">
        <v>3.1401515433092211</v>
      </c>
      <c r="AU40" s="3">
        <v>2.3256610174192414</v>
      </c>
    </row>
    <row r="41" spans="1:47" x14ac:dyDescent="0.25">
      <c r="A41">
        <v>2013.375</v>
      </c>
      <c r="B41">
        <v>5</v>
      </c>
      <c r="C41" s="3">
        <v>2.6100064923692252</v>
      </c>
      <c r="D41">
        <v>-0.32771831264964746</v>
      </c>
      <c r="G41" s="3">
        <v>2.6100064923692252</v>
      </c>
      <c r="H41" s="3">
        <v>2.4413346113592227</v>
      </c>
      <c r="I41" s="3">
        <v>1.7311234118592274</v>
      </c>
      <c r="J41" s="3">
        <v>1.2031396460692443</v>
      </c>
      <c r="K41" s="3">
        <v>0.36910590186924719</v>
      </c>
      <c r="L41" s="3">
        <v>0.81033411676924127</v>
      </c>
      <c r="M41" s="3">
        <v>1.2795358532692251</v>
      </c>
      <c r="N41" s="3">
        <v>1.5053767653692383</v>
      </c>
      <c r="O41" s="3">
        <v>3.135958294269245</v>
      </c>
      <c r="P41" s="3">
        <v>3.1158533679692386</v>
      </c>
      <c r="Q41" s="3">
        <v>3.1915599164692323</v>
      </c>
      <c r="R41" s="3">
        <v>2.4713739030692272</v>
      </c>
      <c r="S41" s="3">
        <v>3.3148665312692316</v>
      </c>
      <c r="T41" s="3">
        <v>2.7316463550692207</v>
      </c>
      <c r="U41" s="3">
        <v>2.9837590889692205</v>
      </c>
      <c r="V41" s="3">
        <v>0.95535216508924714</v>
      </c>
      <c r="W41" s="3">
        <v>1.7700253141892386</v>
      </c>
      <c r="X41" s="3">
        <v>2.882561274810246</v>
      </c>
      <c r="Y41" s="3">
        <v>4.0480641576192209</v>
      </c>
      <c r="Z41" s="3">
        <v>3.3780577038692257</v>
      </c>
      <c r="AA41" s="3">
        <v>3.505408443069232</v>
      </c>
      <c r="AB41" s="3">
        <v>3.303517913359225</v>
      </c>
      <c r="AC41" s="3">
        <v>3.6558712369092294</v>
      </c>
      <c r="AD41" s="3">
        <v>2.754497701969234</v>
      </c>
      <c r="AE41" s="3">
        <v>2.994733051169236</v>
      </c>
      <c r="AF41" s="3">
        <v>3.7169376469992383</v>
      </c>
      <c r="AG41" s="3">
        <v>2.6917547487692408</v>
      </c>
      <c r="AH41" s="3">
        <v>4.0854112138192225</v>
      </c>
      <c r="AI41" s="3">
        <v>1.239910041719225</v>
      </c>
      <c r="AJ41" s="3">
        <v>3.7306486162292316</v>
      </c>
      <c r="AK41" s="3">
        <v>4.031058309969243</v>
      </c>
      <c r="AL41" s="3">
        <v>3.7667653419692209</v>
      </c>
      <c r="AM41" s="3">
        <v>4.2842263740692337</v>
      </c>
      <c r="AN41" s="3">
        <v>5.3692223996192361</v>
      </c>
      <c r="AO41" s="3">
        <v>5.3632401589792407</v>
      </c>
      <c r="AP41" s="3">
        <v>3.3288297101692361</v>
      </c>
      <c r="AQ41" s="3">
        <v>2.1367981933692386</v>
      </c>
      <c r="AR41" s="3">
        <v>1.1052457697692384</v>
      </c>
      <c r="AS41" s="3">
        <v>-0.48756181103076601</v>
      </c>
      <c r="AT41" s="3">
        <v>-2.6477017098307662</v>
      </c>
      <c r="AU41" s="3">
        <v>-3.3208245141307722</v>
      </c>
    </row>
    <row r="42" spans="1:47" x14ac:dyDescent="0.25">
      <c r="A42">
        <v>2014.375</v>
      </c>
      <c r="B42">
        <v>5</v>
      </c>
      <c r="C42" s="3">
        <v>1.4034630548992453</v>
      </c>
      <c r="D42">
        <v>0.30172086844192236</v>
      </c>
      <c r="G42" s="3">
        <v>1.4034630548992453</v>
      </c>
      <c r="H42" s="3">
        <v>0.41214923718922075</v>
      </c>
      <c r="I42" s="3">
        <v>0.28743131410924311</v>
      </c>
      <c r="J42" s="3">
        <v>1.0879898171392406</v>
      </c>
      <c r="K42" s="3">
        <v>-0.77898724903076388</v>
      </c>
      <c r="L42" s="3">
        <v>1.0610023320692252</v>
      </c>
      <c r="M42" s="3">
        <v>2.2475169349192448</v>
      </c>
      <c r="N42" s="3">
        <v>1.7144541562192339</v>
      </c>
      <c r="O42" s="3">
        <v>1.7441879054492251</v>
      </c>
      <c r="P42" s="3">
        <v>2.441292262069223</v>
      </c>
      <c r="Q42" s="3">
        <v>3.4288168388092322</v>
      </c>
      <c r="R42" s="3">
        <v>3.176564167829234</v>
      </c>
      <c r="S42" s="3">
        <v>2.6100064923692252</v>
      </c>
      <c r="T42" s="3">
        <v>2.4413346113592227</v>
      </c>
      <c r="U42" s="3">
        <v>1.7311234118592274</v>
      </c>
      <c r="V42" s="3">
        <v>1.2031396460692443</v>
      </c>
      <c r="W42" s="3">
        <v>0.36910590186924719</v>
      </c>
      <c r="X42" s="3">
        <v>0.81033411676924127</v>
      </c>
      <c r="Y42" s="3">
        <v>1.2795358532692251</v>
      </c>
      <c r="Z42" s="3">
        <v>1.5053767653692383</v>
      </c>
      <c r="AA42" s="3">
        <v>3.135958294269245</v>
      </c>
      <c r="AB42" s="3">
        <v>3.1158533679692386</v>
      </c>
      <c r="AC42" s="3">
        <v>3.1915599164692323</v>
      </c>
      <c r="AD42" s="3">
        <v>2.4713739030692272</v>
      </c>
      <c r="AE42" s="3">
        <v>3.3148665312692316</v>
      </c>
      <c r="AF42" s="3">
        <v>2.7316463550692207</v>
      </c>
      <c r="AG42" s="3">
        <v>2.9837590889692205</v>
      </c>
      <c r="AH42" s="3">
        <v>0.95535216508924714</v>
      </c>
      <c r="AI42" s="3">
        <v>1.7700253141892386</v>
      </c>
      <c r="AJ42" s="3">
        <v>2.882561274810246</v>
      </c>
      <c r="AK42" s="3">
        <v>4.0480641576192209</v>
      </c>
      <c r="AL42" s="3">
        <v>3.3780577038692257</v>
      </c>
      <c r="AM42" s="3">
        <v>3.505408443069232</v>
      </c>
      <c r="AN42" s="3">
        <v>3.303517913359225</v>
      </c>
      <c r="AO42" s="3">
        <v>3.6558712369092294</v>
      </c>
      <c r="AP42" s="3">
        <v>2.754497701969234</v>
      </c>
      <c r="AQ42" s="3">
        <v>2.994733051169236</v>
      </c>
      <c r="AR42" s="3">
        <v>3.7169376469992383</v>
      </c>
      <c r="AS42" s="3">
        <v>2.6917547487692408</v>
      </c>
      <c r="AT42" s="3">
        <v>4.0854112138192225</v>
      </c>
      <c r="AU42" s="3">
        <v>1.239910041719225</v>
      </c>
    </row>
    <row r="43" spans="1:47" x14ac:dyDescent="0.25">
      <c r="A43">
        <v>2015.375</v>
      </c>
      <c r="B43">
        <v>5</v>
      </c>
      <c r="C43" s="3">
        <v>-3.0684870940772491E-2</v>
      </c>
      <c r="D43">
        <v>-8.8210281096225529E-2</v>
      </c>
      <c r="G43" s="3">
        <v>-3.0684870940772491E-2</v>
      </c>
      <c r="H43" s="3">
        <v>0.45460829456923418</v>
      </c>
      <c r="I43" s="3">
        <v>3.5930787669227304E-2</v>
      </c>
      <c r="J43" s="3">
        <v>-1.4061045382307595</v>
      </c>
      <c r="K43" s="3">
        <v>-2.1196752670907553</v>
      </c>
      <c r="L43" s="3">
        <v>-2.2526105113207597</v>
      </c>
      <c r="M43" s="3">
        <v>-1.2621451354507678</v>
      </c>
      <c r="N43" s="3">
        <v>-0.56983358888077473</v>
      </c>
      <c r="O43" s="3">
        <v>0.10178133444922077</v>
      </c>
      <c r="P43" s="3">
        <v>0.71163629737922962</v>
      </c>
      <c r="Q43" s="3">
        <v>1.2302889477092382</v>
      </c>
      <c r="R43" s="3">
        <v>1.5207169755392274</v>
      </c>
      <c r="S43" s="3">
        <v>1.4034630548992453</v>
      </c>
      <c r="T43" s="3">
        <v>0.41214923718922075</v>
      </c>
      <c r="U43" s="3">
        <v>0.28743131410924311</v>
      </c>
      <c r="V43" s="3">
        <v>1.0879898171392406</v>
      </c>
      <c r="W43" s="3">
        <v>-0.77898724903076388</v>
      </c>
      <c r="X43" s="3">
        <v>1.0610023320692252</v>
      </c>
      <c r="Y43" s="3">
        <v>2.2475169349192448</v>
      </c>
      <c r="Z43" s="3">
        <v>1.7144541562192339</v>
      </c>
      <c r="AA43" s="3">
        <v>1.7441879054492251</v>
      </c>
      <c r="AB43" s="3">
        <v>2.441292262069223</v>
      </c>
      <c r="AC43" s="3">
        <v>3.4288168388092322</v>
      </c>
      <c r="AD43" s="3">
        <v>3.176564167829234</v>
      </c>
      <c r="AE43" s="3">
        <v>2.6100064923692252</v>
      </c>
      <c r="AF43" s="3">
        <v>2.4413346113592227</v>
      </c>
      <c r="AG43" s="3">
        <v>1.7311234118592274</v>
      </c>
      <c r="AH43" s="3">
        <v>1.2031396460692443</v>
      </c>
      <c r="AI43" s="3">
        <v>0.36910590186924719</v>
      </c>
      <c r="AJ43" s="3">
        <v>0.81033411676924127</v>
      </c>
      <c r="AK43" s="3">
        <v>1.2795358532692251</v>
      </c>
      <c r="AL43" s="3">
        <v>1.5053767653692383</v>
      </c>
      <c r="AM43" s="3">
        <v>3.135958294269245</v>
      </c>
      <c r="AN43" s="3">
        <v>3.1158533679692386</v>
      </c>
      <c r="AO43" s="3">
        <v>3.1915599164692323</v>
      </c>
      <c r="AP43" s="3">
        <v>2.4713739030692272</v>
      </c>
      <c r="AQ43" s="3">
        <v>3.3148665312692316</v>
      </c>
      <c r="AR43" s="3">
        <v>2.7316463550692207</v>
      </c>
      <c r="AS43" s="3">
        <v>2.9837590889692205</v>
      </c>
      <c r="AT43" s="3">
        <v>0.95535216508924714</v>
      </c>
      <c r="AU43" s="3">
        <v>1.7700253141892386</v>
      </c>
    </row>
    <row r="44" spans="1:47" x14ac:dyDescent="0.25">
      <c r="A44">
        <v>2016.375</v>
      </c>
      <c r="B44">
        <v>5</v>
      </c>
      <c r="C44" s="3">
        <v>-3.6238594620772724E-2</v>
      </c>
      <c r="D44">
        <v>-0.27167275859919826</v>
      </c>
      <c r="G44" s="3">
        <v>-3.6238594620772724E-2</v>
      </c>
      <c r="H44" s="3">
        <v>-1.9728460609507639</v>
      </c>
      <c r="I44" s="3">
        <v>-2.3126394715807717</v>
      </c>
      <c r="J44" s="3">
        <v>-4.0803512152507615</v>
      </c>
      <c r="K44" s="3">
        <v>-5.0763222569207516</v>
      </c>
      <c r="L44" s="3">
        <v>-3.4209596195307723</v>
      </c>
      <c r="M44" s="3">
        <v>-1.3308764840307548</v>
      </c>
      <c r="N44" s="3">
        <v>-3.1528870372307658</v>
      </c>
      <c r="O44" s="3">
        <v>-1.9948764680307747</v>
      </c>
      <c r="P44" s="3">
        <v>-1.5252614967307725</v>
      </c>
      <c r="Q44" s="3">
        <v>-1.6149105574307594</v>
      </c>
      <c r="R44" s="3">
        <v>-0.92363914943077907</v>
      </c>
      <c r="S44" s="3">
        <v>-3.0684870940772491E-2</v>
      </c>
      <c r="T44" s="3">
        <v>0.45460829456923418</v>
      </c>
      <c r="U44" s="3">
        <v>3.5930787669227304E-2</v>
      </c>
      <c r="V44" s="3">
        <v>-1.4061045382307595</v>
      </c>
      <c r="W44" s="3">
        <v>-2.1196752670907553</v>
      </c>
      <c r="X44" s="3">
        <v>-2.2526105113207597</v>
      </c>
      <c r="Y44" s="3">
        <v>-1.2621451354507678</v>
      </c>
      <c r="Z44" s="3">
        <v>-0.56983358888077473</v>
      </c>
      <c r="AA44" s="3">
        <v>0.10178133444922077</v>
      </c>
      <c r="AB44" s="3">
        <v>0.71163629737922962</v>
      </c>
      <c r="AC44" s="3">
        <v>1.2302889477092382</v>
      </c>
      <c r="AD44" s="3">
        <v>1.5207169755392274</v>
      </c>
      <c r="AE44" s="3">
        <v>1.4034630548992453</v>
      </c>
      <c r="AF44" s="3">
        <v>0.41214923718922075</v>
      </c>
      <c r="AG44" s="3">
        <v>0.28743131410924311</v>
      </c>
      <c r="AH44" s="3">
        <v>1.0879898171392406</v>
      </c>
      <c r="AI44" s="3">
        <v>-0.77898724903076388</v>
      </c>
      <c r="AJ44" s="3">
        <v>1.0610023320692252</v>
      </c>
      <c r="AK44" s="3">
        <v>2.2475169349192448</v>
      </c>
      <c r="AL44" s="3">
        <v>1.7144541562192339</v>
      </c>
      <c r="AM44" s="3">
        <v>1.7441879054492251</v>
      </c>
      <c r="AN44" s="3">
        <v>2.441292262069223</v>
      </c>
      <c r="AO44" s="3">
        <v>3.4288168388092322</v>
      </c>
      <c r="AP44" s="3">
        <v>3.176564167829234</v>
      </c>
      <c r="AQ44" s="3">
        <v>2.6100064923692252</v>
      </c>
      <c r="AR44" s="3">
        <v>2.4413346113592227</v>
      </c>
      <c r="AS44" s="3">
        <v>1.7311234118592274</v>
      </c>
      <c r="AT44" s="3">
        <v>1.2031396460692443</v>
      </c>
      <c r="AU44" s="3">
        <v>0.36910590186924719</v>
      </c>
    </row>
    <row r="45" spans="1:47" x14ac:dyDescent="0.25">
      <c r="A45">
        <v>2017.375</v>
      </c>
      <c r="B45">
        <v>5</v>
      </c>
      <c r="C45" s="3">
        <v>0.6355308827592252</v>
      </c>
      <c r="D45">
        <v>-1.1818300005744291</v>
      </c>
      <c r="G45" s="3">
        <v>0.6355308827592252</v>
      </c>
      <c r="H45" s="3">
        <v>0.2263728185012383</v>
      </c>
      <c r="I45" s="3">
        <v>0.75269428361922963</v>
      </c>
      <c r="J45" s="3">
        <v>0.10561636126922933</v>
      </c>
      <c r="K45" s="3">
        <v>0.53788867355923242</v>
      </c>
      <c r="L45" s="3">
        <v>1.3136739487692362</v>
      </c>
      <c r="M45" s="3">
        <v>0.48803656106923615</v>
      </c>
      <c r="N45" s="3">
        <v>0.91796129348923017</v>
      </c>
      <c r="O45" s="3">
        <v>2.3205943892092407</v>
      </c>
      <c r="P45" s="3">
        <v>2.8199650322192427</v>
      </c>
      <c r="Q45" s="3">
        <v>2.6337997278192273</v>
      </c>
      <c r="R45" s="3">
        <v>1.1669819309692406</v>
      </c>
      <c r="S45" s="3">
        <v>-3.6238594620772724E-2</v>
      </c>
      <c r="T45" s="3">
        <v>-1.9728460609507639</v>
      </c>
      <c r="U45" s="3">
        <v>-2.3126394715807717</v>
      </c>
      <c r="V45" s="3">
        <v>-4.0803512152507615</v>
      </c>
      <c r="W45" s="3">
        <v>-5.0763222569207516</v>
      </c>
      <c r="X45" s="3">
        <v>-3.4209596195307723</v>
      </c>
      <c r="Y45" s="3">
        <v>-1.3308764840307548</v>
      </c>
      <c r="Z45" s="3">
        <v>-3.1528870372307658</v>
      </c>
      <c r="AA45" s="3">
        <v>-1.9948764680307747</v>
      </c>
      <c r="AB45" s="3">
        <v>-1.5252614967307725</v>
      </c>
      <c r="AC45" s="3">
        <v>-1.6149105574307594</v>
      </c>
      <c r="AD45" s="3">
        <v>-0.92363914943077907</v>
      </c>
      <c r="AE45" s="3">
        <v>-3.0684870940772491E-2</v>
      </c>
      <c r="AF45" s="3">
        <v>0.45460829456923418</v>
      </c>
      <c r="AG45" s="3">
        <v>3.5930787669227304E-2</v>
      </c>
      <c r="AH45" s="3">
        <v>-1.4061045382307595</v>
      </c>
      <c r="AI45" s="3">
        <v>-2.1196752670907553</v>
      </c>
      <c r="AJ45" s="3">
        <v>-2.2526105113207597</v>
      </c>
      <c r="AK45" s="3">
        <v>-1.2621451354507678</v>
      </c>
      <c r="AL45" s="3">
        <v>-0.56983358888077473</v>
      </c>
      <c r="AM45" s="3">
        <v>0.10178133444922077</v>
      </c>
      <c r="AN45" s="3">
        <v>0.71163629737922962</v>
      </c>
      <c r="AO45" s="3">
        <v>1.2302889477092382</v>
      </c>
      <c r="AP45" s="3">
        <v>1.5207169755392274</v>
      </c>
      <c r="AQ45" s="3">
        <v>1.4034630548992453</v>
      </c>
      <c r="AR45" s="3">
        <v>0.41214923718922075</v>
      </c>
      <c r="AS45" s="3">
        <v>0.28743131410924311</v>
      </c>
      <c r="AT45" s="3">
        <v>1.0879898171392406</v>
      </c>
      <c r="AU45" s="3">
        <v>-0.77898724903076388</v>
      </c>
    </row>
    <row r="46" spans="1:47" x14ac:dyDescent="0.25">
      <c r="A46">
        <v>2018.375</v>
      </c>
      <c r="B46">
        <v>5</v>
      </c>
      <c r="C46" s="3">
        <v>2.0574152523692271</v>
      </c>
      <c r="D46">
        <v>-0.2863096441956543</v>
      </c>
      <c r="G46" s="3">
        <v>2.0574152523692271</v>
      </c>
      <c r="H46" s="3">
        <v>2.057989922469234</v>
      </c>
      <c r="I46" s="3">
        <v>2.4866597172692426</v>
      </c>
      <c r="J46" s="3">
        <v>1.7138665980692449</v>
      </c>
      <c r="K46" s="3">
        <v>9.4529943569231722E-2</v>
      </c>
      <c r="L46" s="3">
        <v>0.60212085066922516</v>
      </c>
      <c r="M46" s="3">
        <v>2.3005714547692206</v>
      </c>
      <c r="N46" s="3">
        <v>2.2583431590692404</v>
      </c>
      <c r="O46" s="3">
        <v>1.6955769090092339</v>
      </c>
      <c r="P46" s="3">
        <v>2.0752345825592298</v>
      </c>
      <c r="Q46" s="3">
        <v>2.4774201739092447</v>
      </c>
      <c r="R46" s="3">
        <v>0.86056713492922976</v>
      </c>
      <c r="S46" s="3">
        <v>0.6355308827592252</v>
      </c>
      <c r="T46" s="3">
        <v>0.2263728185012383</v>
      </c>
      <c r="U46" s="3">
        <v>0.75269428361922963</v>
      </c>
      <c r="V46" s="3">
        <v>0.10561636126922933</v>
      </c>
      <c r="W46" s="3">
        <v>0.53788867355923242</v>
      </c>
      <c r="X46" s="3">
        <v>1.3136739487692362</v>
      </c>
      <c r="Y46" s="3">
        <v>0.48803656106923615</v>
      </c>
      <c r="Z46" s="3">
        <v>0.91796129348923017</v>
      </c>
      <c r="AA46" s="3">
        <v>2.3205943892092407</v>
      </c>
      <c r="AB46" s="3">
        <v>2.8199650322192427</v>
      </c>
      <c r="AC46" s="3">
        <v>2.6337997278192273</v>
      </c>
      <c r="AD46" s="3">
        <v>1.1669819309692406</v>
      </c>
      <c r="AE46" s="3">
        <v>-3.6238594620772724E-2</v>
      </c>
      <c r="AF46" s="3">
        <v>-1.9728460609507639</v>
      </c>
      <c r="AG46" s="3">
        <v>-2.3126394715807717</v>
      </c>
      <c r="AH46" s="3">
        <v>-4.0803512152507615</v>
      </c>
      <c r="AI46" s="3">
        <v>-5.0763222569207516</v>
      </c>
      <c r="AJ46" s="3">
        <v>-3.4209596195307723</v>
      </c>
      <c r="AK46" s="3">
        <v>-1.3308764840307548</v>
      </c>
      <c r="AL46" s="3">
        <v>-3.1528870372307658</v>
      </c>
      <c r="AM46" s="3">
        <v>-1.9948764680307747</v>
      </c>
      <c r="AN46" s="3">
        <v>-1.5252614967307725</v>
      </c>
      <c r="AO46" s="3">
        <v>-1.6149105574307594</v>
      </c>
      <c r="AP46" s="3">
        <v>-0.92363914943077907</v>
      </c>
      <c r="AQ46" s="3">
        <v>-3.0684870940772491E-2</v>
      </c>
      <c r="AR46" s="3">
        <v>0.45460829456923418</v>
      </c>
      <c r="AS46" s="3">
        <v>3.5930787669227304E-2</v>
      </c>
      <c r="AT46" s="3">
        <v>-1.4061045382307595</v>
      </c>
      <c r="AU46" s="3">
        <v>-2.1196752670907553</v>
      </c>
    </row>
    <row r="47" spans="1:47" x14ac:dyDescent="0.25">
      <c r="A47">
        <v>2019.375</v>
      </c>
      <c r="B47">
        <v>5</v>
      </c>
      <c r="C47" s="3">
        <v>0.16846339816923617</v>
      </c>
      <c r="D47">
        <v>-0.77156714908261037</v>
      </c>
      <c r="G47" s="3">
        <v>0.16846339816923617</v>
      </c>
      <c r="H47" s="3">
        <v>-0.47616772613075503</v>
      </c>
      <c r="I47" s="3">
        <v>-0.53457451533077904</v>
      </c>
      <c r="J47" s="3">
        <v>0.49570576106923198</v>
      </c>
      <c r="K47" s="3">
        <v>-1.7311455758407726</v>
      </c>
      <c r="L47" s="3">
        <v>-0.96561260333077037</v>
      </c>
      <c r="M47" s="3">
        <v>-0.49344882973076382</v>
      </c>
      <c r="N47" s="3">
        <v>-0.57542024343075715</v>
      </c>
      <c r="O47" s="3">
        <v>0.80345345206922736</v>
      </c>
      <c r="P47" s="3">
        <v>1.1295069963692277</v>
      </c>
      <c r="Q47" s="3">
        <v>2.2252832571692274</v>
      </c>
      <c r="R47" s="3">
        <v>1.4889856663692449</v>
      </c>
      <c r="S47" s="3">
        <v>2.0574152523692271</v>
      </c>
      <c r="T47" s="3">
        <v>2.057989922469234</v>
      </c>
      <c r="U47" s="3">
        <v>2.4866597172692426</v>
      </c>
      <c r="V47" s="3">
        <v>1.7138665980692449</v>
      </c>
      <c r="W47" s="3">
        <v>9.4529943569231722E-2</v>
      </c>
      <c r="X47" s="3">
        <v>0.60212085066922516</v>
      </c>
      <c r="Y47" s="3">
        <v>2.3005714547692206</v>
      </c>
      <c r="Z47" s="3">
        <v>2.2583431590692404</v>
      </c>
      <c r="AA47" s="3">
        <v>1.6955769090092339</v>
      </c>
      <c r="AB47" s="3">
        <v>2.0752345825592298</v>
      </c>
      <c r="AC47" s="3">
        <v>2.4774201739092447</v>
      </c>
      <c r="AD47" s="3">
        <v>0.86056713492922976</v>
      </c>
      <c r="AE47" s="3">
        <v>0.6355308827592252</v>
      </c>
      <c r="AF47" s="3">
        <v>0.2263728185012383</v>
      </c>
      <c r="AG47" s="3">
        <v>0.75269428361922963</v>
      </c>
      <c r="AH47" s="3">
        <v>0.10561636126922933</v>
      </c>
      <c r="AI47" s="3">
        <v>0.53788867355923242</v>
      </c>
      <c r="AJ47" s="3">
        <v>1.3136739487692362</v>
      </c>
      <c r="AK47" s="3">
        <v>0.48803656106923615</v>
      </c>
      <c r="AL47" s="3">
        <v>0.91796129348923017</v>
      </c>
      <c r="AM47" s="3">
        <v>2.3205943892092407</v>
      </c>
      <c r="AN47" s="3">
        <v>2.8199650322192427</v>
      </c>
      <c r="AO47" s="3">
        <v>2.6337997278192273</v>
      </c>
      <c r="AP47" s="3">
        <v>1.1669819309692406</v>
      </c>
      <c r="AQ47" s="3">
        <v>-3.6238594620772724E-2</v>
      </c>
      <c r="AR47" s="3">
        <v>-1.9728460609507639</v>
      </c>
      <c r="AS47" s="3">
        <v>-2.3126394715807717</v>
      </c>
      <c r="AT47" s="3">
        <v>-4.0803512152507615</v>
      </c>
      <c r="AU47" s="3">
        <v>-5.0763222569207516</v>
      </c>
    </row>
    <row r="48" spans="1:47" x14ac:dyDescent="0.25">
      <c r="A48">
        <v>2020.375</v>
      </c>
      <c r="B48">
        <v>5</v>
      </c>
      <c r="C48" s="3">
        <v>0.94188844476923839</v>
      </c>
      <c r="D48">
        <v>0.20762772579595179</v>
      </c>
      <c r="G48" s="3">
        <v>0.94188844476923839</v>
      </c>
      <c r="H48" s="3">
        <v>1.418113753069234</v>
      </c>
      <c r="I48" s="3">
        <v>2.890156064869227</v>
      </c>
      <c r="J48" s="3">
        <v>0.72176298916923387</v>
      </c>
      <c r="K48" s="3">
        <v>0.50067563736922516</v>
      </c>
      <c r="L48" s="3">
        <v>-1.2565737220307747</v>
      </c>
      <c r="M48" s="3">
        <v>-1.0369431740307637</v>
      </c>
      <c r="N48" s="3">
        <v>0.70103079876923413</v>
      </c>
      <c r="O48" s="3">
        <v>0.37751908686922514</v>
      </c>
      <c r="P48" s="3">
        <v>0.59593210106922745</v>
      </c>
      <c r="Q48" s="3">
        <v>0.41449108666922962</v>
      </c>
      <c r="R48" s="3">
        <v>0.73665835736922736</v>
      </c>
      <c r="S48" s="3">
        <v>0.16846339816923617</v>
      </c>
      <c r="T48" s="3">
        <v>-0.47616772613075503</v>
      </c>
      <c r="U48" s="3">
        <v>-0.53457451533077904</v>
      </c>
      <c r="V48" s="3">
        <v>0.49570576106923198</v>
      </c>
      <c r="W48" s="3">
        <v>-1.7311455758407726</v>
      </c>
      <c r="X48" s="3">
        <v>-0.96561260333077037</v>
      </c>
      <c r="Y48" s="3">
        <v>-0.49344882973076382</v>
      </c>
      <c r="Z48" s="3">
        <v>-0.57542024343075715</v>
      </c>
      <c r="AA48" s="3">
        <v>0.80345345206922736</v>
      </c>
      <c r="AB48" s="3">
        <v>1.1295069963692277</v>
      </c>
      <c r="AC48" s="3">
        <v>2.2252832571692274</v>
      </c>
      <c r="AD48" s="3">
        <v>1.4889856663692449</v>
      </c>
      <c r="AE48" s="3">
        <v>2.0574152523692271</v>
      </c>
      <c r="AF48" s="3">
        <v>2.057989922469234</v>
      </c>
      <c r="AG48" s="3">
        <v>2.4866597172692426</v>
      </c>
      <c r="AH48" s="3">
        <v>1.7138665980692449</v>
      </c>
      <c r="AI48" s="3">
        <v>9.4529943569231722E-2</v>
      </c>
      <c r="AJ48" s="3">
        <v>0.60212085066922516</v>
      </c>
      <c r="AK48" s="3">
        <v>2.3005714547692206</v>
      </c>
      <c r="AL48" s="3">
        <v>2.2583431590692404</v>
      </c>
      <c r="AM48" s="3">
        <v>1.6955769090092339</v>
      </c>
      <c r="AN48" s="3">
        <v>2.0752345825592298</v>
      </c>
      <c r="AO48" s="3">
        <v>2.4774201739092447</v>
      </c>
      <c r="AP48" s="3">
        <v>0.86056713492922976</v>
      </c>
      <c r="AQ48" s="3">
        <v>0.6355308827592252</v>
      </c>
      <c r="AR48" s="3">
        <v>0.2263728185012383</v>
      </c>
      <c r="AS48" s="3">
        <v>0.75269428361922963</v>
      </c>
      <c r="AT48" s="3">
        <v>0.10561636126922933</v>
      </c>
      <c r="AU48" s="3">
        <v>0.53788867355923242</v>
      </c>
    </row>
    <row r="49" spans="1:47" x14ac:dyDescent="0.25">
      <c r="A49">
        <v>2021.375</v>
      </c>
      <c r="B49">
        <v>5</v>
      </c>
      <c r="C49" s="3">
        <v>3.013470621229243</v>
      </c>
      <c r="D49">
        <v>-0.33874503455124305</v>
      </c>
      <c r="G49" s="3">
        <v>3.013470621229243</v>
      </c>
      <c r="H49" s="3">
        <v>3.4358862912692407</v>
      </c>
      <c r="I49" s="3">
        <v>4.1419505337292053</v>
      </c>
      <c r="J49" s="3">
        <v>1.6625542466692296</v>
      </c>
      <c r="K49" s="3">
        <v>0.56966047319922519</v>
      </c>
      <c r="L49" s="3">
        <v>7.4266250269225065E-2</v>
      </c>
      <c r="M49" s="3">
        <v>2.7389921961692316</v>
      </c>
      <c r="N49" s="3">
        <v>2.6532131311692275</v>
      </c>
      <c r="O49" s="3">
        <v>2.7449835301692338</v>
      </c>
      <c r="P49" s="3">
        <v>2.4282919043692339</v>
      </c>
      <c r="Q49" s="3">
        <v>2.4569034265692382</v>
      </c>
      <c r="R49" s="3">
        <v>1.9575282925692208</v>
      </c>
      <c r="S49" s="3">
        <v>0.94188844476923839</v>
      </c>
      <c r="T49" s="3">
        <v>1.418113753069234</v>
      </c>
      <c r="U49" s="3">
        <v>2.890156064869227</v>
      </c>
      <c r="V49" s="3">
        <v>0.72176298916923387</v>
      </c>
      <c r="W49" s="3">
        <v>0.50067563736922516</v>
      </c>
      <c r="X49" s="3">
        <v>-1.2565737220307747</v>
      </c>
      <c r="Y49" s="3">
        <v>-1.0369431740307637</v>
      </c>
      <c r="Z49" s="3">
        <v>0.70103079876923413</v>
      </c>
      <c r="AA49" s="3">
        <v>0.37751908686922514</v>
      </c>
      <c r="AB49" s="3">
        <v>0.59593210106922745</v>
      </c>
      <c r="AC49" s="3">
        <v>0.41449108666922962</v>
      </c>
      <c r="AD49" s="3">
        <v>0.73665835736922736</v>
      </c>
      <c r="AE49" s="3">
        <v>0.16846339816923617</v>
      </c>
      <c r="AF49" s="3">
        <v>-0.47616772613075503</v>
      </c>
      <c r="AG49" s="3">
        <v>-0.53457451533077904</v>
      </c>
      <c r="AH49" s="3">
        <v>0.49570576106923198</v>
      </c>
      <c r="AI49" s="3">
        <v>-1.7311455758407726</v>
      </c>
      <c r="AJ49" s="3">
        <v>-0.96561260333077037</v>
      </c>
      <c r="AK49" s="3">
        <v>-0.49344882973076382</v>
      </c>
      <c r="AL49" s="3">
        <v>-0.57542024343075715</v>
      </c>
      <c r="AM49" s="3">
        <v>0.80345345206922736</v>
      </c>
      <c r="AN49" s="3">
        <v>1.1295069963692277</v>
      </c>
      <c r="AO49" s="3">
        <v>2.2252832571692274</v>
      </c>
      <c r="AP49" s="3">
        <v>1.4889856663692449</v>
      </c>
      <c r="AQ49" s="3">
        <v>2.0574152523692271</v>
      </c>
      <c r="AR49" s="3">
        <v>2.057989922469234</v>
      </c>
      <c r="AS49" s="3">
        <v>2.4866597172692426</v>
      </c>
      <c r="AT49" s="3">
        <v>1.7138665980692449</v>
      </c>
      <c r="AU49" s="3">
        <v>9.4529943569231722E-2</v>
      </c>
    </row>
    <row r="50" spans="1:47" x14ac:dyDescent="0.25">
      <c r="A50">
        <v>2022.375</v>
      </c>
      <c r="B50">
        <v>5</v>
      </c>
      <c r="C50" s="3">
        <v>4.3843827266992443</v>
      </c>
      <c r="D50">
        <v>-0.21676672541642006</v>
      </c>
      <c r="G50" s="3">
        <v>4.3843827266992443</v>
      </c>
      <c r="H50" s="3">
        <v>3.738704460969243</v>
      </c>
      <c r="I50" s="3">
        <v>2.5391773460692382</v>
      </c>
      <c r="J50" s="3">
        <v>1.5244433762692298</v>
      </c>
      <c r="K50" s="3">
        <v>1.1166221583692315</v>
      </c>
      <c r="L50" s="3">
        <v>3.7450370694692299</v>
      </c>
      <c r="M50" s="3">
        <v>3.3026885758992401</v>
      </c>
      <c r="N50" s="3">
        <v>3.7375478410922232</v>
      </c>
      <c r="O50" s="3">
        <v>3.2127393982092203</v>
      </c>
      <c r="P50" s="3">
        <v>2.8442826277692275</v>
      </c>
      <c r="Q50" s="3">
        <v>4.163303717119228</v>
      </c>
      <c r="R50" s="3">
        <v>2.8356994875692361</v>
      </c>
      <c r="S50" s="3">
        <v>3.013470621229243</v>
      </c>
      <c r="T50" s="3">
        <v>3.4358862912692407</v>
      </c>
      <c r="U50" s="3">
        <v>4.1419505337292053</v>
      </c>
      <c r="V50" s="3">
        <v>1.6625542466692296</v>
      </c>
      <c r="W50" s="3">
        <v>0.56966047319922519</v>
      </c>
      <c r="X50" s="3">
        <v>7.4266250269225065E-2</v>
      </c>
      <c r="Y50" s="3">
        <v>2.7389921961692316</v>
      </c>
      <c r="Z50" s="3">
        <v>2.6532131311692275</v>
      </c>
      <c r="AA50" s="3">
        <v>2.7449835301692338</v>
      </c>
      <c r="AB50" s="3">
        <v>2.4282919043692339</v>
      </c>
      <c r="AC50" s="3">
        <v>2.4569034265692382</v>
      </c>
      <c r="AD50" s="3">
        <v>1.9575282925692208</v>
      </c>
      <c r="AE50" s="3">
        <v>0.94188844476923839</v>
      </c>
      <c r="AF50" s="3">
        <v>1.418113753069234</v>
      </c>
      <c r="AG50" s="3">
        <v>2.890156064869227</v>
      </c>
      <c r="AH50" s="3">
        <v>0.72176298916923387</v>
      </c>
      <c r="AI50" s="3">
        <v>0.50067563736922516</v>
      </c>
      <c r="AJ50" s="3">
        <v>-1.2565737220307747</v>
      </c>
      <c r="AK50" s="3">
        <v>-1.0369431740307637</v>
      </c>
      <c r="AL50" s="3">
        <v>0.70103079876923413</v>
      </c>
      <c r="AM50" s="3">
        <v>0.37751908686922514</v>
      </c>
      <c r="AN50" s="3">
        <v>0.59593210106922745</v>
      </c>
      <c r="AO50" s="3">
        <v>0.41449108666922962</v>
      </c>
      <c r="AP50" s="3">
        <v>0.73665835736922736</v>
      </c>
      <c r="AQ50" s="3">
        <v>0.16846339816923617</v>
      </c>
      <c r="AR50" s="3">
        <v>-0.47616772613075503</v>
      </c>
      <c r="AS50" s="3">
        <v>-0.53457451533077904</v>
      </c>
      <c r="AT50" s="3">
        <v>0.49570576106923198</v>
      </c>
      <c r="AU50" s="3">
        <v>-1.7311455758407726</v>
      </c>
    </row>
    <row r="51" spans="1:47" x14ac:dyDescent="0.25">
      <c r="A51">
        <v>2023.375</v>
      </c>
      <c r="B51">
        <v>5</v>
      </c>
      <c r="C51" s="3">
        <v>2.5315232330692252</v>
      </c>
      <c r="D51">
        <v>-0.13664613672834491</v>
      </c>
      <c r="G51" s="3">
        <v>2.5315232330692252</v>
      </c>
      <c r="H51" s="3">
        <v>2.4242919410692383</v>
      </c>
      <c r="I51" s="3">
        <v>3.0204558906692407</v>
      </c>
      <c r="J51" s="3">
        <v>2.5160163088692427</v>
      </c>
      <c r="K51" s="3">
        <v>0.21799792796922957</v>
      </c>
      <c r="L51" s="3">
        <v>1.0712564202692405</v>
      </c>
      <c r="M51" s="3">
        <v>3.5479114080692211</v>
      </c>
      <c r="N51" s="3">
        <v>3.5468615474692231</v>
      </c>
      <c r="O51" s="3">
        <v>3.5616315340692255</v>
      </c>
      <c r="P51" s="3">
        <v>4.1160447731392207</v>
      </c>
      <c r="Q51" s="3">
        <v>4.716440559979227</v>
      </c>
      <c r="R51" s="3">
        <v>3.4192657767092252</v>
      </c>
      <c r="S51" s="3">
        <v>4.3843827266992443</v>
      </c>
      <c r="T51" s="3">
        <v>3.738704460969243</v>
      </c>
      <c r="U51" s="3">
        <v>2.5391773460692382</v>
      </c>
      <c r="V51" s="3">
        <v>1.5244433762692298</v>
      </c>
      <c r="W51" s="3">
        <v>1.1166221583692315</v>
      </c>
      <c r="X51" s="3">
        <v>3.7450370694692299</v>
      </c>
      <c r="Y51" s="3">
        <v>3.3026885758992401</v>
      </c>
      <c r="Z51" s="3">
        <v>3.7375478410922232</v>
      </c>
      <c r="AA51" s="3">
        <v>3.2127393982092203</v>
      </c>
      <c r="AB51" s="3">
        <v>2.8442826277692275</v>
      </c>
      <c r="AC51" s="3">
        <v>4.163303717119228</v>
      </c>
      <c r="AD51" s="3">
        <v>2.8356994875692361</v>
      </c>
      <c r="AE51" s="3">
        <v>3.013470621229243</v>
      </c>
      <c r="AF51" s="3">
        <v>3.4358862912692407</v>
      </c>
      <c r="AG51" s="3">
        <v>4.1419505337292053</v>
      </c>
      <c r="AH51" s="3">
        <v>1.6625542466692296</v>
      </c>
      <c r="AI51" s="3">
        <v>0.56966047319922519</v>
      </c>
      <c r="AJ51" s="3">
        <v>7.4266250269225065E-2</v>
      </c>
      <c r="AK51" s="3">
        <v>2.7389921961692316</v>
      </c>
      <c r="AL51" s="3">
        <v>2.6532131311692275</v>
      </c>
      <c r="AM51" s="3">
        <v>2.7449835301692338</v>
      </c>
      <c r="AN51" s="3">
        <v>2.4282919043692339</v>
      </c>
      <c r="AO51" s="3">
        <v>2.4569034265692382</v>
      </c>
      <c r="AP51" s="3">
        <v>1.9575282925692208</v>
      </c>
      <c r="AQ51" s="3">
        <v>0.94188844476923839</v>
      </c>
      <c r="AR51" s="3">
        <v>1.418113753069234</v>
      </c>
      <c r="AS51" s="3">
        <v>2.890156064869227</v>
      </c>
      <c r="AT51" s="3">
        <v>0.72176298916923387</v>
      </c>
      <c r="AU51" s="3">
        <v>0.50067563736922516</v>
      </c>
    </row>
    <row r="52" spans="1:47" x14ac:dyDescent="0.25">
      <c r="A52">
        <v>2024</v>
      </c>
      <c r="D52">
        <v>-5.3187465897336139E-2</v>
      </c>
      <c r="S52" s="3">
        <v>2.5315232330692252</v>
      </c>
      <c r="T52" s="3">
        <v>2.4242919410692383</v>
      </c>
      <c r="U52" s="3">
        <v>3.0204558906692407</v>
      </c>
      <c r="V52" s="3">
        <v>2.5160163088692427</v>
      </c>
      <c r="W52" s="3">
        <v>0.21799792796922957</v>
      </c>
      <c r="X52" s="3">
        <v>1.0712564202692405</v>
      </c>
      <c r="Y52" s="3">
        <v>3.5479114080692211</v>
      </c>
      <c r="Z52" s="3">
        <v>3.5468615474692231</v>
      </c>
      <c r="AA52" s="3">
        <v>3.5616315340692255</v>
      </c>
      <c r="AB52" s="3">
        <v>4.1160447731392207</v>
      </c>
      <c r="AC52" s="3">
        <v>4.716440559979227</v>
      </c>
      <c r="AD52" s="3">
        <v>3.4192657767092252</v>
      </c>
      <c r="AE52" s="3">
        <v>4.3843827266992443</v>
      </c>
      <c r="AF52" s="3">
        <v>3.738704460969243</v>
      </c>
      <c r="AG52" s="3">
        <v>2.5391773460692382</v>
      </c>
      <c r="AH52" s="3">
        <v>1.5244433762692298</v>
      </c>
      <c r="AI52" s="3">
        <v>1.1166221583692315</v>
      </c>
      <c r="AJ52" s="3">
        <v>3.7450370694692299</v>
      </c>
      <c r="AK52" s="3">
        <v>3.3026885758992401</v>
      </c>
      <c r="AL52" s="3">
        <v>3.7375478410922232</v>
      </c>
      <c r="AM52" s="3">
        <v>3.2127393982092203</v>
      </c>
      <c r="AN52" s="3">
        <v>2.8442826277692275</v>
      </c>
      <c r="AO52" s="3">
        <v>4.163303717119228</v>
      </c>
      <c r="AP52" s="3">
        <v>2.8356994875692361</v>
      </c>
      <c r="AQ52" s="3">
        <v>3.013470621229243</v>
      </c>
      <c r="AR52" s="3">
        <v>3.4358862912692407</v>
      </c>
      <c r="AS52" s="3">
        <v>4.1419505337292053</v>
      </c>
      <c r="AT52" s="3">
        <v>1.6625542466692296</v>
      </c>
      <c r="AU52" s="3">
        <v>0.56966047319922519</v>
      </c>
    </row>
    <row r="53" spans="1:47" x14ac:dyDescent="0.25">
      <c r="A53">
        <v>2025</v>
      </c>
      <c r="AE53" s="3">
        <v>2.5315232330692252</v>
      </c>
      <c r="AF53" s="3">
        <v>2.4242919410692383</v>
      </c>
      <c r="AG53" s="3">
        <v>3.0204558906692407</v>
      </c>
      <c r="AH53" t="s">
        <v>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939E-AD4D-46B5-A4F4-D26A92376794}">
  <dimension ref="A1:S99"/>
  <sheetViews>
    <sheetView tabSelected="1" topLeftCell="A37" workbookViewId="0">
      <selection activeCell="K70" sqref="K70"/>
    </sheetView>
  </sheetViews>
  <sheetFormatPr defaultRowHeight="15" x14ac:dyDescent="0.25"/>
  <sheetData>
    <row r="1" spans="1:1" x14ac:dyDescent="0.25">
      <c r="A1" t="s">
        <v>9</v>
      </c>
    </row>
    <row r="18" spans="2:18" x14ac:dyDescent="0.25">
      <c r="B18" t="s">
        <v>10</v>
      </c>
      <c r="K18" t="s">
        <v>16</v>
      </c>
    </row>
    <row r="19" spans="2:18" x14ac:dyDescent="0.25">
      <c r="K19" t="s">
        <v>17</v>
      </c>
    </row>
    <row r="20" spans="2:18" x14ac:dyDescent="0.25">
      <c r="K20" t="s">
        <v>15</v>
      </c>
    </row>
    <row r="21" spans="2:18" x14ac:dyDescent="0.25">
      <c r="L21" t="s">
        <v>11</v>
      </c>
    </row>
    <row r="22" spans="2:18" x14ac:dyDescent="0.25">
      <c r="K22" t="s">
        <v>21</v>
      </c>
    </row>
    <row r="23" spans="2:18" x14ac:dyDescent="0.25">
      <c r="L23" t="s">
        <v>19</v>
      </c>
      <c r="P23">
        <v>2.5</v>
      </c>
      <c r="Q23">
        <v>0.1482</v>
      </c>
      <c r="R23">
        <v>15.766999999999999</v>
      </c>
    </row>
    <row r="24" spans="2:18" x14ac:dyDescent="0.25">
      <c r="L24" t="s">
        <v>20</v>
      </c>
      <c r="O24">
        <f>R23+Q23*P23</f>
        <v>16.137499999999999</v>
      </c>
      <c r="P24" s="1">
        <f>EXP(O24)</f>
        <v>10195938.370687105</v>
      </c>
    </row>
    <row r="37" spans="2:3" x14ac:dyDescent="0.25">
      <c r="B37" t="s">
        <v>14</v>
      </c>
    </row>
    <row r="38" spans="2:3" x14ac:dyDescent="0.25">
      <c r="B38" t="s">
        <v>12</v>
      </c>
    </row>
    <row r="39" spans="2:3" x14ac:dyDescent="0.25">
      <c r="C39" t="s">
        <v>13</v>
      </c>
    </row>
    <row r="42" spans="2:3" x14ac:dyDescent="0.25">
      <c r="B42" t="s">
        <v>22</v>
      </c>
    </row>
    <row r="59" spans="2:16" x14ac:dyDescent="0.25">
      <c r="B59" t="s">
        <v>23</v>
      </c>
      <c r="K59" t="s">
        <v>24</v>
      </c>
    </row>
    <row r="60" spans="2:16" x14ac:dyDescent="0.25">
      <c r="L60" t="s">
        <v>25</v>
      </c>
      <c r="N60" s="1">
        <f>EXP(15)</f>
        <v>3269017.3724721107</v>
      </c>
      <c r="O60" t="s">
        <v>26</v>
      </c>
      <c r="P60" t="s">
        <v>27</v>
      </c>
    </row>
    <row r="78" spans="2:2" x14ac:dyDescent="0.25">
      <c r="B78" t="s">
        <v>28</v>
      </c>
    </row>
    <row r="96" spans="2:11" x14ac:dyDescent="0.25">
      <c r="B96" t="s">
        <v>29</v>
      </c>
      <c r="K96" t="s">
        <v>30</v>
      </c>
    </row>
    <row r="97" spans="11:19" x14ac:dyDescent="0.25">
      <c r="K97" t="s">
        <v>31</v>
      </c>
    </row>
    <row r="98" spans="11:19" x14ac:dyDescent="0.25">
      <c r="L98" t="s">
        <v>33</v>
      </c>
      <c r="P98" t="s">
        <v>34</v>
      </c>
      <c r="Q98" t="s">
        <v>35</v>
      </c>
      <c r="R98" t="s">
        <v>36</v>
      </c>
      <c r="S98" t="s">
        <v>37</v>
      </c>
    </row>
    <row r="99" spans="11:19" x14ac:dyDescent="0.25">
      <c r="L99">
        <v>2.5</v>
      </c>
      <c r="M99">
        <v>0.25990000000000002</v>
      </c>
      <c r="N99">
        <v>-0.76729999999999998</v>
      </c>
      <c r="O99" t="s">
        <v>32</v>
      </c>
      <c r="P99">
        <f>N99+M99*L99</f>
        <v>-0.11754999999999993</v>
      </c>
      <c r="Q99">
        <f>EXP(P99)</f>
        <v>0.88909605583226792</v>
      </c>
      <c r="R99" s="6">
        <v>9939082.9249525592</v>
      </c>
      <c r="S99" s="1">
        <f>R99*Q99</f>
        <v>8836799.4271651618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DFFBC-0132-4ECF-8591-7B47E561ADD1}">
  <dimension ref="A1:U233"/>
  <sheetViews>
    <sheetView workbookViewId="0">
      <selection sqref="A1:XFD1048576"/>
    </sheetView>
  </sheetViews>
  <sheetFormatPr defaultRowHeight="15" x14ac:dyDescent="0.25"/>
  <cols>
    <col min="6" max="9" width="9.7109375" bestFit="1" customWidth="1"/>
    <col min="10" max="10" width="9.7109375" customWidth="1"/>
    <col min="11" max="11" width="9.7109375" bestFit="1" customWidth="1"/>
    <col min="12" max="12" width="12.5703125" bestFit="1" customWidth="1"/>
    <col min="13" max="13" width="10.5703125" bestFit="1" customWidth="1"/>
    <col min="14" max="14" width="10.42578125" customWidth="1"/>
    <col min="15" max="15" width="9.7109375" bestFit="1" customWidth="1"/>
    <col min="16" max="16" width="10.85546875" bestFit="1" customWidth="1"/>
    <col min="17" max="17" width="11.5703125" bestFit="1" customWidth="1"/>
    <col min="18" max="18" width="10.5703125" bestFit="1" customWidth="1"/>
    <col min="19" max="19" width="9.7109375" bestFit="1" customWidth="1"/>
    <col min="20" max="20" width="9.42578125" bestFit="1" customWidth="1"/>
    <col min="21" max="23" width="9.7109375" bestFit="1" customWidth="1"/>
  </cols>
  <sheetData>
    <row r="1" spans="1:17" x14ac:dyDescent="0.25">
      <c r="A1" t="s">
        <v>38</v>
      </c>
      <c r="B1" t="s">
        <v>9</v>
      </c>
    </row>
    <row r="2" spans="1:17" x14ac:dyDescent="0.25">
      <c r="B2" s="7"/>
      <c r="C2" s="7" t="s">
        <v>39</v>
      </c>
      <c r="K2" t="s">
        <v>40</v>
      </c>
      <c r="M2" t="s">
        <v>41</v>
      </c>
    </row>
    <row r="3" spans="1:17" x14ac:dyDescent="0.25">
      <c r="B3" s="7" t="s">
        <v>42</v>
      </c>
      <c r="C3" s="7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</row>
    <row r="4" spans="1:17" x14ac:dyDescent="0.25">
      <c r="B4">
        <v>1963</v>
      </c>
      <c r="C4">
        <v>615338.55229560297</v>
      </c>
      <c r="D4">
        <f t="shared" ref="D4:D65" si="0">LN(C4)</f>
        <v>13.329927886861338</v>
      </c>
    </row>
    <row r="5" spans="1:17" x14ac:dyDescent="0.25">
      <c r="B5">
        <v>1964</v>
      </c>
      <c r="C5">
        <v>2181685.0607216302</v>
      </c>
      <c r="D5">
        <f t="shared" si="0"/>
        <v>14.595608099816509</v>
      </c>
      <c r="E5">
        <f>D5-D4</f>
        <v>1.2656802129551714</v>
      </c>
      <c r="F5">
        <f>D4</f>
        <v>13.329927886861338</v>
      </c>
    </row>
    <row r="6" spans="1:17" x14ac:dyDescent="0.25">
      <c r="B6">
        <v>1965</v>
      </c>
      <c r="C6">
        <v>48627304.918511003</v>
      </c>
      <c r="D6">
        <f t="shared" si="0"/>
        <v>17.699695760702554</v>
      </c>
      <c r="E6">
        <f t="shared" ref="E6:E65" si="1">D6-D5</f>
        <v>3.1040876608860444</v>
      </c>
      <c r="F6">
        <f t="shared" ref="F6:F65" si="2">D5</f>
        <v>14.595608099816509</v>
      </c>
      <c r="G6">
        <f>D4</f>
        <v>13.329927886861338</v>
      </c>
    </row>
    <row r="7" spans="1:17" x14ac:dyDescent="0.25">
      <c r="B7">
        <v>1966</v>
      </c>
      <c r="C7">
        <v>8915532.9824190103</v>
      </c>
      <c r="D7">
        <f t="shared" si="0"/>
        <v>16.003305592396316</v>
      </c>
      <c r="E7">
        <f t="shared" si="1"/>
        <v>-1.6963901683062375</v>
      </c>
      <c r="F7">
        <f t="shared" si="2"/>
        <v>17.699695760702554</v>
      </c>
      <c r="G7">
        <f t="shared" ref="G7:G65" si="3">D5</f>
        <v>14.595608099816509</v>
      </c>
      <c r="H7">
        <f>D4</f>
        <v>13.329927886861338</v>
      </c>
    </row>
    <row r="8" spans="1:17" ht="15.75" thickBot="1" x14ac:dyDescent="0.3">
      <c r="B8">
        <v>1967</v>
      </c>
      <c r="C8">
        <v>5545422.5274835099</v>
      </c>
      <c r="D8" s="8">
        <f t="shared" si="0"/>
        <v>15.528483375590065</v>
      </c>
      <c r="E8" s="8">
        <f t="shared" si="1"/>
        <v>-0.47482221680625081</v>
      </c>
      <c r="F8" s="8">
        <f t="shared" si="2"/>
        <v>16.003305592396316</v>
      </c>
      <c r="G8" s="8">
        <f t="shared" si="3"/>
        <v>17.699695760702554</v>
      </c>
      <c r="H8" s="8">
        <f t="shared" ref="H8:H65" si="4">D5</f>
        <v>14.595608099816509</v>
      </c>
      <c r="I8" s="8">
        <f>D4</f>
        <v>13.329927886861338</v>
      </c>
      <c r="J8" s="8"/>
    </row>
    <row r="9" spans="1:17" x14ac:dyDescent="0.25">
      <c r="B9">
        <v>1968</v>
      </c>
      <c r="C9">
        <v>3975964.0956830098</v>
      </c>
      <c r="D9">
        <f t="shared" si="0"/>
        <v>15.195777816457015</v>
      </c>
      <c r="E9">
        <f t="shared" si="1"/>
        <v>-0.33270555913304989</v>
      </c>
      <c r="F9">
        <f t="shared" si="2"/>
        <v>15.528483375590065</v>
      </c>
      <c r="G9">
        <f t="shared" si="3"/>
        <v>16.003305592396316</v>
      </c>
      <c r="H9">
        <f t="shared" si="4"/>
        <v>17.699695760702554</v>
      </c>
      <c r="I9">
        <f t="shared" ref="I9:I65" si="5">D5</f>
        <v>14.595608099816509</v>
      </c>
      <c r="J9">
        <f>D4</f>
        <v>13.329927886861338</v>
      </c>
      <c r="K9">
        <f>STDEV(F9:J9)</f>
        <v>1.6276056024938366</v>
      </c>
      <c r="L9">
        <f>J9</f>
        <v>13.329927886861338</v>
      </c>
      <c r="M9">
        <f>F9-$L9</f>
        <v>2.1985554887287275</v>
      </c>
      <c r="N9">
        <f t="shared" ref="N9:Q24" si="6">G9-$L9</f>
        <v>2.6733777055349783</v>
      </c>
      <c r="O9">
        <f t="shared" si="6"/>
        <v>4.3697678738412158</v>
      </c>
      <c r="P9">
        <f t="shared" si="6"/>
        <v>1.2656802129551714</v>
      </c>
      <c r="Q9">
        <f t="shared" si="6"/>
        <v>0</v>
      </c>
    </row>
    <row r="10" spans="1:17" x14ac:dyDescent="0.25">
      <c r="B10">
        <v>1969</v>
      </c>
      <c r="C10">
        <v>14054748.968049999</v>
      </c>
      <c r="D10">
        <f t="shared" si="0"/>
        <v>16.458470901476677</v>
      </c>
      <c r="E10">
        <f t="shared" si="1"/>
        <v>1.2626930850196612</v>
      </c>
      <c r="F10">
        <f t="shared" si="2"/>
        <v>15.195777816457015</v>
      </c>
      <c r="G10">
        <f t="shared" si="3"/>
        <v>15.528483375590065</v>
      </c>
      <c r="H10">
        <f t="shared" si="4"/>
        <v>16.003305592396316</v>
      </c>
      <c r="I10">
        <f t="shared" si="5"/>
        <v>17.699695760702554</v>
      </c>
      <c r="J10">
        <f t="shared" ref="J10:J65" si="7">D5</f>
        <v>14.595608099816509</v>
      </c>
      <c r="K10">
        <f t="shared" ref="K10:K65" si="8">STDEV(F10:J10)</f>
        <v>1.1768005467680884</v>
      </c>
      <c r="L10">
        <f t="shared" ref="L10:L65" si="9">J10</f>
        <v>14.595608099816509</v>
      </c>
      <c r="M10">
        <f t="shared" ref="M10:Q28" si="10">F10-$L10</f>
        <v>0.60016971664050622</v>
      </c>
      <c r="N10">
        <f t="shared" si="6"/>
        <v>0.93287527577355611</v>
      </c>
      <c r="O10">
        <f t="shared" si="6"/>
        <v>1.4076974925798069</v>
      </c>
      <c r="P10">
        <f t="shared" si="6"/>
        <v>3.1040876608860444</v>
      </c>
      <c r="Q10">
        <f t="shared" si="6"/>
        <v>0</v>
      </c>
    </row>
    <row r="11" spans="1:17" x14ac:dyDescent="0.25">
      <c r="B11">
        <v>1970</v>
      </c>
      <c r="C11">
        <v>34839684.715581</v>
      </c>
      <c r="D11">
        <f t="shared" si="0"/>
        <v>17.366267660412252</v>
      </c>
      <c r="E11">
        <f t="shared" si="1"/>
        <v>0.9077967589355751</v>
      </c>
      <c r="F11">
        <f t="shared" si="2"/>
        <v>16.458470901476677</v>
      </c>
      <c r="G11">
        <f t="shared" si="3"/>
        <v>15.195777816457015</v>
      </c>
      <c r="H11">
        <f t="shared" si="4"/>
        <v>15.528483375590065</v>
      </c>
      <c r="I11">
        <f t="shared" si="5"/>
        <v>16.003305592396316</v>
      </c>
      <c r="J11">
        <f t="shared" si="7"/>
        <v>17.699695760702554</v>
      </c>
      <c r="K11">
        <f t="shared" si="8"/>
        <v>0.97613634719957865</v>
      </c>
      <c r="L11">
        <f t="shared" si="9"/>
        <v>17.699695760702554</v>
      </c>
      <c r="M11">
        <f t="shared" si="10"/>
        <v>-1.241224859225877</v>
      </c>
      <c r="N11">
        <f t="shared" si="6"/>
        <v>-2.5039179442455382</v>
      </c>
      <c r="O11">
        <f t="shared" si="6"/>
        <v>-2.1712123851124883</v>
      </c>
      <c r="P11">
        <f t="shared" si="6"/>
        <v>-1.6963901683062375</v>
      </c>
      <c r="Q11">
        <f t="shared" si="6"/>
        <v>0</v>
      </c>
    </row>
    <row r="12" spans="1:17" x14ac:dyDescent="0.25">
      <c r="B12">
        <v>1971</v>
      </c>
      <c r="C12">
        <v>6978106.7842170298</v>
      </c>
      <c r="D12">
        <f t="shared" si="0"/>
        <v>15.758288203595004</v>
      </c>
      <c r="E12">
        <f t="shared" si="1"/>
        <v>-1.6079794568172474</v>
      </c>
      <c r="F12">
        <f t="shared" si="2"/>
        <v>17.366267660412252</v>
      </c>
      <c r="G12">
        <f t="shared" si="3"/>
        <v>16.458470901476677</v>
      </c>
      <c r="H12">
        <f t="shared" si="4"/>
        <v>15.195777816457015</v>
      </c>
      <c r="I12">
        <f t="shared" si="5"/>
        <v>15.528483375590065</v>
      </c>
      <c r="J12">
        <f t="shared" si="7"/>
        <v>16.003305592396316</v>
      </c>
      <c r="K12">
        <f t="shared" si="8"/>
        <v>0.84926244807044571</v>
      </c>
      <c r="L12">
        <f t="shared" si="9"/>
        <v>16.003305592396316</v>
      </c>
      <c r="M12">
        <f t="shared" si="10"/>
        <v>1.3629620680159356</v>
      </c>
      <c r="N12">
        <f t="shared" si="6"/>
        <v>0.45516530908036046</v>
      </c>
      <c r="O12">
        <f t="shared" si="6"/>
        <v>-0.8075277759393007</v>
      </c>
      <c r="P12">
        <f t="shared" si="6"/>
        <v>-0.47482221680625081</v>
      </c>
      <c r="Q12">
        <f t="shared" si="6"/>
        <v>0</v>
      </c>
    </row>
    <row r="13" spans="1:17" x14ac:dyDescent="0.25">
      <c r="B13">
        <v>1972</v>
      </c>
      <c r="C13">
        <v>2132286.5784802702</v>
      </c>
      <c r="D13">
        <f t="shared" si="0"/>
        <v>14.572705472908298</v>
      </c>
      <c r="E13">
        <f t="shared" si="1"/>
        <v>-1.1855827306867059</v>
      </c>
      <c r="F13">
        <f t="shared" si="2"/>
        <v>15.758288203595004</v>
      </c>
      <c r="G13">
        <f t="shared" si="3"/>
        <v>17.366267660412252</v>
      </c>
      <c r="H13">
        <f t="shared" si="4"/>
        <v>16.458470901476677</v>
      </c>
      <c r="I13">
        <f t="shared" si="5"/>
        <v>15.195777816457015</v>
      </c>
      <c r="J13">
        <f t="shared" si="7"/>
        <v>15.528483375590065</v>
      </c>
      <c r="K13">
        <f t="shared" si="8"/>
        <v>0.86393338136389364</v>
      </c>
      <c r="L13">
        <f t="shared" si="9"/>
        <v>15.528483375590065</v>
      </c>
      <c r="M13">
        <f t="shared" si="10"/>
        <v>0.22980482800493895</v>
      </c>
      <c r="N13">
        <f t="shared" si="6"/>
        <v>1.8377842848221864</v>
      </c>
      <c r="O13">
        <f t="shared" si="6"/>
        <v>0.92998752588661127</v>
      </c>
      <c r="P13">
        <f t="shared" si="6"/>
        <v>-0.33270555913304989</v>
      </c>
      <c r="Q13">
        <f t="shared" si="6"/>
        <v>0</v>
      </c>
    </row>
    <row r="14" spans="1:17" x14ac:dyDescent="0.25">
      <c r="B14">
        <v>1973</v>
      </c>
      <c r="C14">
        <v>410486.62934340502</v>
      </c>
      <c r="D14">
        <f t="shared" si="0"/>
        <v>12.925098635708112</v>
      </c>
      <c r="E14">
        <f t="shared" si="1"/>
        <v>-1.6476068372001862</v>
      </c>
      <c r="F14">
        <f t="shared" si="2"/>
        <v>14.572705472908298</v>
      </c>
      <c r="G14">
        <f t="shared" si="3"/>
        <v>15.758288203595004</v>
      </c>
      <c r="H14">
        <f t="shared" si="4"/>
        <v>17.366267660412252</v>
      </c>
      <c r="I14">
        <f t="shared" si="5"/>
        <v>16.458470901476677</v>
      </c>
      <c r="J14">
        <f t="shared" si="7"/>
        <v>15.195777816457015</v>
      </c>
      <c r="K14">
        <f t="shared" si="8"/>
        <v>1.088019143407732</v>
      </c>
      <c r="L14">
        <f t="shared" si="9"/>
        <v>15.195777816457015</v>
      </c>
      <c r="M14">
        <f t="shared" si="10"/>
        <v>-0.6230723435487171</v>
      </c>
      <c r="N14">
        <f t="shared" si="6"/>
        <v>0.56251038713798884</v>
      </c>
      <c r="O14">
        <f t="shared" si="6"/>
        <v>2.1704898439552363</v>
      </c>
      <c r="P14">
        <f t="shared" si="6"/>
        <v>1.2626930850196612</v>
      </c>
      <c r="Q14">
        <f t="shared" si="6"/>
        <v>0</v>
      </c>
    </row>
    <row r="15" spans="1:17" x14ac:dyDescent="0.25">
      <c r="B15">
        <v>1974</v>
      </c>
      <c r="C15">
        <v>5061353.0873880098</v>
      </c>
      <c r="D15">
        <f t="shared" si="0"/>
        <v>15.437144414091053</v>
      </c>
      <c r="E15">
        <f t="shared" si="1"/>
        <v>2.5120457783829409</v>
      </c>
      <c r="F15">
        <f t="shared" si="2"/>
        <v>12.925098635708112</v>
      </c>
      <c r="G15">
        <f t="shared" si="3"/>
        <v>14.572705472908298</v>
      </c>
      <c r="H15">
        <f t="shared" si="4"/>
        <v>15.758288203595004</v>
      </c>
      <c r="I15">
        <f t="shared" si="5"/>
        <v>17.366267660412252</v>
      </c>
      <c r="J15">
        <f t="shared" si="7"/>
        <v>16.458470901476677</v>
      </c>
      <c r="K15">
        <f t="shared" si="8"/>
        <v>1.7264983253669419</v>
      </c>
      <c r="L15">
        <f t="shared" si="9"/>
        <v>16.458470901476677</v>
      </c>
      <c r="M15">
        <f t="shared" si="10"/>
        <v>-3.5333722657685644</v>
      </c>
      <c r="N15">
        <f t="shared" si="6"/>
        <v>-1.8857654285683783</v>
      </c>
      <c r="O15">
        <f t="shared" si="6"/>
        <v>-0.70018269788167231</v>
      </c>
      <c r="P15">
        <f t="shared" si="6"/>
        <v>0.9077967589355751</v>
      </c>
      <c r="Q15">
        <f t="shared" si="6"/>
        <v>0</v>
      </c>
    </row>
    <row r="16" spans="1:17" x14ac:dyDescent="0.25">
      <c r="B16">
        <v>1975</v>
      </c>
      <c r="C16">
        <v>16219630.699003</v>
      </c>
      <c r="D16">
        <f t="shared" si="0"/>
        <v>16.601732838143452</v>
      </c>
      <c r="E16">
        <f t="shared" si="1"/>
        <v>1.1645884240523987</v>
      </c>
      <c r="F16">
        <f t="shared" si="2"/>
        <v>15.437144414091053</v>
      </c>
      <c r="G16">
        <f t="shared" si="3"/>
        <v>12.925098635708112</v>
      </c>
      <c r="H16">
        <f t="shared" si="4"/>
        <v>14.572705472908298</v>
      </c>
      <c r="I16">
        <f t="shared" si="5"/>
        <v>15.758288203595004</v>
      </c>
      <c r="J16">
        <f t="shared" si="7"/>
        <v>17.366267660412252</v>
      </c>
      <c r="K16">
        <f t="shared" si="8"/>
        <v>1.6300770882480169</v>
      </c>
      <c r="L16">
        <f t="shared" si="9"/>
        <v>17.366267660412252</v>
      </c>
      <c r="M16">
        <f t="shared" si="10"/>
        <v>-1.9291232463211987</v>
      </c>
      <c r="N16">
        <f t="shared" si="6"/>
        <v>-4.4411690247041395</v>
      </c>
      <c r="O16">
        <f t="shared" si="6"/>
        <v>-2.7935621875039534</v>
      </c>
      <c r="P16">
        <f t="shared" si="6"/>
        <v>-1.6079794568172474</v>
      </c>
      <c r="Q16">
        <f t="shared" si="6"/>
        <v>0</v>
      </c>
    </row>
    <row r="17" spans="2:17" x14ac:dyDescent="0.25">
      <c r="B17">
        <v>1976</v>
      </c>
      <c r="C17">
        <v>3545332.4575000401</v>
      </c>
      <c r="D17">
        <f t="shared" si="0"/>
        <v>15.081142495638558</v>
      </c>
      <c r="E17">
        <f t="shared" si="1"/>
        <v>-1.5205903425048941</v>
      </c>
      <c r="F17">
        <f t="shared" si="2"/>
        <v>16.601732838143452</v>
      </c>
      <c r="G17">
        <f t="shared" si="3"/>
        <v>15.437144414091053</v>
      </c>
      <c r="H17">
        <f t="shared" si="4"/>
        <v>12.925098635708112</v>
      </c>
      <c r="I17">
        <f t="shared" si="5"/>
        <v>14.572705472908298</v>
      </c>
      <c r="J17">
        <f t="shared" si="7"/>
        <v>15.758288203595004</v>
      </c>
      <c r="K17">
        <f t="shared" si="8"/>
        <v>1.3966065300311323</v>
      </c>
      <c r="L17">
        <f t="shared" si="9"/>
        <v>15.758288203595004</v>
      </c>
      <c r="M17">
        <f t="shared" si="10"/>
        <v>0.84344463454844743</v>
      </c>
      <c r="N17">
        <f t="shared" si="6"/>
        <v>-0.32114378950395128</v>
      </c>
      <c r="O17">
        <f t="shared" si="6"/>
        <v>-2.8331895678868921</v>
      </c>
      <c r="P17">
        <f t="shared" si="6"/>
        <v>-1.1855827306867059</v>
      </c>
      <c r="Q17">
        <f t="shared" si="6"/>
        <v>0</v>
      </c>
    </row>
    <row r="18" spans="2:17" x14ac:dyDescent="0.25">
      <c r="B18">
        <v>1977</v>
      </c>
      <c r="C18">
        <v>1675472.2523318001</v>
      </c>
      <c r="D18">
        <f t="shared" si="0"/>
        <v>14.331605625193841</v>
      </c>
      <c r="E18">
        <f t="shared" si="1"/>
        <v>-0.74953687044471629</v>
      </c>
      <c r="F18">
        <f t="shared" si="2"/>
        <v>15.081142495638558</v>
      </c>
      <c r="G18">
        <f t="shared" si="3"/>
        <v>16.601732838143452</v>
      </c>
      <c r="H18">
        <f t="shared" si="4"/>
        <v>15.437144414091053</v>
      </c>
      <c r="I18">
        <f t="shared" si="5"/>
        <v>12.925098635708112</v>
      </c>
      <c r="J18">
        <f t="shared" si="7"/>
        <v>14.572705472908298</v>
      </c>
      <c r="K18">
        <f t="shared" si="8"/>
        <v>1.3436714620439854</v>
      </c>
      <c r="L18">
        <f t="shared" si="9"/>
        <v>14.572705472908298</v>
      </c>
      <c r="M18">
        <f t="shared" si="10"/>
        <v>0.50843702273025926</v>
      </c>
      <c r="N18">
        <f t="shared" si="6"/>
        <v>2.0290273652351534</v>
      </c>
      <c r="O18">
        <f t="shared" si="6"/>
        <v>0.86443894118275466</v>
      </c>
      <c r="P18">
        <f t="shared" si="6"/>
        <v>-1.6476068372001862</v>
      </c>
      <c r="Q18">
        <f t="shared" si="6"/>
        <v>0</v>
      </c>
    </row>
    <row r="19" spans="2:17" x14ac:dyDescent="0.25">
      <c r="B19">
        <v>1978</v>
      </c>
      <c r="C19">
        <v>7919094.2169210697</v>
      </c>
      <c r="D19">
        <f t="shared" si="0"/>
        <v>15.884787390699886</v>
      </c>
      <c r="E19">
        <f t="shared" si="1"/>
        <v>1.5531817655060447</v>
      </c>
      <c r="F19">
        <f t="shared" si="2"/>
        <v>14.331605625193841</v>
      </c>
      <c r="G19">
        <f t="shared" si="3"/>
        <v>15.081142495638558</v>
      </c>
      <c r="H19">
        <f t="shared" si="4"/>
        <v>16.601732838143452</v>
      </c>
      <c r="I19">
        <f t="shared" si="5"/>
        <v>15.437144414091053</v>
      </c>
      <c r="J19">
        <f t="shared" si="7"/>
        <v>12.925098635708112</v>
      </c>
      <c r="K19">
        <f t="shared" si="8"/>
        <v>1.3635889728691979</v>
      </c>
      <c r="L19">
        <f t="shared" si="9"/>
        <v>12.925098635708112</v>
      </c>
      <c r="M19">
        <f t="shared" si="10"/>
        <v>1.4065069894857292</v>
      </c>
      <c r="N19">
        <f t="shared" si="6"/>
        <v>2.1560438599304454</v>
      </c>
      <c r="O19">
        <f t="shared" si="6"/>
        <v>3.6766342024353396</v>
      </c>
      <c r="P19">
        <f t="shared" si="6"/>
        <v>2.5120457783829409</v>
      </c>
      <c r="Q19">
        <f t="shared" si="6"/>
        <v>0</v>
      </c>
    </row>
    <row r="20" spans="2:17" x14ac:dyDescent="0.25">
      <c r="B20">
        <v>1979</v>
      </c>
      <c r="C20">
        <v>24927042.451058</v>
      </c>
      <c r="D20" s="9">
        <f t="shared" si="0"/>
        <v>17.031463814328902</v>
      </c>
      <c r="E20" s="9">
        <f t="shared" si="1"/>
        <v>1.1466764236290157</v>
      </c>
      <c r="F20" s="9">
        <f t="shared" si="2"/>
        <v>15.884787390699886</v>
      </c>
      <c r="G20" s="9">
        <f t="shared" si="3"/>
        <v>14.331605625193841</v>
      </c>
      <c r="H20" s="9">
        <f t="shared" si="4"/>
        <v>15.081142495638558</v>
      </c>
      <c r="I20" s="9">
        <f t="shared" si="5"/>
        <v>16.601732838143452</v>
      </c>
      <c r="J20" s="9">
        <f t="shared" si="7"/>
        <v>15.437144414091053</v>
      </c>
      <c r="K20">
        <f t="shared" si="8"/>
        <v>0.85162525130366107</v>
      </c>
      <c r="L20">
        <f t="shared" si="9"/>
        <v>15.437144414091053</v>
      </c>
      <c r="M20">
        <f t="shared" si="10"/>
        <v>0.44764297660883301</v>
      </c>
      <c r="N20">
        <f t="shared" si="6"/>
        <v>-1.1055387888972117</v>
      </c>
      <c r="O20">
        <f t="shared" si="6"/>
        <v>-0.3560019184524954</v>
      </c>
      <c r="P20">
        <f t="shared" si="6"/>
        <v>1.1645884240523987</v>
      </c>
      <c r="Q20">
        <f t="shared" si="6"/>
        <v>0</v>
      </c>
    </row>
    <row r="21" spans="2:17" x14ac:dyDescent="0.25">
      <c r="B21">
        <v>1980</v>
      </c>
      <c r="C21">
        <v>37931680.055286199</v>
      </c>
      <c r="D21">
        <f t="shared" si="0"/>
        <v>17.451297206258793</v>
      </c>
      <c r="E21">
        <f t="shared" si="1"/>
        <v>0.41983339192989177</v>
      </c>
      <c r="F21">
        <f t="shared" si="2"/>
        <v>17.031463814328902</v>
      </c>
      <c r="G21">
        <f t="shared" si="3"/>
        <v>15.884787390699886</v>
      </c>
      <c r="H21">
        <f t="shared" si="4"/>
        <v>14.331605625193841</v>
      </c>
      <c r="I21">
        <f t="shared" si="5"/>
        <v>15.081142495638558</v>
      </c>
      <c r="J21">
        <f t="shared" si="7"/>
        <v>16.601732838143452</v>
      </c>
      <c r="K21">
        <f t="shared" si="8"/>
        <v>1.0998234081318661</v>
      </c>
      <c r="L21">
        <f t="shared" si="9"/>
        <v>16.601732838143452</v>
      </c>
      <c r="M21">
        <f t="shared" si="10"/>
        <v>0.42973097618544998</v>
      </c>
      <c r="N21">
        <f t="shared" si="6"/>
        <v>-0.7169454474435657</v>
      </c>
      <c r="O21">
        <f t="shared" si="6"/>
        <v>-2.2701272129496104</v>
      </c>
      <c r="P21">
        <f t="shared" si="6"/>
        <v>-1.5205903425048941</v>
      </c>
      <c r="Q21">
        <f t="shared" si="6"/>
        <v>0</v>
      </c>
    </row>
    <row r="22" spans="2:17" x14ac:dyDescent="0.25">
      <c r="B22">
        <v>1981</v>
      </c>
      <c r="C22">
        <v>6901353.487857</v>
      </c>
      <c r="D22">
        <f t="shared" si="0"/>
        <v>15.747228107991525</v>
      </c>
      <c r="E22">
        <f t="shared" si="1"/>
        <v>-1.7040690982672686</v>
      </c>
      <c r="F22">
        <f t="shared" si="2"/>
        <v>17.451297206258793</v>
      </c>
      <c r="G22">
        <f t="shared" si="3"/>
        <v>17.031463814328902</v>
      </c>
      <c r="H22">
        <f t="shared" si="4"/>
        <v>15.884787390699886</v>
      </c>
      <c r="I22">
        <f t="shared" si="5"/>
        <v>14.331605625193841</v>
      </c>
      <c r="J22">
        <f t="shared" si="7"/>
        <v>15.081142495638558</v>
      </c>
      <c r="K22">
        <f t="shared" si="8"/>
        <v>1.3039977096368609</v>
      </c>
      <c r="L22">
        <f t="shared" si="9"/>
        <v>15.081142495638558</v>
      </c>
      <c r="M22">
        <f t="shared" si="10"/>
        <v>2.3701547106202359</v>
      </c>
      <c r="N22">
        <f t="shared" si="6"/>
        <v>1.9503213186903441</v>
      </c>
      <c r="O22">
        <f t="shared" si="6"/>
        <v>0.80364489506132841</v>
      </c>
      <c r="P22">
        <f t="shared" si="6"/>
        <v>-0.74953687044471629</v>
      </c>
      <c r="Q22">
        <f t="shared" si="6"/>
        <v>0</v>
      </c>
    </row>
    <row r="23" spans="2:17" x14ac:dyDescent="0.25">
      <c r="B23">
        <v>1982</v>
      </c>
      <c r="C23">
        <v>2811875.1391500002</v>
      </c>
      <c r="D23">
        <f t="shared" si="0"/>
        <v>14.849362128064126</v>
      </c>
      <c r="E23">
        <f t="shared" si="1"/>
        <v>-0.89786597992739914</v>
      </c>
      <c r="F23">
        <f t="shared" si="2"/>
        <v>15.747228107991525</v>
      </c>
      <c r="G23">
        <f t="shared" si="3"/>
        <v>17.451297206258793</v>
      </c>
      <c r="H23">
        <f t="shared" si="4"/>
        <v>17.031463814328902</v>
      </c>
      <c r="I23">
        <f t="shared" si="5"/>
        <v>15.884787390699886</v>
      </c>
      <c r="J23">
        <f t="shared" si="7"/>
        <v>14.331605625193841</v>
      </c>
      <c r="K23">
        <f t="shared" si="8"/>
        <v>1.2238297616498557</v>
      </c>
      <c r="L23">
        <f t="shared" si="9"/>
        <v>14.331605625193841</v>
      </c>
      <c r="M23">
        <f t="shared" si="10"/>
        <v>1.4156224827976835</v>
      </c>
      <c r="N23">
        <f t="shared" si="6"/>
        <v>3.1196915810649521</v>
      </c>
      <c r="O23">
        <f t="shared" si="6"/>
        <v>2.6998581891350604</v>
      </c>
      <c r="P23">
        <f t="shared" si="6"/>
        <v>1.5531817655060447</v>
      </c>
      <c r="Q23">
        <f t="shared" si="6"/>
        <v>0</v>
      </c>
    </row>
    <row r="24" spans="2:17" x14ac:dyDescent="0.25">
      <c r="B24">
        <v>1983</v>
      </c>
      <c r="C24">
        <v>21496871.561402999</v>
      </c>
      <c r="D24">
        <f t="shared" si="0"/>
        <v>16.88341797373851</v>
      </c>
      <c r="E24">
        <f t="shared" si="1"/>
        <v>2.0340558456743842</v>
      </c>
      <c r="F24">
        <f t="shared" si="2"/>
        <v>14.849362128064126</v>
      </c>
      <c r="G24">
        <f t="shared" si="3"/>
        <v>15.747228107991525</v>
      </c>
      <c r="H24">
        <f t="shared" si="4"/>
        <v>17.451297206258793</v>
      </c>
      <c r="I24">
        <f t="shared" si="5"/>
        <v>17.031463814328902</v>
      </c>
      <c r="J24">
        <f t="shared" si="7"/>
        <v>15.884787390699886</v>
      </c>
      <c r="K24">
        <f t="shared" si="8"/>
        <v>1.0470677630851717</v>
      </c>
      <c r="L24">
        <f t="shared" si="9"/>
        <v>15.884787390699886</v>
      </c>
      <c r="M24">
        <f t="shared" si="10"/>
        <v>-1.0354252626357603</v>
      </c>
      <c r="N24">
        <f t="shared" si="6"/>
        <v>-0.13755928270836115</v>
      </c>
      <c r="O24">
        <f t="shared" si="6"/>
        <v>1.5665098155589074</v>
      </c>
      <c r="P24">
        <f t="shared" si="6"/>
        <v>1.1466764236290157</v>
      </c>
      <c r="Q24">
        <f t="shared" si="6"/>
        <v>0</v>
      </c>
    </row>
    <row r="25" spans="2:17" x14ac:dyDescent="0.25">
      <c r="B25">
        <v>1984</v>
      </c>
      <c r="C25">
        <v>23930917.962620001</v>
      </c>
      <c r="D25">
        <f t="shared" si="0"/>
        <v>16.990681819475604</v>
      </c>
      <c r="E25">
        <f t="shared" si="1"/>
        <v>0.10726384573709424</v>
      </c>
      <c r="F25">
        <f t="shared" si="2"/>
        <v>16.88341797373851</v>
      </c>
      <c r="G25">
        <f t="shared" si="3"/>
        <v>14.849362128064126</v>
      </c>
      <c r="H25">
        <f t="shared" si="4"/>
        <v>15.747228107991525</v>
      </c>
      <c r="I25">
        <f t="shared" si="5"/>
        <v>17.451297206258793</v>
      </c>
      <c r="J25">
        <f t="shared" si="7"/>
        <v>17.031463814328902</v>
      </c>
      <c r="K25">
        <f t="shared" si="8"/>
        <v>1.0686413136390369</v>
      </c>
      <c r="L25">
        <f t="shared" si="9"/>
        <v>17.031463814328902</v>
      </c>
      <c r="M25">
        <f t="shared" si="10"/>
        <v>-0.14804584059039172</v>
      </c>
      <c r="N25">
        <f t="shared" si="10"/>
        <v>-2.182101686264776</v>
      </c>
      <c r="O25">
        <f t="shared" si="10"/>
        <v>-1.2842357063373768</v>
      </c>
      <c r="P25">
        <f t="shared" si="10"/>
        <v>0.41983339192989177</v>
      </c>
      <c r="Q25">
        <f t="shared" si="10"/>
        <v>0</v>
      </c>
    </row>
    <row r="26" spans="2:17" x14ac:dyDescent="0.25">
      <c r="B26">
        <v>1985</v>
      </c>
      <c r="C26">
        <v>14093497.289049</v>
      </c>
      <c r="D26">
        <f t="shared" si="0"/>
        <v>16.461224063795978</v>
      </c>
      <c r="E26">
        <f t="shared" si="1"/>
        <v>-0.52945775567962627</v>
      </c>
      <c r="F26">
        <f t="shared" si="2"/>
        <v>16.990681819475604</v>
      </c>
      <c r="G26">
        <f t="shared" si="3"/>
        <v>16.88341797373851</v>
      </c>
      <c r="H26">
        <f t="shared" si="4"/>
        <v>14.849362128064126</v>
      </c>
      <c r="I26">
        <f t="shared" si="5"/>
        <v>15.747228107991525</v>
      </c>
      <c r="J26">
        <f t="shared" si="7"/>
        <v>17.451297206258793</v>
      </c>
      <c r="K26">
        <f t="shared" si="8"/>
        <v>1.0626847509579271</v>
      </c>
      <c r="L26">
        <f t="shared" si="9"/>
        <v>17.451297206258793</v>
      </c>
      <c r="M26">
        <f t="shared" si="10"/>
        <v>-0.46061538678318925</v>
      </c>
      <c r="N26">
        <f t="shared" si="10"/>
        <v>-0.56787923252028349</v>
      </c>
      <c r="O26">
        <f t="shared" si="10"/>
        <v>-2.6019350781946677</v>
      </c>
      <c r="P26">
        <f t="shared" si="10"/>
        <v>-1.7040690982672686</v>
      </c>
      <c r="Q26">
        <f t="shared" si="10"/>
        <v>0</v>
      </c>
    </row>
    <row r="27" spans="2:17" x14ac:dyDescent="0.25">
      <c r="B27">
        <v>1986</v>
      </c>
      <c r="C27">
        <v>2012448.6116129099</v>
      </c>
      <c r="D27">
        <f t="shared" si="0"/>
        <v>14.514862753346561</v>
      </c>
      <c r="E27">
        <f t="shared" si="1"/>
        <v>-1.9463613104494168</v>
      </c>
      <c r="F27">
        <f t="shared" si="2"/>
        <v>16.461224063795978</v>
      </c>
      <c r="G27">
        <f t="shared" si="3"/>
        <v>16.990681819475604</v>
      </c>
      <c r="H27">
        <f t="shared" si="4"/>
        <v>16.88341797373851</v>
      </c>
      <c r="I27">
        <f t="shared" si="5"/>
        <v>14.849362128064126</v>
      </c>
      <c r="J27">
        <f t="shared" si="7"/>
        <v>15.747228107991525</v>
      </c>
      <c r="K27">
        <f t="shared" si="8"/>
        <v>0.89285690162813569</v>
      </c>
      <c r="L27">
        <f t="shared" si="9"/>
        <v>15.747228107991525</v>
      </c>
      <c r="M27">
        <f t="shared" si="10"/>
        <v>0.71399595580445308</v>
      </c>
      <c r="N27">
        <f t="shared" si="10"/>
        <v>1.2434537114840793</v>
      </c>
      <c r="O27">
        <f t="shared" si="10"/>
        <v>1.1361898657469851</v>
      </c>
      <c r="P27">
        <f t="shared" si="10"/>
        <v>-0.89786597992739914</v>
      </c>
      <c r="Q27">
        <f t="shared" si="10"/>
        <v>0</v>
      </c>
    </row>
    <row r="28" spans="2:17" x14ac:dyDescent="0.25">
      <c r="B28">
        <v>1987</v>
      </c>
      <c r="C28">
        <v>10318113.254788101</v>
      </c>
      <c r="D28">
        <f t="shared" si="0"/>
        <v>16.149411477154878</v>
      </c>
      <c r="E28">
        <f t="shared" si="1"/>
        <v>1.634548723808317</v>
      </c>
      <c r="F28">
        <f t="shared" si="2"/>
        <v>14.514862753346561</v>
      </c>
      <c r="G28">
        <f t="shared" si="3"/>
        <v>16.461224063795978</v>
      </c>
      <c r="H28">
        <f t="shared" si="4"/>
        <v>16.990681819475604</v>
      </c>
      <c r="I28">
        <f t="shared" si="5"/>
        <v>16.88341797373851</v>
      </c>
      <c r="J28">
        <f t="shared" si="7"/>
        <v>14.849362128064126</v>
      </c>
      <c r="K28">
        <f t="shared" si="8"/>
        <v>1.1711267419030478</v>
      </c>
      <c r="L28">
        <f t="shared" si="9"/>
        <v>14.849362128064126</v>
      </c>
      <c r="M28">
        <f t="shared" si="10"/>
        <v>-0.33449937471756463</v>
      </c>
      <c r="N28">
        <f t="shared" si="10"/>
        <v>1.6118619357318522</v>
      </c>
      <c r="O28">
        <f t="shared" si="10"/>
        <v>2.1413196914114785</v>
      </c>
      <c r="P28">
        <f t="shared" si="10"/>
        <v>2.0340558456743842</v>
      </c>
      <c r="Q28">
        <f t="shared" si="10"/>
        <v>0</v>
      </c>
    </row>
    <row r="29" spans="2:17" x14ac:dyDescent="0.25">
      <c r="B29">
        <v>1988</v>
      </c>
      <c r="C29">
        <v>6860048.6126930099</v>
      </c>
      <c r="D29">
        <f t="shared" si="0"/>
        <v>15.741225086075357</v>
      </c>
      <c r="E29">
        <f t="shared" si="1"/>
        <v>-0.40818639107952137</v>
      </c>
      <c r="F29">
        <f t="shared" si="2"/>
        <v>16.149411477154878</v>
      </c>
      <c r="G29">
        <f t="shared" si="3"/>
        <v>14.514862753346561</v>
      </c>
      <c r="H29">
        <f t="shared" si="4"/>
        <v>16.461224063795978</v>
      </c>
      <c r="I29">
        <f t="shared" si="5"/>
        <v>16.990681819475604</v>
      </c>
      <c r="J29">
        <f t="shared" si="7"/>
        <v>16.88341797373851</v>
      </c>
      <c r="K29">
        <f t="shared" si="8"/>
        <v>1.0003402651572917</v>
      </c>
      <c r="L29">
        <f t="shared" si="9"/>
        <v>16.88341797373851</v>
      </c>
    </row>
    <row r="30" spans="2:17" x14ac:dyDescent="0.25">
      <c r="B30">
        <v>1989</v>
      </c>
      <c r="C30">
        <v>20484408.004480999</v>
      </c>
      <c r="D30">
        <f t="shared" si="0"/>
        <v>16.835174569569737</v>
      </c>
      <c r="E30">
        <f t="shared" si="1"/>
        <v>1.0939494834943808</v>
      </c>
      <c r="F30">
        <f t="shared" si="2"/>
        <v>15.741225086075357</v>
      </c>
      <c r="G30">
        <f t="shared" si="3"/>
        <v>16.149411477154878</v>
      </c>
      <c r="H30">
        <f t="shared" si="4"/>
        <v>14.514862753346561</v>
      </c>
      <c r="I30">
        <f t="shared" si="5"/>
        <v>16.461224063795978</v>
      </c>
      <c r="J30">
        <f t="shared" si="7"/>
        <v>16.990681819475604</v>
      </c>
      <c r="K30">
        <f t="shared" si="8"/>
        <v>0.93341206549379629</v>
      </c>
      <c r="L30">
        <f t="shared" si="9"/>
        <v>16.990681819475604</v>
      </c>
    </row>
    <row r="31" spans="2:17" x14ac:dyDescent="0.25">
      <c r="B31">
        <v>1990</v>
      </c>
      <c r="C31">
        <v>18192988.959779002</v>
      </c>
      <c r="D31">
        <f t="shared" si="0"/>
        <v>16.716546855839809</v>
      </c>
      <c r="E31">
        <f t="shared" si="1"/>
        <v>-0.11862771372992853</v>
      </c>
      <c r="F31">
        <f t="shared" si="2"/>
        <v>16.835174569569737</v>
      </c>
      <c r="G31">
        <f t="shared" si="3"/>
        <v>15.741225086075357</v>
      </c>
      <c r="H31">
        <f t="shared" si="4"/>
        <v>16.149411477154878</v>
      </c>
      <c r="I31">
        <f t="shared" si="5"/>
        <v>14.514862753346561</v>
      </c>
      <c r="J31">
        <f t="shared" si="7"/>
        <v>16.461224063795978</v>
      </c>
      <c r="K31">
        <f t="shared" si="8"/>
        <v>0.89266344710792944</v>
      </c>
      <c r="L31">
        <f t="shared" si="9"/>
        <v>16.461224063795978</v>
      </c>
    </row>
    <row r="32" spans="2:17" x14ac:dyDescent="0.25">
      <c r="B32">
        <v>1991</v>
      </c>
      <c r="C32">
        <v>8613126.7931474093</v>
      </c>
      <c r="D32">
        <f t="shared" si="0"/>
        <v>15.96879796879931</v>
      </c>
      <c r="E32">
        <f t="shared" si="1"/>
        <v>-0.74774888704049935</v>
      </c>
      <c r="F32">
        <f t="shared" si="2"/>
        <v>16.716546855839809</v>
      </c>
      <c r="G32">
        <f t="shared" si="3"/>
        <v>16.835174569569737</v>
      </c>
      <c r="H32">
        <f t="shared" si="4"/>
        <v>15.741225086075357</v>
      </c>
      <c r="I32">
        <f t="shared" si="5"/>
        <v>16.149411477154878</v>
      </c>
      <c r="J32">
        <f t="shared" si="7"/>
        <v>14.514862753346561</v>
      </c>
      <c r="K32">
        <f t="shared" si="8"/>
        <v>0.93615047298315501</v>
      </c>
      <c r="L32">
        <f t="shared" si="9"/>
        <v>14.514862753346561</v>
      </c>
    </row>
    <row r="33" spans="2:12" x14ac:dyDescent="0.25">
      <c r="B33">
        <v>1992</v>
      </c>
      <c r="C33">
        <v>10628639.807515001</v>
      </c>
      <c r="D33">
        <f t="shared" si="0"/>
        <v>16.179062784230066</v>
      </c>
      <c r="E33">
        <f t="shared" si="1"/>
        <v>0.21026481543075626</v>
      </c>
      <c r="F33">
        <f t="shared" si="2"/>
        <v>15.96879796879931</v>
      </c>
      <c r="G33">
        <f t="shared" si="3"/>
        <v>16.716546855839809</v>
      </c>
      <c r="H33">
        <f t="shared" si="4"/>
        <v>16.835174569569737</v>
      </c>
      <c r="I33">
        <f t="shared" si="5"/>
        <v>15.741225086075357</v>
      </c>
      <c r="J33">
        <f t="shared" si="7"/>
        <v>16.149411477154878</v>
      </c>
      <c r="K33">
        <f t="shared" si="8"/>
        <v>0.47511723378554233</v>
      </c>
      <c r="L33">
        <f t="shared" si="9"/>
        <v>16.149411477154878</v>
      </c>
    </row>
    <row r="34" spans="2:12" x14ac:dyDescent="0.25">
      <c r="B34">
        <v>1993</v>
      </c>
      <c r="C34">
        <v>8064870.9306939198</v>
      </c>
      <c r="D34">
        <f t="shared" si="0"/>
        <v>15.903028265779652</v>
      </c>
      <c r="E34">
        <f t="shared" si="1"/>
        <v>-0.27603451845041427</v>
      </c>
      <c r="F34">
        <f t="shared" si="2"/>
        <v>16.179062784230066</v>
      </c>
      <c r="G34">
        <f t="shared" si="3"/>
        <v>15.96879796879931</v>
      </c>
      <c r="H34">
        <f t="shared" si="4"/>
        <v>16.716546855839809</v>
      </c>
      <c r="I34">
        <f t="shared" si="5"/>
        <v>16.835174569569737</v>
      </c>
      <c r="J34">
        <f t="shared" si="7"/>
        <v>15.741225086075357</v>
      </c>
      <c r="K34">
        <f t="shared" si="8"/>
        <v>0.47322625326012585</v>
      </c>
      <c r="L34">
        <f t="shared" si="9"/>
        <v>15.741225086075357</v>
      </c>
    </row>
    <row r="35" spans="2:12" x14ac:dyDescent="0.25">
      <c r="B35">
        <v>1994</v>
      </c>
      <c r="C35">
        <v>21592336.784862999</v>
      </c>
      <c r="D35">
        <f t="shared" si="0"/>
        <v>16.887849031227056</v>
      </c>
      <c r="E35">
        <f t="shared" si="1"/>
        <v>0.98482076544740416</v>
      </c>
      <c r="F35">
        <f t="shared" si="2"/>
        <v>15.903028265779652</v>
      </c>
      <c r="G35">
        <f t="shared" si="3"/>
        <v>16.179062784230066</v>
      </c>
      <c r="H35">
        <f t="shared" si="4"/>
        <v>15.96879796879931</v>
      </c>
      <c r="I35">
        <f t="shared" si="5"/>
        <v>16.716546855839809</v>
      </c>
      <c r="J35">
        <f t="shared" si="7"/>
        <v>16.835174569569737</v>
      </c>
      <c r="K35">
        <f t="shared" si="8"/>
        <v>0.43003618329484655</v>
      </c>
      <c r="L35">
        <f t="shared" si="9"/>
        <v>16.835174569569737</v>
      </c>
    </row>
    <row r="36" spans="2:12" x14ac:dyDescent="0.25">
      <c r="B36">
        <v>1995</v>
      </c>
      <c r="C36">
        <v>28426663.093738001</v>
      </c>
      <c r="D36">
        <f t="shared" si="0"/>
        <v>17.162838104024363</v>
      </c>
      <c r="E36">
        <f t="shared" si="1"/>
        <v>0.27498907279730744</v>
      </c>
      <c r="F36">
        <f t="shared" si="2"/>
        <v>16.887849031227056</v>
      </c>
      <c r="G36">
        <f t="shared" si="3"/>
        <v>15.903028265779652</v>
      </c>
      <c r="H36">
        <f t="shared" si="4"/>
        <v>16.179062784230066</v>
      </c>
      <c r="I36">
        <f t="shared" si="5"/>
        <v>15.96879796879931</v>
      </c>
      <c r="J36">
        <f t="shared" si="7"/>
        <v>16.716546855839809</v>
      </c>
      <c r="K36">
        <f t="shared" si="8"/>
        <v>0.44613961929691898</v>
      </c>
      <c r="L36">
        <f t="shared" si="9"/>
        <v>16.716546855839809</v>
      </c>
    </row>
    <row r="37" spans="2:12" x14ac:dyDescent="0.25">
      <c r="B37">
        <v>1996</v>
      </c>
      <c r="C37">
        <v>4474670.1871116199</v>
      </c>
      <c r="D37">
        <f t="shared" si="0"/>
        <v>15.313943205770919</v>
      </c>
      <c r="E37">
        <f t="shared" si="1"/>
        <v>-1.8488948982534446</v>
      </c>
      <c r="F37">
        <f t="shared" si="2"/>
        <v>17.162838104024363</v>
      </c>
      <c r="G37">
        <f t="shared" si="3"/>
        <v>16.887849031227056</v>
      </c>
      <c r="H37">
        <f t="shared" si="4"/>
        <v>15.903028265779652</v>
      </c>
      <c r="I37">
        <f t="shared" si="5"/>
        <v>16.179062784230066</v>
      </c>
      <c r="J37">
        <f t="shared" si="7"/>
        <v>15.96879796879931</v>
      </c>
      <c r="K37">
        <f t="shared" si="8"/>
        <v>0.56999659140289427</v>
      </c>
      <c r="L37">
        <f t="shared" si="9"/>
        <v>15.96879796879931</v>
      </c>
    </row>
    <row r="38" spans="2:12" x14ac:dyDescent="0.25">
      <c r="B38">
        <v>1997</v>
      </c>
      <c r="C38">
        <v>2392217.5839761398</v>
      </c>
      <c r="D38">
        <f t="shared" si="0"/>
        <v>14.687731353116485</v>
      </c>
      <c r="E38">
        <f t="shared" si="1"/>
        <v>-0.6262118526544338</v>
      </c>
      <c r="F38">
        <f t="shared" si="2"/>
        <v>15.313943205770919</v>
      </c>
      <c r="G38">
        <f t="shared" si="3"/>
        <v>17.162838104024363</v>
      </c>
      <c r="H38">
        <f t="shared" si="4"/>
        <v>16.887849031227056</v>
      </c>
      <c r="I38">
        <f t="shared" si="5"/>
        <v>15.903028265779652</v>
      </c>
      <c r="J38">
        <f t="shared" si="7"/>
        <v>16.179062784230066</v>
      </c>
      <c r="K38">
        <f t="shared" si="8"/>
        <v>0.7473300349593982</v>
      </c>
      <c r="L38">
        <f t="shared" si="9"/>
        <v>16.179062784230066</v>
      </c>
    </row>
    <row r="39" spans="2:12" x14ac:dyDescent="0.25">
      <c r="B39">
        <v>1998</v>
      </c>
      <c r="C39">
        <v>3811020.5496040098</v>
      </c>
      <c r="D39">
        <f t="shared" si="0"/>
        <v>15.153407572023042</v>
      </c>
      <c r="E39">
        <f t="shared" si="1"/>
        <v>0.46567621890655708</v>
      </c>
      <c r="F39">
        <f t="shared" si="2"/>
        <v>14.687731353116485</v>
      </c>
      <c r="G39">
        <f t="shared" si="3"/>
        <v>15.313943205770919</v>
      </c>
      <c r="H39">
        <f t="shared" si="4"/>
        <v>17.162838104024363</v>
      </c>
      <c r="I39">
        <f t="shared" si="5"/>
        <v>16.887849031227056</v>
      </c>
      <c r="J39">
        <f t="shared" si="7"/>
        <v>15.903028265779652</v>
      </c>
      <c r="K39">
        <f t="shared" si="8"/>
        <v>1.0418969228078252</v>
      </c>
      <c r="L39">
        <f t="shared" si="9"/>
        <v>15.903028265779652</v>
      </c>
    </row>
    <row r="40" spans="2:12" x14ac:dyDescent="0.25">
      <c r="B40">
        <v>1999</v>
      </c>
      <c r="C40">
        <v>13203151.607286001</v>
      </c>
      <c r="D40">
        <f t="shared" si="0"/>
        <v>16.395966117186141</v>
      </c>
      <c r="E40">
        <f t="shared" si="1"/>
        <v>1.2425585451630994</v>
      </c>
      <c r="F40">
        <f t="shared" si="2"/>
        <v>15.153407572023042</v>
      </c>
      <c r="G40">
        <f t="shared" si="3"/>
        <v>14.687731353116485</v>
      </c>
      <c r="H40">
        <f t="shared" si="4"/>
        <v>15.313943205770919</v>
      </c>
      <c r="I40">
        <f t="shared" si="5"/>
        <v>17.162838104024363</v>
      </c>
      <c r="J40">
        <f t="shared" si="7"/>
        <v>16.887849031227056</v>
      </c>
      <c r="K40">
        <f t="shared" si="8"/>
        <v>1.1094761750840441</v>
      </c>
      <c r="L40">
        <f t="shared" si="9"/>
        <v>16.887849031227056</v>
      </c>
    </row>
    <row r="41" spans="2:12" x14ac:dyDescent="0.25">
      <c r="B41">
        <v>2000</v>
      </c>
      <c r="C41">
        <v>3569959.42135939</v>
      </c>
      <c r="D41">
        <f t="shared" si="0"/>
        <v>15.088064787125225</v>
      </c>
      <c r="E41">
        <f t="shared" si="1"/>
        <v>-1.3079013300609166</v>
      </c>
      <c r="F41">
        <f t="shared" si="2"/>
        <v>16.395966117186141</v>
      </c>
      <c r="G41">
        <f t="shared" si="3"/>
        <v>15.153407572023042</v>
      </c>
      <c r="H41">
        <f t="shared" si="4"/>
        <v>14.687731353116485</v>
      </c>
      <c r="I41">
        <f t="shared" si="5"/>
        <v>15.313943205770919</v>
      </c>
      <c r="J41">
        <f t="shared" si="7"/>
        <v>17.162838104024363</v>
      </c>
      <c r="K41">
        <f t="shared" si="8"/>
        <v>1.0108913918774349</v>
      </c>
      <c r="L41">
        <f t="shared" si="9"/>
        <v>17.162838104024363</v>
      </c>
    </row>
    <row r="42" spans="2:12" x14ac:dyDescent="0.25">
      <c r="B42">
        <v>2001</v>
      </c>
      <c r="C42">
        <v>1940224.7079255499</v>
      </c>
      <c r="D42">
        <f t="shared" si="0"/>
        <v>14.478314353159472</v>
      </c>
      <c r="E42">
        <f t="shared" si="1"/>
        <v>-0.60975043396575224</v>
      </c>
      <c r="F42">
        <f t="shared" si="2"/>
        <v>15.088064787125225</v>
      </c>
      <c r="G42">
        <f t="shared" si="3"/>
        <v>16.395966117186141</v>
      </c>
      <c r="H42">
        <f t="shared" si="4"/>
        <v>15.153407572023042</v>
      </c>
      <c r="I42">
        <f t="shared" si="5"/>
        <v>14.687731353116485</v>
      </c>
      <c r="J42">
        <f t="shared" si="7"/>
        <v>15.313943205770919</v>
      </c>
      <c r="K42">
        <f t="shared" si="8"/>
        <v>0.64006726717715745</v>
      </c>
      <c r="L42">
        <f t="shared" si="9"/>
        <v>15.313943205770919</v>
      </c>
    </row>
    <row r="43" spans="2:12" x14ac:dyDescent="0.25">
      <c r="B43">
        <v>2002</v>
      </c>
      <c r="C43">
        <v>897873.61107529094</v>
      </c>
      <c r="D43">
        <f t="shared" si="0"/>
        <v>13.707784592473821</v>
      </c>
      <c r="E43">
        <f t="shared" si="1"/>
        <v>-0.77052976068565115</v>
      </c>
      <c r="F43">
        <f t="shared" si="2"/>
        <v>14.478314353159472</v>
      </c>
      <c r="G43">
        <f t="shared" si="3"/>
        <v>15.088064787125225</v>
      </c>
      <c r="H43">
        <f t="shared" si="4"/>
        <v>16.395966117186141</v>
      </c>
      <c r="I43">
        <f t="shared" si="5"/>
        <v>15.153407572023042</v>
      </c>
      <c r="J43">
        <f t="shared" si="7"/>
        <v>14.687731353116485</v>
      </c>
      <c r="K43">
        <f t="shared" si="8"/>
        <v>0.74507733588904035</v>
      </c>
      <c r="L43">
        <f t="shared" si="9"/>
        <v>14.687731353116485</v>
      </c>
    </row>
    <row r="44" spans="2:12" x14ac:dyDescent="0.25">
      <c r="B44">
        <v>2003</v>
      </c>
      <c r="C44">
        <v>2001790.1856400799</v>
      </c>
      <c r="D44">
        <f t="shared" si="0"/>
        <v>14.509552430987567</v>
      </c>
      <c r="E44">
        <f t="shared" si="1"/>
        <v>0.80176783851374545</v>
      </c>
      <c r="F44">
        <f t="shared" si="2"/>
        <v>13.707784592473821</v>
      </c>
      <c r="G44">
        <f t="shared" si="3"/>
        <v>14.478314353159472</v>
      </c>
      <c r="H44">
        <f t="shared" si="4"/>
        <v>15.088064787125225</v>
      </c>
      <c r="I44">
        <f t="shared" si="5"/>
        <v>16.395966117186141</v>
      </c>
      <c r="J44">
        <f t="shared" si="7"/>
        <v>15.153407572023042</v>
      </c>
      <c r="K44">
        <f t="shared" si="8"/>
        <v>0.98941389917155931</v>
      </c>
      <c r="L44">
        <f t="shared" si="9"/>
        <v>15.153407572023042</v>
      </c>
    </row>
    <row r="45" spans="2:12" x14ac:dyDescent="0.25">
      <c r="B45">
        <v>2004</v>
      </c>
      <c r="C45">
        <v>8091278.3092360198</v>
      </c>
      <c r="D45">
        <f t="shared" si="0"/>
        <v>15.906297287582657</v>
      </c>
      <c r="E45">
        <f t="shared" si="1"/>
        <v>1.39674485659509</v>
      </c>
      <c r="F45">
        <f t="shared" si="2"/>
        <v>14.509552430987567</v>
      </c>
      <c r="G45">
        <f t="shared" si="3"/>
        <v>13.707784592473821</v>
      </c>
      <c r="H45">
        <f t="shared" si="4"/>
        <v>14.478314353159472</v>
      </c>
      <c r="I45">
        <f t="shared" si="5"/>
        <v>15.088064787125225</v>
      </c>
      <c r="J45">
        <f t="shared" si="7"/>
        <v>16.395966117186141</v>
      </c>
      <c r="K45">
        <f t="shared" si="8"/>
        <v>1.0005508441025779</v>
      </c>
      <c r="L45">
        <f t="shared" si="9"/>
        <v>16.395966117186141</v>
      </c>
    </row>
    <row r="46" spans="2:12" x14ac:dyDescent="0.25">
      <c r="B46">
        <v>2005</v>
      </c>
      <c r="C46">
        <v>2867678.88875543</v>
      </c>
      <c r="D46">
        <f t="shared" si="0"/>
        <v>14.869013510958874</v>
      </c>
      <c r="E46">
        <f t="shared" si="1"/>
        <v>-1.0372837766237826</v>
      </c>
      <c r="F46">
        <f t="shared" si="2"/>
        <v>15.906297287582657</v>
      </c>
      <c r="G46">
        <f t="shared" si="3"/>
        <v>14.509552430987567</v>
      </c>
      <c r="H46">
        <f t="shared" si="4"/>
        <v>13.707784592473821</v>
      </c>
      <c r="I46">
        <f t="shared" si="5"/>
        <v>14.478314353159472</v>
      </c>
      <c r="J46">
        <f t="shared" si="7"/>
        <v>15.088064787125225</v>
      </c>
      <c r="K46">
        <f t="shared" si="8"/>
        <v>0.81676689149794113</v>
      </c>
      <c r="L46">
        <f t="shared" si="9"/>
        <v>15.088064787125225</v>
      </c>
    </row>
    <row r="47" spans="2:12" x14ac:dyDescent="0.25">
      <c r="B47">
        <v>2006</v>
      </c>
      <c r="C47">
        <v>5715389.7959823199</v>
      </c>
      <c r="D47">
        <f t="shared" si="0"/>
        <v>15.558673058656325</v>
      </c>
      <c r="E47">
        <f t="shared" si="1"/>
        <v>0.68965954769745075</v>
      </c>
      <c r="F47">
        <f t="shared" si="2"/>
        <v>14.869013510958874</v>
      </c>
      <c r="G47">
        <f t="shared" si="3"/>
        <v>15.906297287582657</v>
      </c>
      <c r="H47">
        <f t="shared" si="4"/>
        <v>14.509552430987567</v>
      </c>
      <c r="I47">
        <f t="shared" si="5"/>
        <v>13.707784592473821</v>
      </c>
      <c r="J47">
        <f t="shared" si="7"/>
        <v>14.478314353159472</v>
      </c>
      <c r="K47">
        <f t="shared" si="8"/>
        <v>0.79897689130409932</v>
      </c>
      <c r="L47">
        <f t="shared" si="9"/>
        <v>14.478314353159472</v>
      </c>
    </row>
    <row r="48" spans="2:12" x14ac:dyDescent="0.25">
      <c r="B48">
        <v>2007</v>
      </c>
      <c r="C48">
        <v>5917491.9635800105</v>
      </c>
      <c r="D48">
        <f t="shared" si="0"/>
        <v>15.593423262292465</v>
      </c>
      <c r="E48">
        <f t="shared" si="1"/>
        <v>3.4750203636139787E-2</v>
      </c>
      <c r="F48">
        <f t="shared" si="2"/>
        <v>15.558673058656325</v>
      </c>
      <c r="G48">
        <f t="shared" si="3"/>
        <v>14.869013510958874</v>
      </c>
      <c r="H48">
        <f t="shared" si="4"/>
        <v>15.906297287582657</v>
      </c>
      <c r="I48">
        <f t="shared" si="5"/>
        <v>14.509552430987567</v>
      </c>
      <c r="J48">
        <f t="shared" si="7"/>
        <v>13.707784592473821</v>
      </c>
      <c r="K48">
        <f t="shared" si="8"/>
        <v>0.86901448595969755</v>
      </c>
      <c r="L48">
        <f t="shared" si="9"/>
        <v>13.707784592473821</v>
      </c>
    </row>
    <row r="49" spans="2:16" x14ac:dyDescent="0.25">
      <c r="B49">
        <v>2008</v>
      </c>
      <c r="C49">
        <v>6032351.80396102</v>
      </c>
      <c r="D49">
        <f t="shared" si="0"/>
        <v>15.612647509907047</v>
      </c>
      <c r="E49">
        <f t="shared" si="1"/>
        <v>1.9224247614582524E-2</v>
      </c>
      <c r="F49">
        <f t="shared" si="2"/>
        <v>15.593423262292465</v>
      </c>
      <c r="G49">
        <f t="shared" si="3"/>
        <v>15.558673058656325</v>
      </c>
      <c r="H49">
        <f t="shared" si="4"/>
        <v>14.869013510958874</v>
      </c>
      <c r="I49">
        <f t="shared" si="5"/>
        <v>15.906297287582657</v>
      </c>
      <c r="J49">
        <f t="shared" si="7"/>
        <v>14.509552430987567</v>
      </c>
      <c r="K49">
        <f t="shared" si="8"/>
        <v>0.57670773718095925</v>
      </c>
      <c r="L49">
        <f t="shared" si="9"/>
        <v>14.509552430987567</v>
      </c>
    </row>
    <row r="50" spans="2:16" x14ac:dyDescent="0.25">
      <c r="B50">
        <v>2009</v>
      </c>
      <c r="C50">
        <v>6961784.0938240103</v>
      </c>
      <c r="D50">
        <f t="shared" si="0"/>
        <v>15.755946334781859</v>
      </c>
      <c r="E50">
        <f t="shared" si="1"/>
        <v>0.14329882487481171</v>
      </c>
      <c r="F50">
        <f t="shared" si="2"/>
        <v>15.612647509907047</v>
      </c>
      <c r="G50">
        <f t="shared" si="3"/>
        <v>15.593423262292465</v>
      </c>
      <c r="H50">
        <f t="shared" si="4"/>
        <v>15.558673058656325</v>
      </c>
      <c r="I50">
        <f t="shared" si="5"/>
        <v>14.869013510958874</v>
      </c>
      <c r="J50">
        <f t="shared" si="7"/>
        <v>15.906297287582657</v>
      </c>
      <c r="K50">
        <f t="shared" si="8"/>
        <v>0.38332768482720897</v>
      </c>
      <c r="L50">
        <f t="shared" si="9"/>
        <v>15.906297287582657</v>
      </c>
    </row>
    <row r="51" spans="2:16" x14ac:dyDescent="0.25">
      <c r="B51">
        <v>2010</v>
      </c>
      <c r="C51">
        <v>10779329.067299999</v>
      </c>
      <c r="D51">
        <f t="shared" si="0"/>
        <v>16.193140882853303</v>
      </c>
      <c r="E51">
        <f t="shared" si="1"/>
        <v>0.43719454807144409</v>
      </c>
      <c r="F51">
        <f t="shared" si="2"/>
        <v>15.755946334781859</v>
      </c>
      <c r="G51">
        <f t="shared" si="3"/>
        <v>15.612647509907047</v>
      </c>
      <c r="H51">
        <f t="shared" si="4"/>
        <v>15.593423262292465</v>
      </c>
      <c r="I51">
        <f t="shared" si="5"/>
        <v>15.558673058656325</v>
      </c>
      <c r="J51">
        <f t="shared" si="7"/>
        <v>14.869013510958874</v>
      </c>
      <c r="K51">
        <f t="shared" si="8"/>
        <v>0.34859694314751416</v>
      </c>
      <c r="L51">
        <f t="shared" si="9"/>
        <v>14.869013510958874</v>
      </c>
    </row>
    <row r="52" spans="2:16" x14ac:dyDescent="0.25">
      <c r="B52">
        <v>2011</v>
      </c>
      <c r="C52">
        <v>7228364.4379280498</v>
      </c>
      <c r="D52">
        <f t="shared" si="0"/>
        <v>15.793523349723147</v>
      </c>
      <c r="E52">
        <f t="shared" si="1"/>
        <v>-0.39961753313015613</v>
      </c>
      <c r="F52">
        <f t="shared" si="2"/>
        <v>16.193140882853303</v>
      </c>
      <c r="G52">
        <f t="shared" si="3"/>
        <v>15.755946334781859</v>
      </c>
      <c r="H52">
        <f t="shared" si="4"/>
        <v>15.612647509907047</v>
      </c>
      <c r="I52">
        <f t="shared" si="5"/>
        <v>15.593423262292465</v>
      </c>
      <c r="J52">
        <f t="shared" si="7"/>
        <v>15.558673058656325</v>
      </c>
      <c r="K52">
        <f t="shared" si="8"/>
        <v>0.26274300283379848</v>
      </c>
      <c r="L52">
        <f t="shared" si="9"/>
        <v>15.558673058656325</v>
      </c>
    </row>
    <row r="53" spans="2:16" x14ac:dyDescent="0.25">
      <c r="B53">
        <v>2012</v>
      </c>
      <c r="C53">
        <v>12269042.282512899</v>
      </c>
      <c r="D53">
        <f t="shared" si="0"/>
        <v>16.322589760055823</v>
      </c>
      <c r="E53">
        <f t="shared" si="1"/>
        <v>0.52906641033267654</v>
      </c>
      <c r="F53">
        <f t="shared" si="2"/>
        <v>15.793523349723147</v>
      </c>
      <c r="G53">
        <f t="shared" si="3"/>
        <v>16.193140882853303</v>
      </c>
      <c r="H53">
        <f t="shared" si="4"/>
        <v>15.755946334781859</v>
      </c>
      <c r="I53">
        <f t="shared" si="5"/>
        <v>15.612647509907047</v>
      </c>
      <c r="J53">
        <f t="shared" si="7"/>
        <v>15.593423262292465</v>
      </c>
      <c r="K53">
        <f t="shared" si="8"/>
        <v>0.24175949273639552</v>
      </c>
      <c r="L53">
        <f t="shared" si="9"/>
        <v>15.593423262292465</v>
      </c>
    </row>
    <row r="54" spans="2:16" x14ac:dyDescent="0.25">
      <c r="B54">
        <v>2013</v>
      </c>
      <c r="C54">
        <v>6325832.5504131103</v>
      </c>
      <c r="D54">
        <f t="shared" si="0"/>
        <v>15.660152212439396</v>
      </c>
      <c r="E54">
        <f t="shared" si="1"/>
        <v>-0.66243754761642748</v>
      </c>
      <c r="F54">
        <f t="shared" si="2"/>
        <v>16.322589760055823</v>
      </c>
      <c r="G54">
        <f t="shared" si="3"/>
        <v>15.793523349723147</v>
      </c>
      <c r="H54">
        <f t="shared" si="4"/>
        <v>16.193140882853303</v>
      </c>
      <c r="I54">
        <f t="shared" si="5"/>
        <v>15.755946334781859</v>
      </c>
      <c r="J54">
        <f t="shared" si="7"/>
        <v>15.612647509907047</v>
      </c>
      <c r="K54">
        <f t="shared" si="8"/>
        <v>0.30530636291095714</v>
      </c>
      <c r="L54">
        <f t="shared" si="9"/>
        <v>15.612647509907047</v>
      </c>
    </row>
    <row r="55" spans="2:16" x14ac:dyDescent="0.25">
      <c r="B55">
        <v>2014</v>
      </c>
      <c r="C55">
        <v>17609473.737065502</v>
      </c>
      <c r="D55">
        <f t="shared" si="0"/>
        <v>16.683947595702477</v>
      </c>
      <c r="E55">
        <f t="shared" si="1"/>
        <v>1.0237953832630815</v>
      </c>
      <c r="F55">
        <f t="shared" si="2"/>
        <v>15.660152212439396</v>
      </c>
      <c r="G55">
        <f t="shared" si="3"/>
        <v>16.322589760055823</v>
      </c>
      <c r="H55">
        <f t="shared" si="4"/>
        <v>15.793523349723147</v>
      </c>
      <c r="I55">
        <f t="shared" si="5"/>
        <v>16.193140882853303</v>
      </c>
      <c r="J55">
        <f t="shared" si="7"/>
        <v>15.755946334781859</v>
      </c>
      <c r="K55">
        <f t="shared" si="8"/>
        <v>0.2932458975736239</v>
      </c>
      <c r="L55">
        <f t="shared" si="9"/>
        <v>15.755946334781859</v>
      </c>
    </row>
    <row r="56" spans="2:16" x14ac:dyDescent="0.25">
      <c r="B56">
        <v>2015</v>
      </c>
      <c r="C56">
        <v>23103789.688104901</v>
      </c>
      <c r="D56">
        <f t="shared" si="0"/>
        <v>16.955507217798463</v>
      </c>
      <c r="E56">
        <f t="shared" si="1"/>
        <v>0.27155962209598528</v>
      </c>
      <c r="F56">
        <f t="shared" si="2"/>
        <v>16.683947595702477</v>
      </c>
      <c r="G56">
        <f t="shared" si="3"/>
        <v>15.660152212439396</v>
      </c>
      <c r="H56">
        <f t="shared" si="4"/>
        <v>16.322589760055823</v>
      </c>
      <c r="I56">
        <f t="shared" si="5"/>
        <v>15.793523349723147</v>
      </c>
      <c r="J56">
        <f t="shared" si="7"/>
        <v>16.193140882853303</v>
      </c>
      <c r="K56">
        <f t="shared" si="8"/>
        <v>0.41288822809920644</v>
      </c>
      <c r="L56">
        <f t="shared" si="9"/>
        <v>16.193140882853303</v>
      </c>
    </row>
    <row r="57" spans="2:16" x14ac:dyDescent="0.25">
      <c r="B57">
        <v>2016</v>
      </c>
      <c r="C57">
        <v>14195449.420887001</v>
      </c>
      <c r="D57">
        <f t="shared" si="0"/>
        <v>16.468432007894329</v>
      </c>
      <c r="E57">
        <f t="shared" si="1"/>
        <v>-0.487075209904134</v>
      </c>
      <c r="F57">
        <f t="shared" si="2"/>
        <v>16.955507217798463</v>
      </c>
      <c r="G57">
        <f t="shared" si="3"/>
        <v>16.683947595702477</v>
      </c>
      <c r="H57">
        <f t="shared" si="4"/>
        <v>15.660152212439396</v>
      </c>
      <c r="I57">
        <f t="shared" si="5"/>
        <v>16.322589760055823</v>
      </c>
      <c r="J57">
        <f t="shared" si="7"/>
        <v>15.793523349723147</v>
      </c>
      <c r="K57">
        <f t="shared" si="8"/>
        <v>0.55725194829363345</v>
      </c>
      <c r="L57">
        <f t="shared" si="9"/>
        <v>15.793523349723147</v>
      </c>
    </row>
    <row r="58" spans="2:16" x14ac:dyDescent="0.25">
      <c r="B58">
        <v>2017</v>
      </c>
      <c r="C58">
        <v>7250329.0924582602</v>
      </c>
      <c r="D58">
        <f t="shared" si="0"/>
        <v>15.796557417863877</v>
      </c>
      <c r="E58">
        <f t="shared" si="1"/>
        <v>-0.67187459003045191</v>
      </c>
      <c r="F58">
        <f t="shared" si="2"/>
        <v>16.468432007894329</v>
      </c>
      <c r="G58">
        <f t="shared" si="3"/>
        <v>16.955507217798463</v>
      </c>
      <c r="H58">
        <f t="shared" si="4"/>
        <v>16.683947595702477</v>
      </c>
      <c r="I58">
        <f t="shared" si="5"/>
        <v>15.660152212439396</v>
      </c>
      <c r="J58">
        <f t="shared" si="7"/>
        <v>16.322589760055823</v>
      </c>
      <c r="K58">
        <f t="shared" si="8"/>
        <v>0.48621544200744554</v>
      </c>
      <c r="L58">
        <f t="shared" si="9"/>
        <v>16.322589760055823</v>
      </c>
    </row>
    <row r="59" spans="2:16" x14ac:dyDescent="0.25">
      <c r="B59">
        <v>2018</v>
      </c>
      <c r="C59">
        <v>7466680.0053188298</v>
      </c>
      <c r="D59">
        <f t="shared" si="0"/>
        <v>15.825961014582193</v>
      </c>
      <c r="E59">
        <f t="shared" si="1"/>
        <v>2.9403596718315939E-2</v>
      </c>
      <c r="F59">
        <f t="shared" si="2"/>
        <v>15.796557417863877</v>
      </c>
      <c r="G59">
        <f t="shared" si="3"/>
        <v>16.468432007894329</v>
      </c>
      <c r="H59">
        <f t="shared" si="4"/>
        <v>16.955507217798463</v>
      </c>
      <c r="I59">
        <f t="shared" si="5"/>
        <v>16.683947595702477</v>
      </c>
      <c r="J59">
        <f t="shared" si="7"/>
        <v>15.660152212439396</v>
      </c>
      <c r="K59">
        <f t="shared" si="8"/>
        <v>0.56291648904490887</v>
      </c>
      <c r="L59">
        <f t="shared" si="9"/>
        <v>15.660152212439396</v>
      </c>
    </row>
    <row r="60" spans="2:16" x14ac:dyDescent="0.25">
      <c r="B60">
        <v>2019</v>
      </c>
      <c r="C60">
        <v>7936268.7898550499</v>
      </c>
      <c r="D60">
        <f t="shared" si="0"/>
        <v>15.886953797062677</v>
      </c>
      <c r="E60">
        <f t="shared" si="1"/>
        <v>6.0992782480484564E-2</v>
      </c>
      <c r="F60">
        <f t="shared" si="2"/>
        <v>15.825961014582193</v>
      </c>
      <c r="G60">
        <f t="shared" si="3"/>
        <v>15.796557417863877</v>
      </c>
      <c r="H60">
        <f t="shared" si="4"/>
        <v>16.468432007894329</v>
      </c>
      <c r="I60">
        <f t="shared" si="5"/>
        <v>16.955507217798463</v>
      </c>
      <c r="J60">
        <f t="shared" si="7"/>
        <v>16.683947595702477</v>
      </c>
      <c r="K60">
        <f t="shared" si="8"/>
        <v>0.51793457287557143</v>
      </c>
      <c r="L60">
        <f t="shared" si="9"/>
        <v>16.683947595702477</v>
      </c>
    </row>
    <row r="61" spans="2:16" x14ac:dyDescent="0.25">
      <c r="B61">
        <v>2020</v>
      </c>
      <c r="C61">
        <v>9866664.5982990097</v>
      </c>
      <c r="D61">
        <f t="shared" si="0"/>
        <v>16.104672420994302</v>
      </c>
      <c r="E61">
        <f t="shared" si="1"/>
        <v>0.21771862393162422</v>
      </c>
      <c r="F61">
        <f t="shared" si="2"/>
        <v>15.886953797062677</v>
      </c>
      <c r="G61">
        <f t="shared" si="3"/>
        <v>15.825961014582193</v>
      </c>
      <c r="H61">
        <f t="shared" si="4"/>
        <v>15.796557417863877</v>
      </c>
      <c r="I61">
        <f t="shared" si="5"/>
        <v>16.468432007894329</v>
      </c>
      <c r="J61">
        <f t="shared" si="7"/>
        <v>16.955507217798463</v>
      </c>
      <c r="K61">
        <f t="shared" si="8"/>
        <v>0.51054605497804995</v>
      </c>
      <c r="L61">
        <f t="shared" si="9"/>
        <v>16.955507217798463</v>
      </c>
    </row>
    <row r="62" spans="2:16" x14ac:dyDescent="0.25">
      <c r="B62">
        <v>2021</v>
      </c>
      <c r="C62">
        <v>8907367.5156074204</v>
      </c>
      <c r="D62">
        <f t="shared" si="0"/>
        <v>16.002389302998438</v>
      </c>
      <c r="E62">
        <f t="shared" si="1"/>
        <v>-0.10228311799586365</v>
      </c>
      <c r="F62">
        <f t="shared" si="2"/>
        <v>16.104672420994302</v>
      </c>
      <c r="G62">
        <f t="shared" si="3"/>
        <v>15.886953797062677</v>
      </c>
      <c r="H62">
        <f t="shared" si="4"/>
        <v>15.825961014582193</v>
      </c>
      <c r="I62">
        <f t="shared" si="5"/>
        <v>15.796557417863877</v>
      </c>
      <c r="J62">
        <f t="shared" si="7"/>
        <v>16.468432007894329</v>
      </c>
      <c r="K62">
        <f t="shared" si="8"/>
        <v>0.27994596688661394</v>
      </c>
      <c r="L62">
        <f t="shared" si="9"/>
        <v>16.468432007894329</v>
      </c>
    </row>
    <row r="63" spans="2:16" x14ac:dyDescent="0.25">
      <c r="B63">
        <v>2022</v>
      </c>
      <c r="C63">
        <v>13647265.5899143</v>
      </c>
      <c r="D63">
        <f t="shared" si="0"/>
        <v>16.429049736444693</v>
      </c>
      <c r="E63">
        <f t="shared" si="1"/>
        <v>0.42666043344625493</v>
      </c>
      <c r="F63">
        <f t="shared" si="2"/>
        <v>16.002389302998438</v>
      </c>
      <c r="G63">
        <f t="shared" si="3"/>
        <v>16.104672420994302</v>
      </c>
      <c r="H63">
        <f t="shared" si="4"/>
        <v>15.886953797062677</v>
      </c>
      <c r="I63">
        <f t="shared" si="5"/>
        <v>15.825961014582193</v>
      </c>
      <c r="J63">
        <f t="shared" si="7"/>
        <v>15.796557417863877</v>
      </c>
      <c r="K63">
        <f t="shared" si="8"/>
        <v>0.12846271773573636</v>
      </c>
      <c r="L63">
        <f t="shared" si="9"/>
        <v>15.796557417863877</v>
      </c>
      <c r="O63">
        <f>EXP(0.3*0.3/2)</f>
        <v>1.0460278599087169</v>
      </c>
      <c r="P63" t="s">
        <v>52</v>
      </c>
    </row>
    <row r="64" spans="2:16" x14ac:dyDescent="0.25">
      <c r="B64">
        <v>2023</v>
      </c>
      <c r="C64">
        <v>8759375.6699135397</v>
      </c>
      <c r="D64">
        <f t="shared" si="0"/>
        <v>15.985635189814893</v>
      </c>
      <c r="E64">
        <f t="shared" si="1"/>
        <v>-0.44341454662979984</v>
      </c>
      <c r="F64">
        <f t="shared" si="2"/>
        <v>16.429049736444693</v>
      </c>
      <c r="G64">
        <f t="shared" si="3"/>
        <v>16.002389302998438</v>
      </c>
      <c r="H64">
        <f t="shared" si="4"/>
        <v>16.104672420994302</v>
      </c>
      <c r="I64">
        <f t="shared" si="5"/>
        <v>15.886953797062677</v>
      </c>
      <c r="J64">
        <f t="shared" si="7"/>
        <v>15.825961014582193</v>
      </c>
      <c r="K64">
        <f t="shared" si="8"/>
        <v>0.23754573056321771</v>
      </c>
      <c r="L64">
        <f t="shared" si="9"/>
        <v>15.825961014582193</v>
      </c>
      <c r="O64">
        <f>O63*S84</f>
        <v>13169314.20697069</v>
      </c>
      <c r="P64" t="s">
        <v>53</v>
      </c>
    </row>
    <row r="65" spans="2:12" ht="15.75" thickBot="1" x14ac:dyDescent="0.3">
      <c r="B65">
        <v>2024</v>
      </c>
      <c r="C65" s="10">
        <v>12207052.9844853</v>
      </c>
      <c r="D65" s="1">
        <f t="shared" si="0"/>
        <v>16.317524456142664</v>
      </c>
      <c r="E65" s="1">
        <f t="shared" si="1"/>
        <v>0.33188926632777083</v>
      </c>
      <c r="F65">
        <f t="shared" si="2"/>
        <v>15.985635189814893</v>
      </c>
      <c r="G65">
        <f t="shared" si="3"/>
        <v>16.429049736444693</v>
      </c>
      <c r="H65">
        <f t="shared" si="4"/>
        <v>16.002389302998438</v>
      </c>
      <c r="I65">
        <f t="shared" si="5"/>
        <v>16.104672420994302</v>
      </c>
      <c r="J65">
        <f t="shared" si="7"/>
        <v>15.886953797062677</v>
      </c>
      <c r="K65">
        <f t="shared" si="8"/>
        <v>0.20894035122014543</v>
      </c>
      <c r="L65">
        <f t="shared" si="9"/>
        <v>15.886953797062677</v>
      </c>
    </row>
    <row r="66" spans="2:12" x14ac:dyDescent="0.25">
      <c r="B66">
        <v>2025</v>
      </c>
    </row>
    <row r="83" spans="1:21" x14ac:dyDescent="0.25">
      <c r="J83" t="s">
        <v>54</v>
      </c>
      <c r="K83" t="s">
        <v>55</v>
      </c>
    </row>
    <row r="84" spans="1:21" x14ac:dyDescent="0.25">
      <c r="K84" t="s">
        <v>56</v>
      </c>
      <c r="P84">
        <f>0.0271*2024-38.502</f>
        <v>16.348399999999998</v>
      </c>
      <c r="Q84" t="s">
        <v>57</v>
      </c>
      <c r="S84" s="1">
        <f>EXP(P84)</f>
        <v>12589831.219332846</v>
      </c>
      <c r="U84" t="s">
        <v>58</v>
      </c>
    </row>
    <row r="86" spans="1:21" x14ac:dyDescent="0.25">
      <c r="A86" t="s">
        <v>59</v>
      </c>
    </row>
    <row r="88" spans="1:21" x14ac:dyDescent="0.25">
      <c r="B88" t="s">
        <v>60</v>
      </c>
      <c r="C88" t="s">
        <v>61</v>
      </c>
      <c r="D88" t="s">
        <v>62</v>
      </c>
      <c r="E88" s="6" t="s">
        <v>63</v>
      </c>
      <c r="F88" t="s">
        <v>64</v>
      </c>
      <c r="G88" t="s">
        <v>65</v>
      </c>
      <c r="H88" t="s">
        <v>66</v>
      </c>
      <c r="I88" t="s">
        <v>67</v>
      </c>
      <c r="J88" t="s">
        <v>68</v>
      </c>
      <c r="K88" t="s">
        <v>69</v>
      </c>
      <c r="L88" t="s">
        <v>70</v>
      </c>
      <c r="M88" t="s">
        <v>71</v>
      </c>
      <c r="N88" t="s">
        <v>72</v>
      </c>
      <c r="O88" t="s">
        <v>73</v>
      </c>
    </row>
    <row r="89" spans="1:21" x14ac:dyDescent="0.25">
      <c r="A89">
        <v>187</v>
      </c>
      <c r="B89" t="s">
        <v>74</v>
      </c>
      <c r="C89" t="s">
        <v>9</v>
      </c>
      <c r="D89">
        <v>1963</v>
      </c>
      <c r="E89" s="6">
        <v>615338.55230708898</v>
      </c>
      <c r="F89" s="6">
        <v>0</v>
      </c>
      <c r="G89" s="6">
        <v>236513.57398061099</v>
      </c>
      <c r="H89" s="6">
        <v>32838.213624787997</v>
      </c>
      <c r="I89" s="6">
        <v>1413.2161024413101</v>
      </c>
      <c r="J89" s="6">
        <v>950.67647355980296</v>
      </c>
      <c r="K89" s="6">
        <v>139962.01179751</v>
      </c>
      <c r="L89" s="6">
        <v>203660.860328176</v>
      </c>
      <c r="M89" s="6">
        <v>0</v>
      </c>
      <c r="N89" s="11">
        <v>1.2134540070476101E-9</v>
      </c>
      <c r="O89" s="11">
        <v>1.82019968594032E-9</v>
      </c>
      <c r="P89" s="6"/>
    </row>
    <row r="90" spans="1:21" x14ac:dyDescent="0.25">
      <c r="A90">
        <v>188</v>
      </c>
      <c r="B90" t="s">
        <v>74</v>
      </c>
      <c r="C90" t="s">
        <v>9</v>
      </c>
      <c r="D90">
        <v>1964</v>
      </c>
      <c r="E90" s="6">
        <v>2181685.0606461</v>
      </c>
      <c r="F90" s="6">
        <v>0</v>
      </c>
      <c r="G90" s="6">
        <v>1017276.97189771</v>
      </c>
      <c r="H90" s="6">
        <v>3.6439995883634002E-2</v>
      </c>
      <c r="I90" s="6">
        <v>6053.0501824393996</v>
      </c>
      <c r="J90" s="6">
        <v>889149.06843666197</v>
      </c>
      <c r="K90" s="6">
        <v>208488.97478894101</v>
      </c>
      <c r="L90" s="6">
        <v>59115.105091124497</v>
      </c>
      <c r="M90" s="6">
        <v>0</v>
      </c>
      <c r="N90" s="6">
        <v>1.14348973273215E-4</v>
      </c>
      <c r="O90" s="6">
        <v>1.3628018482204701E-4</v>
      </c>
      <c r="P90" s="6"/>
    </row>
    <row r="91" spans="1:21" x14ac:dyDescent="0.25">
      <c r="A91">
        <v>189</v>
      </c>
      <c r="B91" t="s">
        <v>74</v>
      </c>
      <c r="C91" t="s">
        <v>9</v>
      </c>
      <c r="D91">
        <v>1965</v>
      </c>
      <c r="E91" s="6">
        <v>48627304.922253497</v>
      </c>
      <c r="F91" s="11">
        <v>6.4734811635876797E-9</v>
      </c>
      <c r="G91" s="6">
        <v>415244.555149864</v>
      </c>
      <c r="H91" s="6">
        <v>456190.02356775303</v>
      </c>
      <c r="I91" s="11">
        <v>6.4731344951236803E-9</v>
      </c>
      <c r="J91" s="11">
        <v>1.6183702903242701E-8</v>
      </c>
      <c r="K91" s="6">
        <v>47748182.663724698</v>
      </c>
      <c r="L91" s="6">
        <v>5451.3745559352001</v>
      </c>
      <c r="M91" s="6">
        <v>0</v>
      </c>
      <c r="N91" s="6">
        <v>2236.3052551921201</v>
      </c>
      <c r="O91" s="11">
        <v>6.4731073528232301E-9</v>
      </c>
      <c r="P91" s="6"/>
    </row>
    <row r="92" spans="1:21" x14ac:dyDescent="0.25">
      <c r="A92">
        <v>190</v>
      </c>
      <c r="B92" t="s">
        <v>74</v>
      </c>
      <c r="C92" t="s">
        <v>9</v>
      </c>
      <c r="D92">
        <v>1966</v>
      </c>
      <c r="E92" s="6">
        <v>8915532.9824003708</v>
      </c>
      <c r="F92" s="6">
        <v>0</v>
      </c>
      <c r="G92" s="6">
        <v>107816.714581953</v>
      </c>
      <c r="H92" s="6">
        <v>201592.68823995101</v>
      </c>
      <c r="I92" s="6">
        <v>3127.99967308029</v>
      </c>
      <c r="J92" s="6">
        <v>1970.0098956567199</v>
      </c>
      <c r="K92" s="6">
        <v>2307308.59107592</v>
      </c>
      <c r="L92" s="6">
        <v>6282091.6168848099</v>
      </c>
      <c r="M92" s="11">
        <v>4.50190478308668E-9</v>
      </c>
      <c r="N92" s="6">
        <v>11625.3620489818</v>
      </c>
      <c r="O92" s="11">
        <v>7.2237989264657399E-9</v>
      </c>
      <c r="P92" s="6"/>
    </row>
    <row r="93" spans="1:21" x14ac:dyDescent="0.25">
      <c r="A93">
        <v>191</v>
      </c>
      <c r="B93" t="s">
        <v>74</v>
      </c>
      <c r="C93" t="s">
        <v>9</v>
      </c>
      <c r="D93">
        <v>1967</v>
      </c>
      <c r="E93" s="6">
        <v>5545422.5275684698</v>
      </c>
      <c r="F93" s="6">
        <v>3244.0076476665699</v>
      </c>
      <c r="G93" s="6">
        <v>31231.4774550076</v>
      </c>
      <c r="H93" s="6">
        <v>133172.548187807</v>
      </c>
      <c r="I93" s="11">
        <v>8.4461925010086907E-9</v>
      </c>
      <c r="J93" s="6">
        <v>112.552686077263</v>
      </c>
      <c r="K93" s="6">
        <v>4720118.3841321804</v>
      </c>
      <c r="L93" s="6">
        <v>647560.41177094902</v>
      </c>
      <c r="M93" s="6">
        <v>0</v>
      </c>
      <c r="N93" s="6">
        <v>5315.7104487675897</v>
      </c>
      <c r="O93" s="6">
        <v>4061.0512985697801</v>
      </c>
      <c r="P93" s="6"/>
    </row>
    <row r="94" spans="1:21" x14ac:dyDescent="0.25">
      <c r="A94">
        <v>192</v>
      </c>
      <c r="B94" t="s">
        <v>74</v>
      </c>
      <c r="C94" t="s">
        <v>9</v>
      </c>
      <c r="D94">
        <v>1968</v>
      </c>
      <c r="E94" s="6">
        <v>3975964.09609028</v>
      </c>
      <c r="F94" s="6">
        <v>23983.406129715899</v>
      </c>
      <c r="G94" s="6">
        <v>2288423.1753992001</v>
      </c>
      <c r="H94" s="6">
        <v>80022.549513591497</v>
      </c>
      <c r="I94" s="11">
        <v>5.0918422246855398E-9</v>
      </c>
      <c r="J94" s="6">
        <v>111881.73263013401</v>
      </c>
      <c r="K94" s="6">
        <v>925528.36137531896</v>
      </c>
      <c r="L94" s="6">
        <v>534851.17629857396</v>
      </c>
      <c r="M94" s="11">
        <v>4.6675220390698098E-9</v>
      </c>
      <c r="N94" s="6">
        <v>8962.9468112965296</v>
      </c>
      <c r="O94" s="6">
        <v>2310.7479324382998</v>
      </c>
      <c r="P94" s="6"/>
    </row>
    <row r="95" spans="1:21" x14ac:dyDescent="0.25">
      <c r="A95">
        <v>193</v>
      </c>
      <c r="B95" t="s">
        <v>74</v>
      </c>
      <c r="C95" t="s">
        <v>9</v>
      </c>
      <c r="D95">
        <v>1969</v>
      </c>
      <c r="E95" s="6">
        <v>14054748.965883199</v>
      </c>
      <c r="F95" s="6">
        <v>3428.68064300075</v>
      </c>
      <c r="G95" s="6">
        <v>10321864.2975106</v>
      </c>
      <c r="H95" s="6">
        <v>288370.72979837097</v>
      </c>
      <c r="I95" s="11">
        <v>1.0366170996501501E-8</v>
      </c>
      <c r="J95" s="6">
        <v>485628.76171769202</v>
      </c>
      <c r="K95" s="6">
        <v>2613880.9163131798</v>
      </c>
      <c r="L95" s="6">
        <v>336812.83809331199</v>
      </c>
      <c r="M95" s="6">
        <v>0</v>
      </c>
      <c r="N95" s="11">
        <v>1.24151444403899E-8</v>
      </c>
      <c r="O95" s="11">
        <v>3.36451567534655E-9</v>
      </c>
      <c r="P95" s="6"/>
    </row>
    <row r="96" spans="1:21" x14ac:dyDescent="0.25">
      <c r="A96">
        <v>194</v>
      </c>
      <c r="B96" t="s">
        <v>74</v>
      </c>
      <c r="C96" t="s">
        <v>9</v>
      </c>
      <c r="D96">
        <v>1970</v>
      </c>
      <c r="E96" s="6">
        <v>34839684.714753598</v>
      </c>
      <c r="F96" s="6">
        <v>0</v>
      </c>
      <c r="G96" s="6">
        <v>524321.60158961103</v>
      </c>
      <c r="H96" s="6">
        <v>299792.792135706</v>
      </c>
      <c r="I96" s="6">
        <v>3941.4377267740801</v>
      </c>
      <c r="J96" s="6">
        <v>16341.649688751701</v>
      </c>
      <c r="K96" s="6">
        <v>33528680.5191359</v>
      </c>
      <c r="L96" s="6">
        <v>446099.364717071</v>
      </c>
      <c r="M96" s="6">
        <v>0</v>
      </c>
      <c r="N96" s="6">
        <v>6605.6512938099704</v>
      </c>
      <c r="O96" s="6">
        <v>13901.698465933299</v>
      </c>
      <c r="P96" s="6"/>
    </row>
    <row r="97" spans="1:16" x14ac:dyDescent="0.25">
      <c r="A97">
        <v>195</v>
      </c>
      <c r="B97" t="s">
        <v>74</v>
      </c>
      <c r="C97" t="s">
        <v>9</v>
      </c>
      <c r="D97">
        <v>1971</v>
      </c>
      <c r="E97" s="6">
        <v>6978106.78415245</v>
      </c>
      <c r="F97" s="6">
        <v>0</v>
      </c>
      <c r="G97" s="6">
        <v>342819.37797853898</v>
      </c>
      <c r="H97" s="6">
        <v>885877.93522364099</v>
      </c>
      <c r="I97" s="11">
        <v>2.0704731800459101E-8</v>
      </c>
      <c r="J97" s="6">
        <v>2298.77664670371</v>
      </c>
      <c r="K97" s="6">
        <v>4568770.7146490002</v>
      </c>
      <c r="L97" s="6">
        <v>1159447.18128052</v>
      </c>
      <c r="M97" s="6">
        <v>0</v>
      </c>
      <c r="N97" s="6">
        <v>1291.70616674041</v>
      </c>
      <c r="O97" s="6">
        <v>1067.79256849026</v>
      </c>
      <c r="P97" s="6"/>
    </row>
    <row r="98" spans="1:16" x14ac:dyDescent="0.25">
      <c r="A98">
        <v>196</v>
      </c>
      <c r="B98" t="s">
        <v>74</v>
      </c>
      <c r="C98" t="s">
        <v>9</v>
      </c>
      <c r="D98">
        <v>1972</v>
      </c>
      <c r="E98" s="6">
        <v>2132286.5784225399</v>
      </c>
      <c r="F98" s="11">
        <v>1.4582715927089799E-7</v>
      </c>
      <c r="G98" s="6">
        <v>300687.473853954</v>
      </c>
      <c r="H98" s="6">
        <v>321956.12171723403</v>
      </c>
      <c r="I98" s="11">
        <v>3.8641979243172696E-9</v>
      </c>
      <c r="J98" s="6">
        <v>0</v>
      </c>
      <c r="K98" s="6">
        <v>991238.60821921704</v>
      </c>
      <c r="L98" s="6">
        <v>517436.37635189103</v>
      </c>
      <c r="M98" s="11">
        <v>3.8641979243172696E-9</v>
      </c>
      <c r="N98" s="11">
        <v>3.2171672115517699E-9</v>
      </c>
      <c r="O98" s="11">
        <v>6.7582714304444103E-9</v>
      </c>
      <c r="P98" s="6"/>
    </row>
    <row r="99" spans="1:16" x14ac:dyDescent="0.25">
      <c r="A99">
        <v>197</v>
      </c>
      <c r="B99" t="s">
        <v>74</v>
      </c>
      <c r="C99" t="s">
        <v>9</v>
      </c>
      <c r="D99">
        <v>1973</v>
      </c>
      <c r="E99" s="6">
        <v>410486.629377626</v>
      </c>
      <c r="F99" s="6">
        <v>611.28821612377499</v>
      </c>
      <c r="G99" s="6">
        <v>149287.15980969401</v>
      </c>
      <c r="H99" s="6">
        <v>38561.098342685698</v>
      </c>
      <c r="I99" s="6">
        <v>64.795766703865894</v>
      </c>
      <c r="J99" s="6">
        <v>6123.7217852703097</v>
      </c>
      <c r="K99" s="6">
        <v>104011.23141438801</v>
      </c>
      <c r="L99" s="6">
        <v>109957.205306968</v>
      </c>
      <c r="M99" s="6">
        <v>1122.03837016585</v>
      </c>
      <c r="N99" s="11">
        <v>2.35572484391324E-9</v>
      </c>
      <c r="O99" s="11">
        <v>2.35590138796639E-9</v>
      </c>
      <c r="P99" s="6"/>
    </row>
    <row r="100" spans="1:16" x14ac:dyDescent="0.25">
      <c r="A100">
        <v>198</v>
      </c>
      <c r="B100" t="s">
        <v>74</v>
      </c>
      <c r="C100" t="s">
        <v>9</v>
      </c>
      <c r="D100">
        <v>1974</v>
      </c>
      <c r="E100" s="6">
        <v>5061353.0878230603</v>
      </c>
      <c r="F100" s="11">
        <v>5.1998226217797697E-9</v>
      </c>
      <c r="G100" s="6">
        <v>45470.509864138199</v>
      </c>
      <c r="H100" s="6">
        <v>321597.19322263502</v>
      </c>
      <c r="I100" s="6">
        <v>4513.7435752867996</v>
      </c>
      <c r="J100" s="6">
        <v>28962.3844788608</v>
      </c>
      <c r="K100" s="6">
        <v>4476992.47936102</v>
      </c>
      <c r="L100" s="6">
        <v>176511.82854775601</v>
      </c>
      <c r="M100" s="6">
        <v>0</v>
      </c>
      <c r="N100" s="6">
        <v>7304.9487733576598</v>
      </c>
      <c r="O100" s="6">
        <v>0</v>
      </c>
      <c r="P100" s="6"/>
    </row>
    <row r="101" spans="1:16" x14ac:dyDescent="0.25">
      <c r="A101">
        <v>199</v>
      </c>
      <c r="B101" t="s">
        <v>74</v>
      </c>
      <c r="C101" t="s">
        <v>9</v>
      </c>
      <c r="D101">
        <v>1975</v>
      </c>
      <c r="E101" s="6">
        <v>16219630.703430399</v>
      </c>
      <c r="F101" s="6">
        <v>4360.06811019631</v>
      </c>
      <c r="G101" s="6">
        <v>321013.17765240202</v>
      </c>
      <c r="H101" s="6">
        <v>40279.628289244603</v>
      </c>
      <c r="I101" s="6">
        <v>0</v>
      </c>
      <c r="J101" s="6">
        <v>45181.8589414011</v>
      </c>
      <c r="K101" s="6">
        <v>15247972.684442701</v>
      </c>
      <c r="L101" s="6">
        <v>546728.39253642003</v>
      </c>
      <c r="M101" s="11">
        <v>5.14160932686041E-9</v>
      </c>
      <c r="N101" s="6">
        <v>12149.343025313399</v>
      </c>
      <c r="O101" s="6">
        <v>1945.55043272688</v>
      </c>
      <c r="P101" s="6"/>
    </row>
    <row r="102" spans="1:16" x14ac:dyDescent="0.25">
      <c r="A102">
        <v>200</v>
      </c>
      <c r="B102" t="s">
        <v>74</v>
      </c>
      <c r="C102" t="s">
        <v>9</v>
      </c>
      <c r="D102">
        <v>1976</v>
      </c>
      <c r="E102" s="6">
        <v>3545332.4578460301</v>
      </c>
      <c r="F102" s="6">
        <v>0</v>
      </c>
      <c r="G102" s="6">
        <v>1971913.28735589</v>
      </c>
      <c r="H102" s="6">
        <v>653574.95887860295</v>
      </c>
      <c r="I102" s="6">
        <v>0</v>
      </c>
      <c r="J102" s="11">
        <v>1.20499395708021E-8</v>
      </c>
      <c r="K102" s="6">
        <v>919844.21161149302</v>
      </c>
      <c r="L102" s="11">
        <v>6.9803796727209902E-9</v>
      </c>
      <c r="M102" s="11">
        <v>3.1871829949283698E-9</v>
      </c>
      <c r="N102" s="11">
        <v>5.4438091976560896E-9</v>
      </c>
      <c r="O102" s="11">
        <v>6.9803796727209902E-9</v>
      </c>
      <c r="P102" s="6"/>
    </row>
    <row r="103" spans="1:16" x14ac:dyDescent="0.25">
      <c r="A103">
        <v>201</v>
      </c>
      <c r="B103" t="s">
        <v>74</v>
      </c>
      <c r="C103" t="s">
        <v>9</v>
      </c>
      <c r="D103">
        <v>1977</v>
      </c>
      <c r="E103" s="6">
        <v>1675472.2522378201</v>
      </c>
      <c r="F103" s="6">
        <v>14322.3273356756</v>
      </c>
      <c r="G103" s="6">
        <v>531509.24115837202</v>
      </c>
      <c r="H103" s="6">
        <v>142304.89789723299</v>
      </c>
      <c r="I103" s="6">
        <v>0</v>
      </c>
      <c r="J103" s="6">
        <v>2633.8726053597102</v>
      </c>
      <c r="K103" s="6">
        <v>886252.18755844398</v>
      </c>
      <c r="L103" s="6">
        <v>95528.556526089102</v>
      </c>
      <c r="M103" s="6">
        <v>0</v>
      </c>
      <c r="N103" s="6">
        <v>1142.3635035775101</v>
      </c>
      <c r="O103" s="6">
        <v>575.26567183069506</v>
      </c>
      <c r="P103" s="6"/>
    </row>
    <row r="104" spans="1:16" x14ac:dyDescent="0.25">
      <c r="A104">
        <v>202</v>
      </c>
      <c r="B104" t="s">
        <v>74</v>
      </c>
      <c r="C104" t="s">
        <v>9</v>
      </c>
      <c r="D104">
        <v>1978</v>
      </c>
      <c r="E104" s="6">
        <v>7919094.2165168803</v>
      </c>
      <c r="F104" s="6">
        <v>6365.4126111665</v>
      </c>
      <c r="G104" s="6">
        <v>6047998.6536522396</v>
      </c>
      <c r="H104" s="6">
        <v>1048800.1809499001</v>
      </c>
      <c r="I104" s="6">
        <v>10885.842712337701</v>
      </c>
      <c r="J104" s="6">
        <v>319232.37822618498</v>
      </c>
      <c r="K104" s="6">
        <v>252856.85488995301</v>
      </c>
      <c r="L104" s="6">
        <v>232954.89347503401</v>
      </c>
      <c r="M104" s="11">
        <v>1.7328910296168601E-8</v>
      </c>
      <c r="N104" s="11">
        <v>4.6276501760026702E-9</v>
      </c>
      <c r="O104" s="11">
        <v>1.22410940755429E-8</v>
      </c>
      <c r="P104" s="6"/>
    </row>
    <row r="105" spans="1:16" x14ac:dyDescent="0.25">
      <c r="A105">
        <v>203</v>
      </c>
      <c r="B105" t="s">
        <v>74</v>
      </c>
      <c r="C105" t="s">
        <v>9</v>
      </c>
      <c r="D105">
        <v>1979</v>
      </c>
      <c r="E105" s="6">
        <v>24927042.4540045</v>
      </c>
      <c r="F105" s="6">
        <v>5347.49659810923</v>
      </c>
      <c r="G105" s="6">
        <v>5468930.8903334299</v>
      </c>
      <c r="H105" s="6">
        <v>1845015.04188107</v>
      </c>
      <c r="I105" s="11">
        <v>5.7188353479628099E-9</v>
      </c>
      <c r="J105" s="6">
        <v>314282.12135203299</v>
      </c>
      <c r="K105" s="6">
        <v>16927229.392802</v>
      </c>
      <c r="L105" s="6">
        <v>351747.96348069201</v>
      </c>
      <c r="M105" s="6">
        <v>0</v>
      </c>
      <c r="N105" s="6">
        <v>14489.5475571925</v>
      </c>
      <c r="O105" s="11">
        <v>3.8076472953581E-9</v>
      </c>
      <c r="P105" s="6"/>
    </row>
    <row r="106" spans="1:16" x14ac:dyDescent="0.25">
      <c r="A106">
        <v>204</v>
      </c>
      <c r="B106" t="s">
        <v>74</v>
      </c>
      <c r="C106" t="s">
        <v>9</v>
      </c>
      <c r="D106">
        <v>1980</v>
      </c>
      <c r="E106" s="6">
        <v>37931680.058737203</v>
      </c>
      <c r="F106" s="6">
        <v>36698.777662187</v>
      </c>
      <c r="G106" s="6">
        <v>5940227.8133407403</v>
      </c>
      <c r="H106" s="6">
        <v>1305049.2148203901</v>
      </c>
      <c r="I106" s="11">
        <v>2.1549090155889098E-5</v>
      </c>
      <c r="J106" s="6">
        <v>37502.1260714565</v>
      </c>
      <c r="K106" s="6">
        <v>29958381.513267901</v>
      </c>
      <c r="L106" s="6">
        <v>616516.19861521502</v>
      </c>
      <c r="M106" s="6">
        <v>0</v>
      </c>
      <c r="N106" s="6">
        <v>14093.306121699299</v>
      </c>
      <c r="O106" s="11">
        <v>2.3505588266272998E-6</v>
      </c>
      <c r="P106" s="6"/>
    </row>
    <row r="107" spans="1:16" x14ac:dyDescent="0.25">
      <c r="A107">
        <v>205</v>
      </c>
      <c r="B107" t="s">
        <v>74</v>
      </c>
      <c r="C107" t="s">
        <v>9</v>
      </c>
      <c r="D107">
        <v>1981</v>
      </c>
      <c r="E107" s="6">
        <v>6901353.4879369996</v>
      </c>
      <c r="F107" s="6">
        <v>1122.3089614267101</v>
      </c>
      <c r="G107" s="6">
        <v>2024757.69932087</v>
      </c>
      <c r="H107" s="6">
        <v>675757.59228723298</v>
      </c>
      <c r="I107" s="6">
        <v>0</v>
      </c>
      <c r="J107" s="6">
        <v>2129.5298974832599</v>
      </c>
      <c r="K107" s="6">
        <v>3806685.5837902799</v>
      </c>
      <c r="L107" s="6">
        <v>382348.236280229</v>
      </c>
      <c r="M107" s="6">
        <v>0</v>
      </c>
      <c r="N107" s="6">
        <v>3653.67858709657</v>
      </c>
      <c r="O107" s="11">
        <v>2.7831486490083199E-9</v>
      </c>
      <c r="P107" s="6"/>
    </row>
    <row r="108" spans="1:16" x14ac:dyDescent="0.25">
      <c r="A108">
        <v>206</v>
      </c>
      <c r="B108" t="s">
        <v>74</v>
      </c>
      <c r="C108" t="s">
        <v>9</v>
      </c>
      <c r="D108">
        <v>1982</v>
      </c>
      <c r="E108" s="6">
        <v>2811875.1388541898</v>
      </c>
      <c r="F108" s="6">
        <v>53984.782116087597</v>
      </c>
      <c r="G108" s="6">
        <v>1613301.0436080501</v>
      </c>
      <c r="H108" s="6">
        <v>718009.887947749</v>
      </c>
      <c r="I108" s="6">
        <v>3355.2662134411098</v>
      </c>
      <c r="J108" s="6">
        <v>15273.289158937399</v>
      </c>
      <c r="K108" s="6">
        <v>174743.79652851101</v>
      </c>
      <c r="L108" s="6">
        <v>230825.95772394401</v>
      </c>
      <c r="M108" s="11">
        <v>2.5462005018912698E-9</v>
      </c>
      <c r="N108" s="6">
        <v>0</v>
      </c>
      <c r="O108" s="6">
        <v>0</v>
      </c>
      <c r="P108" s="6"/>
    </row>
    <row r="109" spans="1:16" x14ac:dyDescent="0.25">
      <c r="A109">
        <v>207</v>
      </c>
      <c r="B109" t="s">
        <v>74</v>
      </c>
      <c r="C109" t="s">
        <v>9</v>
      </c>
      <c r="D109">
        <v>1983</v>
      </c>
      <c r="E109" s="6">
        <v>21496871.565700501</v>
      </c>
      <c r="F109" s="6">
        <v>1374.28127294108</v>
      </c>
      <c r="G109" s="6">
        <v>18868217.354832299</v>
      </c>
      <c r="H109" s="6">
        <v>1063135.9708225101</v>
      </c>
      <c r="I109" s="11">
        <v>6.6720313338910101E-9</v>
      </c>
      <c r="J109" s="6">
        <v>69687.448925112796</v>
      </c>
      <c r="K109" s="6">
        <v>1372782.63166378</v>
      </c>
      <c r="L109" s="6">
        <v>121673.87818384101</v>
      </c>
      <c r="M109" s="11">
        <v>6.6720313338910101E-9</v>
      </c>
      <c r="N109" s="11">
        <v>4.4480179767705601E-9</v>
      </c>
      <c r="O109" s="11">
        <v>4.4480224468519103E-9</v>
      </c>
      <c r="P109" s="6"/>
    </row>
    <row r="110" spans="1:16" x14ac:dyDescent="0.25">
      <c r="A110">
        <v>208</v>
      </c>
      <c r="B110" t="s">
        <v>74</v>
      </c>
      <c r="C110" t="s">
        <v>9</v>
      </c>
      <c r="D110">
        <v>1984</v>
      </c>
      <c r="E110" s="6">
        <v>23930917.959444501</v>
      </c>
      <c r="F110" s="6">
        <v>0</v>
      </c>
      <c r="G110" s="6">
        <v>2539066.5916819698</v>
      </c>
      <c r="H110" s="6">
        <v>2470065.01013749</v>
      </c>
      <c r="I110" s="11">
        <v>8.5342662254220207E-9</v>
      </c>
      <c r="J110" s="6">
        <v>13602.8583166852</v>
      </c>
      <c r="K110" s="6">
        <v>17920528.0470085</v>
      </c>
      <c r="L110" s="6">
        <v>987655.45229980606</v>
      </c>
      <c r="M110" s="6">
        <v>0</v>
      </c>
      <c r="N110" s="11">
        <v>8.5029872741419099E-9</v>
      </c>
      <c r="O110" s="11">
        <v>8.5232215299991003E-9</v>
      </c>
      <c r="P110" s="6"/>
    </row>
    <row r="111" spans="1:16" x14ac:dyDescent="0.25">
      <c r="A111">
        <v>209</v>
      </c>
      <c r="B111" t="s">
        <v>74</v>
      </c>
      <c r="C111" t="s">
        <v>9</v>
      </c>
      <c r="D111">
        <v>1985</v>
      </c>
      <c r="E111" s="6">
        <v>14093497.2886078</v>
      </c>
      <c r="F111" s="11">
        <v>3.9248068623912698E-9</v>
      </c>
      <c r="G111" s="6">
        <v>745204.88033745205</v>
      </c>
      <c r="H111" s="6">
        <v>1385037.2629771701</v>
      </c>
      <c r="I111" s="11">
        <v>3.924922930106E-9</v>
      </c>
      <c r="J111" s="11">
        <v>3.9248068623912698E-9</v>
      </c>
      <c r="K111" s="6">
        <v>8291131.0550291603</v>
      </c>
      <c r="L111" s="6">
        <v>3664906.0895151799</v>
      </c>
      <c r="M111" s="11">
        <v>3.924922930106E-9</v>
      </c>
      <c r="N111" s="11">
        <v>3.9250145176626396E-9</v>
      </c>
      <c r="O111" s="6">
        <v>1957.38721986888</v>
      </c>
      <c r="P111" s="6"/>
    </row>
    <row r="112" spans="1:16" x14ac:dyDescent="0.25">
      <c r="A112">
        <v>210</v>
      </c>
      <c r="B112" t="s">
        <v>74</v>
      </c>
      <c r="C112" t="s">
        <v>9</v>
      </c>
      <c r="D112">
        <v>1986</v>
      </c>
      <c r="E112" s="6">
        <v>2012448.61164036</v>
      </c>
      <c r="F112" s="6">
        <v>909.03545307286902</v>
      </c>
      <c r="G112" s="6">
        <v>492725.22020265198</v>
      </c>
      <c r="H112" s="6">
        <v>188998.29679534401</v>
      </c>
      <c r="I112" s="6">
        <v>2963.2864524039301</v>
      </c>
      <c r="J112" s="6">
        <v>530.63530781080101</v>
      </c>
      <c r="K112" s="6">
        <v>962184.74391197099</v>
      </c>
      <c r="L112" s="6">
        <v>364137.39351709897</v>
      </c>
      <c r="M112" s="11">
        <v>2.16330005230956E-9</v>
      </c>
      <c r="N112" s="11">
        <v>2.1615219384647902E-9</v>
      </c>
      <c r="O112" s="6">
        <v>0</v>
      </c>
      <c r="P112" s="6"/>
    </row>
    <row r="113" spans="1:16" x14ac:dyDescent="0.25">
      <c r="A113">
        <v>211</v>
      </c>
      <c r="B113" t="s">
        <v>74</v>
      </c>
      <c r="C113" t="s">
        <v>9</v>
      </c>
      <c r="D113">
        <v>1987</v>
      </c>
      <c r="E113" s="6">
        <v>10318113.2551303</v>
      </c>
      <c r="F113" s="11">
        <v>3.8202444271170002E-9</v>
      </c>
      <c r="G113" s="6">
        <v>9267004.5553450603</v>
      </c>
      <c r="H113" s="6">
        <v>385822.91020932503</v>
      </c>
      <c r="I113" s="11">
        <v>3.7736734391166603E-9</v>
      </c>
      <c r="J113" s="6">
        <v>2975.8457518630498</v>
      </c>
      <c r="K113" s="6">
        <v>514201.0486565</v>
      </c>
      <c r="L113" s="6">
        <v>147140.09803138699</v>
      </c>
      <c r="M113" s="11">
        <v>2.5157822923995201E-9</v>
      </c>
      <c r="N113" s="11">
        <v>3.7902075002030401E-9</v>
      </c>
      <c r="O113" s="6">
        <v>0</v>
      </c>
      <c r="P113" s="6"/>
    </row>
    <row r="114" spans="1:16" x14ac:dyDescent="0.25">
      <c r="A114">
        <v>212</v>
      </c>
      <c r="B114" t="s">
        <v>74</v>
      </c>
      <c r="C114" t="s">
        <v>9</v>
      </c>
      <c r="D114">
        <v>1988</v>
      </c>
      <c r="E114" s="6">
        <v>6860048.6123650903</v>
      </c>
      <c r="F114" s="6">
        <v>7558.7260290039803</v>
      </c>
      <c r="G114" s="6">
        <v>2578692.8006927799</v>
      </c>
      <c r="H114" s="6">
        <v>2995169.76133723</v>
      </c>
      <c r="I114" s="6">
        <v>4844.0764572307999</v>
      </c>
      <c r="J114" s="6">
        <v>46572.419997541598</v>
      </c>
      <c r="K114" s="6">
        <v>1111077.2826878501</v>
      </c>
      <c r="L114" s="6">
        <v>111121.69015563</v>
      </c>
      <c r="M114" s="11">
        <v>2.1783620710882999E-9</v>
      </c>
      <c r="N114" s="11">
        <v>2.1769414475384298E-9</v>
      </c>
      <c r="O114" s="11">
        <v>2.1775672540123702E-9</v>
      </c>
      <c r="P114" s="6"/>
    </row>
    <row r="115" spans="1:16" x14ac:dyDescent="0.25">
      <c r="A115">
        <v>213</v>
      </c>
      <c r="B115" t="s">
        <v>74</v>
      </c>
      <c r="C115" t="s">
        <v>9</v>
      </c>
      <c r="D115">
        <v>1989</v>
      </c>
      <c r="E115" s="6">
        <v>20484408.000472799</v>
      </c>
      <c r="F115" s="11">
        <v>4.4716355398616599E-9</v>
      </c>
      <c r="G115" s="6">
        <v>1051304.82291986</v>
      </c>
      <c r="H115" s="6">
        <v>1438442.5016614201</v>
      </c>
      <c r="I115" s="6">
        <v>4091.9651653774399</v>
      </c>
      <c r="J115" s="6">
        <v>36966.380438829598</v>
      </c>
      <c r="K115" s="6">
        <v>17559241.786378801</v>
      </c>
      <c r="L115" s="6">
        <v>386132.47253218299</v>
      </c>
      <c r="M115" s="11">
        <v>6.6531340852120197E-9</v>
      </c>
      <c r="N115" s="11">
        <v>4.4426070467615996E-9</v>
      </c>
      <c r="O115" s="11">
        <v>4.4418370372214297E-9</v>
      </c>
      <c r="P115" s="6"/>
    </row>
    <row r="116" spans="1:16" x14ac:dyDescent="0.25">
      <c r="A116">
        <v>214</v>
      </c>
      <c r="B116" t="s">
        <v>74</v>
      </c>
      <c r="C116" t="s">
        <v>9</v>
      </c>
      <c r="D116">
        <v>1990</v>
      </c>
      <c r="E116" s="6">
        <v>18192988.9596541</v>
      </c>
      <c r="F116" s="6">
        <v>7294.4256020534203</v>
      </c>
      <c r="G116" s="6">
        <v>652916.62252959399</v>
      </c>
      <c r="H116" s="6">
        <v>959015.79090048501</v>
      </c>
      <c r="I116" s="11">
        <v>9.4323437941699501E-9</v>
      </c>
      <c r="J116" s="11">
        <v>4.7662727555542097E-9</v>
      </c>
      <c r="K116" s="6">
        <v>14851620.6994626</v>
      </c>
      <c r="L116" s="6">
        <v>1663050.6223842199</v>
      </c>
      <c r="M116" s="6">
        <v>8089.7048873695403</v>
      </c>
      <c r="N116" s="11">
        <v>4.7317584826148098E-9</v>
      </c>
      <c r="O116" s="11">
        <v>4.7229128084279396E-9</v>
      </c>
      <c r="P116" s="6"/>
    </row>
    <row r="117" spans="1:16" x14ac:dyDescent="0.25">
      <c r="A117">
        <v>215</v>
      </c>
      <c r="B117" t="s">
        <v>74</v>
      </c>
      <c r="C117" t="s">
        <v>9</v>
      </c>
      <c r="D117">
        <v>1991</v>
      </c>
      <c r="E117" s="6">
        <v>8613126.7931583393</v>
      </c>
      <c r="F117" s="6">
        <v>6197.61222548967</v>
      </c>
      <c r="G117" s="6">
        <v>4715391.6510769604</v>
      </c>
      <c r="H117" s="6">
        <v>868158.91799846897</v>
      </c>
      <c r="I117" s="6">
        <v>3134.1876109177301</v>
      </c>
      <c r="J117" s="6">
        <v>32611.878861237401</v>
      </c>
      <c r="K117" s="6">
        <v>1539423.8573016101</v>
      </c>
      <c r="L117" s="6">
        <v>1382907.30562953</v>
      </c>
      <c r="M117" s="11">
        <v>3.8696045504746798E-9</v>
      </c>
      <c r="N117" s="6">
        <v>1295.5411220902399</v>
      </c>
      <c r="O117" s="11">
        <v>3.8681767470652297E-9</v>
      </c>
      <c r="P117" s="6"/>
    </row>
    <row r="118" spans="1:16" x14ac:dyDescent="0.25">
      <c r="A118">
        <v>216</v>
      </c>
      <c r="B118" t="s">
        <v>74</v>
      </c>
      <c r="C118" t="s">
        <v>9</v>
      </c>
      <c r="D118">
        <v>1992</v>
      </c>
      <c r="E118" s="6">
        <v>10628639.806564599</v>
      </c>
      <c r="F118" s="6">
        <v>3333.1957617890698</v>
      </c>
      <c r="G118" s="6">
        <v>3035791.52389429</v>
      </c>
      <c r="H118" s="6">
        <v>2193830.7126480602</v>
      </c>
      <c r="I118" s="6">
        <v>22539.6981875725</v>
      </c>
      <c r="J118" s="6">
        <v>17857.540453303602</v>
      </c>
      <c r="K118" s="6">
        <v>4276085.7576036304</v>
      </c>
      <c r="L118" s="6">
        <v>1007435.7119005</v>
      </c>
      <c r="M118" s="6">
        <v>8513.4515296126901</v>
      </c>
      <c r="N118" s="11">
        <v>4.68066521666186E-9</v>
      </c>
      <c r="O118" s="6">
        <v>1079.1159406557699</v>
      </c>
      <c r="P118" s="6"/>
    </row>
    <row r="119" spans="1:16" x14ac:dyDescent="0.25">
      <c r="A119">
        <v>217</v>
      </c>
      <c r="B119" t="s">
        <v>74</v>
      </c>
      <c r="C119" t="s">
        <v>9</v>
      </c>
      <c r="D119">
        <v>1993</v>
      </c>
      <c r="E119" s="6">
        <v>8064870.9302083403</v>
      </c>
      <c r="F119" s="6">
        <v>2740.6845905877799</v>
      </c>
      <c r="G119" s="6">
        <v>1860643.86705856</v>
      </c>
      <c r="H119" s="6">
        <v>1958434.41272523</v>
      </c>
      <c r="I119" s="6">
        <v>3167.8456730674402</v>
      </c>
      <c r="J119" s="6">
        <v>146492.58169545099</v>
      </c>
      <c r="K119" s="6">
        <v>3698337.3227123502</v>
      </c>
      <c r="L119" s="6">
        <v>329082.114224602</v>
      </c>
      <c r="M119" s="11">
        <v>5.0942518220293401E-9</v>
      </c>
      <c r="N119" s="11">
        <v>5.0942438080889297E-9</v>
      </c>
      <c r="O119" s="11">
        <v>5.0942476438369804E-9</v>
      </c>
      <c r="P119" s="6"/>
    </row>
    <row r="120" spans="1:16" x14ac:dyDescent="0.25">
      <c r="A120">
        <v>218</v>
      </c>
      <c r="B120" t="s">
        <v>74</v>
      </c>
      <c r="C120" t="s">
        <v>9</v>
      </c>
      <c r="D120">
        <v>1994</v>
      </c>
      <c r="E120" s="6">
        <v>21592336.783369102</v>
      </c>
      <c r="F120" s="6">
        <v>1129.5772153887999</v>
      </c>
      <c r="G120" s="6">
        <v>1635679.81816017</v>
      </c>
      <c r="H120" s="6">
        <v>1072382.73567232</v>
      </c>
      <c r="I120" s="6">
        <v>1920.2552987716899</v>
      </c>
      <c r="J120" s="6">
        <v>82362.873584438305</v>
      </c>
      <c r="K120" s="6">
        <v>18335388.838684101</v>
      </c>
      <c r="L120" s="6">
        <v>453907.01838549803</v>
      </c>
      <c r="M120" s="11">
        <v>4.87704430596042E-9</v>
      </c>
      <c r="N120" s="11">
        <v>4.8515608448921498E-9</v>
      </c>
      <c r="O120" s="11">
        <v>4.8775934630324698E-9</v>
      </c>
      <c r="P120" s="6"/>
    </row>
    <row r="121" spans="1:16" x14ac:dyDescent="0.25">
      <c r="A121">
        <v>219</v>
      </c>
      <c r="B121" t="s">
        <v>74</v>
      </c>
      <c r="C121" t="s">
        <v>9</v>
      </c>
      <c r="D121">
        <v>1995</v>
      </c>
      <c r="E121" s="6">
        <v>28426663.097102199</v>
      </c>
      <c r="F121" s="6">
        <v>0</v>
      </c>
      <c r="G121" s="6">
        <v>2192435.4713108302</v>
      </c>
      <c r="H121" s="6">
        <v>890766.52827216603</v>
      </c>
      <c r="I121" s="11">
        <v>5.9951738408482996E-9</v>
      </c>
      <c r="J121" s="6">
        <v>1940.0294453091999</v>
      </c>
      <c r="K121" s="6">
        <v>22046413.943430901</v>
      </c>
      <c r="L121" s="6">
        <v>3276620.6126522198</v>
      </c>
      <c r="M121" s="11">
        <v>5.9951738408482996E-9</v>
      </c>
      <c r="N121" s="6">
        <v>12480.169898170199</v>
      </c>
      <c r="O121" s="11">
        <v>5.9953139068479198E-9</v>
      </c>
      <c r="P121" s="6"/>
    </row>
    <row r="122" spans="1:16" x14ac:dyDescent="0.25">
      <c r="A122">
        <v>220</v>
      </c>
      <c r="B122" t="s">
        <v>74</v>
      </c>
      <c r="C122" t="s">
        <v>9</v>
      </c>
      <c r="D122">
        <v>1996</v>
      </c>
      <c r="E122" s="6">
        <v>4474670.1871750997</v>
      </c>
      <c r="F122" s="6">
        <v>229.693582572667</v>
      </c>
      <c r="G122" s="6">
        <v>651582.68725256901</v>
      </c>
      <c r="H122" s="6">
        <v>1181693.15116645</v>
      </c>
      <c r="I122" s="11">
        <v>3.2636086362050002E-9</v>
      </c>
      <c r="J122" s="6">
        <v>2138.0936386322701</v>
      </c>
      <c r="K122" s="6">
        <v>1008515.73343956</v>
      </c>
      <c r="L122" s="6">
        <v>1626783.69450554</v>
      </c>
      <c r="M122" s="11">
        <v>3.2636086362050002E-9</v>
      </c>
      <c r="N122" s="11">
        <v>3.2638216740394102E-9</v>
      </c>
      <c r="O122" s="11">
        <v>3.2619761664074901E-9</v>
      </c>
      <c r="P122" s="6"/>
    </row>
    <row r="123" spans="1:16" x14ac:dyDescent="0.25">
      <c r="A123">
        <v>221</v>
      </c>
      <c r="B123" t="s">
        <v>74</v>
      </c>
      <c r="C123" t="s">
        <v>9</v>
      </c>
      <c r="D123">
        <v>1997</v>
      </c>
      <c r="E123" s="6">
        <v>2392217.5837859302</v>
      </c>
      <c r="F123" s="6">
        <v>1846.6666830824799</v>
      </c>
      <c r="G123" s="6">
        <v>1087088.05581493</v>
      </c>
      <c r="H123" s="6">
        <v>300635.18787046598</v>
      </c>
      <c r="I123" s="6">
        <v>12027.405960791601</v>
      </c>
      <c r="J123" s="6">
        <v>678.33736676797196</v>
      </c>
      <c r="K123" s="6">
        <v>751845.11750299705</v>
      </c>
      <c r="L123" s="6">
        <v>236952.14982073801</v>
      </c>
      <c r="M123" s="6">
        <v>1144.6552518168801</v>
      </c>
      <c r="N123" s="6">
        <v>2.2775266958523501E-4</v>
      </c>
      <c r="O123" s="6">
        <v>4.92726089385966E-3</v>
      </c>
      <c r="P123" s="6"/>
    </row>
    <row r="124" spans="1:16" x14ac:dyDescent="0.25">
      <c r="A124">
        <v>222</v>
      </c>
      <c r="B124" t="s">
        <v>74</v>
      </c>
      <c r="C124" t="s">
        <v>9</v>
      </c>
      <c r="D124">
        <v>1998</v>
      </c>
      <c r="E124" s="6">
        <v>3811020.5499279499</v>
      </c>
      <c r="F124" s="6">
        <v>17605.411842977701</v>
      </c>
      <c r="G124" s="6">
        <v>2023631.03936713</v>
      </c>
      <c r="H124" s="6">
        <v>873115.77486185497</v>
      </c>
      <c r="I124" s="11">
        <v>1.5233669425061901E-9</v>
      </c>
      <c r="J124" s="6">
        <v>47953.454075429698</v>
      </c>
      <c r="K124" s="6">
        <v>683919.41129051498</v>
      </c>
      <c r="L124" s="6">
        <v>162224.40740559099</v>
      </c>
      <c r="M124" s="11">
        <v>2.2850504137598101E-9</v>
      </c>
      <c r="N124" s="11">
        <v>2.2869243449337801E-9</v>
      </c>
      <c r="O124" s="11">
        <v>2.28563281347329E-9</v>
      </c>
      <c r="P124" s="6"/>
    </row>
    <row r="125" spans="1:16" x14ac:dyDescent="0.25">
      <c r="A125">
        <v>223</v>
      </c>
      <c r="B125" t="s">
        <v>74</v>
      </c>
      <c r="C125" t="s">
        <v>9</v>
      </c>
      <c r="D125">
        <v>1999</v>
      </c>
      <c r="E125" s="6">
        <v>13203151.607404901</v>
      </c>
      <c r="F125" s="6">
        <v>0</v>
      </c>
      <c r="G125" s="6">
        <v>7737952.0220754296</v>
      </c>
      <c r="H125" s="6">
        <v>1062071.6033361901</v>
      </c>
      <c r="I125" s="6">
        <v>4918.4328859110901</v>
      </c>
      <c r="J125" s="11">
        <v>3.5338760527892201E-9</v>
      </c>
      <c r="K125" s="6">
        <v>3920260.5486772899</v>
      </c>
      <c r="L125" s="6">
        <v>477949.00043001998</v>
      </c>
      <c r="M125" s="11">
        <v>1.23668027481926E-8</v>
      </c>
      <c r="N125" s="11">
        <v>3.5334417938755799E-9</v>
      </c>
      <c r="O125" s="11">
        <v>3.53335490901793E-9</v>
      </c>
      <c r="P125" s="6"/>
    </row>
    <row r="126" spans="1:16" x14ac:dyDescent="0.25">
      <c r="A126">
        <v>224</v>
      </c>
      <c r="B126" t="s">
        <v>74</v>
      </c>
      <c r="C126" t="s">
        <v>9</v>
      </c>
      <c r="D126">
        <v>2000</v>
      </c>
      <c r="E126" s="6">
        <v>3569959.4210411101</v>
      </c>
      <c r="F126" s="6">
        <v>0</v>
      </c>
      <c r="G126" s="6">
        <v>547555.93910410604</v>
      </c>
      <c r="H126" s="6">
        <v>2098055.6476268</v>
      </c>
      <c r="I126" s="6">
        <v>94.136793759304197</v>
      </c>
      <c r="J126" s="6">
        <v>0</v>
      </c>
      <c r="K126" s="6">
        <v>677133.03194636304</v>
      </c>
      <c r="L126" s="6">
        <v>247104.97610445099</v>
      </c>
      <c r="M126" s="6">
        <v>0</v>
      </c>
      <c r="N126" s="11">
        <v>2.1036537685157198E-9</v>
      </c>
      <c r="O126" s="11">
        <v>2.10365963920004E-9</v>
      </c>
      <c r="P126" s="6"/>
    </row>
    <row r="127" spans="1:16" x14ac:dyDescent="0.25">
      <c r="A127">
        <v>225</v>
      </c>
      <c r="B127" t="s">
        <v>74</v>
      </c>
      <c r="C127" t="s">
        <v>9</v>
      </c>
      <c r="D127">
        <v>2001</v>
      </c>
      <c r="E127" s="6">
        <v>1940224.70834125</v>
      </c>
      <c r="F127" s="6">
        <v>58.706928888736499</v>
      </c>
      <c r="G127" s="6">
        <v>159364.71419261899</v>
      </c>
      <c r="H127" s="6">
        <v>1651817.7864150701</v>
      </c>
      <c r="I127" s="6">
        <v>7703.1974198666303</v>
      </c>
      <c r="J127" s="6">
        <v>14.6767322231234</v>
      </c>
      <c r="K127" s="6">
        <v>24302.420013974999</v>
      </c>
      <c r="L127" s="6">
        <v>96801.762584159296</v>
      </c>
      <c r="M127" s="6">
        <v>88.060393333096201</v>
      </c>
      <c r="N127" s="11">
        <v>1.2483230379015999E-9</v>
      </c>
      <c r="O127" s="11">
        <v>1.2485099561547001E-9</v>
      </c>
      <c r="P127" s="6"/>
    </row>
    <row r="128" spans="1:16" x14ac:dyDescent="0.25">
      <c r="A128">
        <v>226</v>
      </c>
      <c r="B128" t="s">
        <v>74</v>
      </c>
      <c r="C128" t="s">
        <v>9</v>
      </c>
      <c r="D128">
        <v>2002</v>
      </c>
      <c r="E128" s="6">
        <v>897873.61103912594</v>
      </c>
      <c r="F128" s="6">
        <v>370.10408720709302</v>
      </c>
      <c r="G128" s="6">
        <v>375942.27518815198</v>
      </c>
      <c r="H128" s="6">
        <v>140515.836672732</v>
      </c>
      <c r="I128" s="6">
        <v>9155.2751888986295</v>
      </c>
      <c r="J128" s="6">
        <v>638.13560925916101</v>
      </c>
      <c r="K128" s="6">
        <v>342016.937402607</v>
      </c>
      <c r="L128" s="6">
        <v>27655.746720182698</v>
      </c>
      <c r="M128" s="6">
        <v>1500.60347028823</v>
      </c>
      <c r="N128" s="6">
        <v>50.079718052594203</v>
      </c>
      <c r="O128" s="6">
        <v>14.3084908730645</v>
      </c>
      <c r="P128" s="6"/>
    </row>
    <row r="129" spans="1:19" x14ac:dyDescent="0.25">
      <c r="A129">
        <v>227</v>
      </c>
      <c r="B129" t="s">
        <v>74</v>
      </c>
      <c r="C129" t="s">
        <v>9</v>
      </c>
      <c r="D129">
        <v>2003</v>
      </c>
      <c r="E129" s="6">
        <v>2001790.1859557601</v>
      </c>
      <c r="F129" s="6">
        <v>15.5616537955945</v>
      </c>
      <c r="G129" s="6">
        <v>1010493.43929947</v>
      </c>
      <c r="H129" s="6">
        <v>422187.12283754302</v>
      </c>
      <c r="I129" s="6">
        <v>575.78119038121804</v>
      </c>
      <c r="J129" s="6">
        <v>51079.326015029998</v>
      </c>
      <c r="K129" s="6">
        <v>343819.11961692403</v>
      </c>
      <c r="L129" s="6">
        <v>173308.60226672699</v>
      </c>
      <c r="M129" s="6">
        <v>62.246615177727101</v>
      </c>
      <c r="N129" s="6">
        <v>248.986460706271</v>
      </c>
      <c r="O129" s="11">
        <v>1.5469094107360799E-9</v>
      </c>
      <c r="P129" s="6"/>
    </row>
    <row r="130" spans="1:19" x14ac:dyDescent="0.25">
      <c r="A130">
        <v>228</v>
      </c>
      <c r="B130" t="s">
        <v>74</v>
      </c>
      <c r="C130" t="s">
        <v>9</v>
      </c>
      <c r="D130">
        <v>2004</v>
      </c>
      <c r="E130" s="6">
        <v>8091278.3093492296</v>
      </c>
      <c r="F130" s="6">
        <v>0</v>
      </c>
      <c r="G130" s="6">
        <v>1884667.87736433</v>
      </c>
      <c r="H130" s="6">
        <v>278784.25885893899</v>
      </c>
      <c r="I130" s="6">
        <v>18295.833053214199</v>
      </c>
      <c r="J130" s="11">
        <v>3.7705069848490897E-9</v>
      </c>
      <c r="K130" s="6">
        <v>5815822.7687883899</v>
      </c>
      <c r="L130" s="6">
        <v>93558.681948332698</v>
      </c>
      <c r="M130" s="6">
        <v>123.419936708105</v>
      </c>
      <c r="N130" s="11">
        <v>3.7747678820769999E-9</v>
      </c>
      <c r="O130" s="11">
        <v>3.77534489511281E-9</v>
      </c>
      <c r="P130" s="6"/>
      <c r="Q130" t="s">
        <v>75</v>
      </c>
      <c r="R130" t="s">
        <v>76</v>
      </c>
      <c r="S130" t="s">
        <v>77</v>
      </c>
    </row>
    <row r="131" spans="1:19" x14ac:dyDescent="0.25">
      <c r="A131" s="4">
        <v>229</v>
      </c>
      <c r="B131" s="4" t="s">
        <v>74</v>
      </c>
      <c r="C131" s="4" t="s">
        <v>9</v>
      </c>
      <c r="D131" s="4">
        <v>2005</v>
      </c>
      <c r="E131" s="12">
        <v>2867678.8885957301</v>
      </c>
      <c r="F131" s="12">
        <v>3390.69693475351</v>
      </c>
      <c r="G131" s="12">
        <v>633259.02696178795</v>
      </c>
      <c r="H131" s="12">
        <v>1264567.00289689</v>
      </c>
      <c r="I131" s="12">
        <v>12362.325138734999</v>
      </c>
      <c r="J131" s="12">
        <v>1450.3567236500201</v>
      </c>
      <c r="K131" s="12">
        <v>742842.99047039403</v>
      </c>
      <c r="L131" s="12">
        <v>208249.32891357201</v>
      </c>
      <c r="M131" s="13">
        <v>2.72350198249116E-9</v>
      </c>
      <c r="N131" s="12">
        <v>1537.71642151949</v>
      </c>
      <c r="O131" s="13">
        <v>2.72336094401331E-9</v>
      </c>
      <c r="P131" s="6"/>
      <c r="Q131">
        <f>LN(G131)</f>
        <v>13.358634822735535</v>
      </c>
      <c r="R131">
        <f>LN(H131)</f>
        <v>14.050240331349009</v>
      </c>
    </row>
    <row r="132" spans="1:19" x14ac:dyDescent="0.25">
      <c r="A132">
        <v>230</v>
      </c>
      <c r="B132" t="s">
        <v>74</v>
      </c>
      <c r="C132" t="s">
        <v>9</v>
      </c>
      <c r="D132">
        <v>2006</v>
      </c>
      <c r="E132" s="6">
        <v>5715389.7961070603</v>
      </c>
      <c r="F132" s="6">
        <v>3846.7367208476799</v>
      </c>
      <c r="G132" s="6">
        <v>2456932.1869443902</v>
      </c>
      <c r="H132" s="6">
        <v>2051098.4702330399</v>
      </c>
      <c r="I132" s="6">
        <v>1992.1396567182201</v>
      </c>
      <c r="J132" s="6">
        <v>2385.7214472447399</v>
      </c>
      <c r="K132" s="6">
        <v>819689.21328180295</v>
      </c>
      <c r="L132" s="6">
        <v>367259.34656509402</v>
      </c>
      <c r="M132" s="6">
        <v>60.756921011922998</v>
      </c>
      <c r="N132" s="6">
        <v>312.13373225285397</v>
      </c>
      <c r="O132" s="6">
        <v>60.756921013267601</v>
      </c>
      <c r="P132" s="6"/>
      <c r="Q132">
        <f t="shared" ref="Q132:R150" si="11">LN(G132)</f>
        <v>14.714424051181197</v>
      </c>
      <c r="R132">
        <f t="shared" si="11"/>
        <v>14.533886046742131</v>
      </c>
      <c r="S132">
        <f>R132-Q131</f>
        <v>1.1752512240065958</v>
      </c>
    </row>
    <row r="133" spans="1:19" x14ac:dyDescent="0.25">
      <c r="A133">
        <v>231</v>
      </c>
      <c r="B133" t="s">
        <v>74</v>
      </c>
      <c r="C133" t="s">
        <v>9</v>
      </c>
      <c r="D133">
        <v>2007</v>
      </c>
      <c r="E133" s="6">
        <v>5917491.9633896695</v>
      </c>
      <c r="F133" s="6">
        <v>0</v>
      </c>
      <c r="G133" s="6">
        <v>3595854.0101312199</v>
      </c>
      <c r="H133" s="6">
        <v>1265247.02367751</v>
      </c>
      <c r="I133" s="6">
        <v>12833.865679766601</v>
      </c>
      <c r="J133" s="11">
        <v>3.28684215563411E-9</v>
      </c>
      <c r="K133" s="6">
        <v>142426.30435677199</v>
      </c>
      <c r="L133" s="6">
        <v>901130.75954439002</v>
      </c>
      <c r="M133" s="11">
        <v>3.2807126074580601E-9</v>
      </c>
      <c r="N133" s="11">
        <v>3.2825025944364099E-9</v>
      </c>
      <c r="O133" s="11">
        <v>3.2805848005315001E-9</v>
      </c>
      <c r="P133" s="6"/>
      <c r="Q133">
        <f t="shared" si="11"/>
        <v>15.095292075899483</v>
      </c>
      <c r="R133">
        <f t="shared" si="11"/>
        <v>14.050777936714349</v>
      </c>
      <c r="S133">
        <f t="shared" ref="S133:S150" si="12">R133-Q132</f>
        <v>-0.6636461144668484</v>
      </c>
    </row>
    <row r="134" spans="1:19" x14ac:dyDescent="0.25">
      <c r="A134">
        <v>232</v>
      </c>
      <c r="B134" t="s">
        <v>74</v>
      </c>
      <c r="C134" t="s">
        <v>9</v>
      </c>
      <c r="D134">
        <v>2008</v>
      </c>
      <c r="E134" s="6">
        <v>6032351.8040245399</v>
      </c>
      <c r="F134" s="6">
        <v>4315.9889299092401</v>
      </c>
      <c r="G134" s="6">
        <v>4799243.5393628199</v>
      </c>
      <c r="H134" s="6">
        <v>1186521.23070345</v>
      </c>
      <c r="I134" s="6">
        <v>623.59153102763401</v>
      </c>
      <c r="J134" s="11">
        <v>3.3148585946143402E-9</v>
      </c>
      <c r="K134" s="6">
        <v>31398.658141728101</v>
      </c>
      <c r="L134" s="6">
        <v>10248.795355579899</v>
      </c>
      <c r="M134" s="11">
        <v>3.3137925805687999E-9</v>
      </c>
      <c r="N134" s="11">
        <v>3.3140567086183801E-9</v>
      </c>
      <c r="O134" s="11">
        <v>3.3139931193634902E-9</v>
      </c>
      <c r="P134" s="6"/>
      <c r="Q134">
        <f t="shared" si="11"/>
        <v>15.383968867492491</v>
      </c>
      <c r="R134">
        <f t="shared" si="11"/>
        <v>13.986536248253241</v>
      </c>
      <c r="S134">
        <f t="shared" si="12"/>
        <v>-1.1087558276462417</v>
      </c>
    </row>
    <row r="135" spans="1:19" x14ac:dyDescent="0.25">
      <c r="A135">
        <v>233</v>
      </c>
      <c r="B135" t="s">
        <v>74</v>
      </c>
      <c r="C135" t="s">
        <v>9</v>
      </c>
      <c r="D135">
        <v>2009</v>
      </c>
      <c r="E135" s="6">
        <v>6961784.0942446496</v>
      </c>
      <c r="F135" s="6">
        <v>2910.8827186049698</v>
      </c>
      <c r="G135" s="6">
        <v>1254242.5550963001</v>
      </c>
      <c r="H135" s="6">
        <v>2931163.7992824898</v>
      </c>
      <c r="I135" s="6">
        <v>9276.5922049431301</v>
      </c>
      <c r="J135" s="11">
        <v>3.2916481614597E-9</v>
      </c>
      <c r="K135" s="6">
        <v>2634425.8540318399</v>
      </c>
      <c r="L135" s="6">
        <v>129764.410910465</v>
      </c>
      <c r="M135" s="11">
        <v>3.28315698758421E-9</v>
      </c>
      <c r="N135" s="11">
        <v>3.2847867442774301E-9</v>
      </c>
      <c r="O135" s="6">
        <v>0</v>
      </c>
      <c r="P135" s="6"/>
      <c r="Q135">
        <f t="shared" si="11"/>
        <v>14.042042406587443</v>
      </c>
      <c r="R135">
        <f t="shared" si="11"/>
        <v>14.890910103250071</v>
      </c>
      <c r="S135">
        <f t="shared" si="12"/>
        <v>-0.49305876424242001</v>
      </c>
    </row>
    <row r="136" spans="1:19" x14ac:dyDescent="0.25">
      <c r="A136">
        <v>234</v>
      </c>
      <c r="B136" t="s">
        <v>74</v>
      </c>
      <c r="C136" t="s">
        <v>9</v>
      </c>
      <c r="D136">
        <v>2010</v>
      </c>
      <c r="E136" s="6">
        <v>10779329.066653199</v>
      </c>
      <c r="F136" s="11">
        <v>3.1287402296158098E-9</v>
      </c>
      <c r="G136" s="6">
        <v>3663815.1240694402</v>
      </c>
      <c r="H136" s="6">
        <v>2033447.4117072499</v>
      </c>
      <c r="I136" s="11">
        <v>9.3803837716744392E-9</v>
      </c>
      <c r="J136" s="11">
        <v>3.1287402296158098E-9</v>
      </c>
      <c r="K136" s="6">
        <v>4527247.8635668</v>
      </c>
      <c r="L136" s="6">
        <v>554818.66730966698</v>
      </c>
      <c r="M136" s="11">
        <v>3.1267945905580099E-9</v>
      </c>
      <c r="N136" s="11">
        <v>9.3816823947478901E-9</v>
      </c>
      <c r="O136" s="6">
        <v>0</v>
      </c>
      <c r="P136" s="6"/>
      <c r="Q136">
        <f t="shared" si="11"/>
        <v>15.114015546098512</v>
      </c>
      <c r="R136">
        <f t="shared" si="11"/>
        <v>14.525243143019972</v>
      </c>
      <c r="S136">
        <f t="shared" si="12"/>
        <v>0.48320073643252925</v>
      </c>
    </row>
    <row r="137" spans="1:19" x14ac:dyDescent="0.25">
      <c r="A137">
        <v>235</v>
      </c>
      <c r="B137" t="s">
        <v>74</v>
      </c>
      <c r="C137" t="s">
        <v>9</v>
      </c>
      <c r="D137">
        <v>2011</v>
      </c>
      <c r="E137" s="6">
        <v>7228364.4381130403</v>
      </c>
      <c r="F137" s="6">
        <v>0</v>
      </c>
      <c r="G137" s="6">
        <v>1542519.6160436401</v>
      </c>
      <c r="H137" s="6">
        <v>2701997.1698060399</v>
      </c>
      <c r="I137" s="6">
        <v>8367.21090810645</v>
      </c>
      <c r="J137" s="6">
        <v>24304.7110186645</v>
      </c>
      <c r="K137" s="6">
        <v>1197114.7760107799</v>
      </c>
      <c r="L137" s="6">
        <v>1754060.95432576</v>
      </c>
      <c r="M137" s="11">
        <v>1.41271079003936E-8</v>
      </c>
      <c r="N137" s="11">
        <v>3.8547149739685597E-9</v>
      </c>
      <c r="O137" s="11">
        <v>6.4227175867174398E-9</v>
      </c>
      <c r="P137" s="6"/>
      <c r="Q137">
        <f t="shared" si="11"/>
        <v>14.248927751726939</v>
      </c>
      <c r="R137">
        <f t="shared" si="11"/>
        <v>14.809501750057631</v>
      </c>
      <c r="S137">
        <f t="shared" si="12"/>
        <v>-0.30451379604088125</v>
      </c>
    </row>
    <row r="138" spans="1:19" x14ac:dyDescent="0.25">
      <c r="A138">
        <v>236</v>
      </c>
      <c r="B138" t="s">
        <v>74</v>
      </c>
      <c r="C138" t="s">
        <v>9</v>
      </c>
      <c r="D138">
        <v>2012</v>
      </c>
      <c r="E138" s="6">
        <v>12269042.282635</v>
      </c>
      <c r="F138" s="6">
        <v>0</v>
      </c>
      <c r="G138" s="6">
        <v>2680276.8488356099</v>
      </c>
      <c r="H138" s="6">
        <v>1853138.5504592999</v>
      </c>
      <c r="I138" s="6">
        <v>1879.0501503353901</v>
      </c>
      <c r="J138" s="6">
        <v>2521.1600766727802</v>
      </c>
      <c r="K138" s="6">
        <v>6975694.8538304605</v>
      </c>
      <c r="L138" s="6">
        <v>746953.27089689905</v>
      </c>
      <c r="M138" s="6">
        <v>1159.0487065719001</v>
      </c>
      <c r="N138" s="6">
        <v>289.76242794924798</v>
      </c>
      <c r="O138" s="11">
        <v>2.8706534021040502E-9</v>
      </c>
      <c r="P138" s="6"/>
      <c r="Q138">
        <f t="shared" si="11"/>
        <v>14.801430648956108</v>
      </c>
      <c r="R138">
        <f t="shared" si="11"/>
        <v>14.432391273362363</v>
      </c>
      <c r="S138">
        <f t="shared" si="12"/>
        <v>0.18346352163542434</v>
      </c>
    </row>
    <row r="139" spans="1:19" x14ac:dyDescent="0.25">
      <c r="A139">
        <v>237</v>
      </c>
      <c r="B139" t="s">
        <v>74</v>
      </c>
      <c r="C139" t="s">
        <v>9</v>
      </c>
      <c r="D139">
        <v>2013</v>
      </c>
      <c r="E139" s="6">
        <v>6325832.5506333001</v>
      </c>
      <c r="F139" s="6">
        <v>3046.7757735625701</v>
      </c>
      <c r="G139" s="6">
        <v>741126.90498455497</v>
      </c>
      <c r="H139" s="6">
        <v>1931316.27522207</v>
      </c>
      <c r="I139" s="6">
        <v>5956.06097048843</v>
      </c>
      <c r="J139" s="6">
        <v>11614.045521362101</v>
      </c>
      <c r="K139" s="6">
        <v>1247831.2599196199</v>
      </c>
      <c r="L139" s="6">
        <v>2380396.53009255</v>
      </c>
      <c r="M139" s="6">
        <v>4285.1738159994202</v>
      </c>
      <c r="N139" s="11">
        <v>9.2756428160903207E-9</v>
      </c>
      <c r="O139" s="6">
        <v>259.52433097407902</v>
      </c>
      <c r="P139" s="6"/>
      <c r="Q139">
        <f t="shared" si="11"/>
        <v>13.515927151402122</v>
      </c>
      <c r="R139">
        <f t="shared" si="11"/>
        <v>14.473712336306461</v>
      </c>
      <c r="S139">
        <f t="shared" si="12"/>
        <v>-0.32771831264964746</v>
      </c>
    </row>
    <row r="140" spans="1:19" x14ac:dyDescent="0.25">
      <c r="A140">
        <v>238</v>
      </c>
      <c r="B140" t="s">
        <v>74</v>
      </c>
      <c r="C140" t="s">
        <v>9</v>
      </c>
      <c r="D140">
        <v>2014</v>
      </c>
      <c r="E140" s="6">
        <v>17609473.737241</v>
      </c>
      <c r="F140" s="6">
        <v>4590.98176056788</v>
      </c>
      <c r="G140" s="6">
        <v>6056268.63210217</v>
      </c>
      <c r="H140" s="6">
        <v>1002139.74787987</v>
      </c>
      <c r="I140" s="6">
        <v>30157.639530926299</v>
      </c>
      <c r="J140" s="6">
        <v>87433.159145984493</v>
      </c>
      <c r="K140" s="6">
        <v>9731029.1591879502</v>
      </c>
      <c r="L140" s="6">
        <v>679367.62001147401</v>
      </c>
      <c r="M140" s="6">
        <v>15623.1716477394</v>
      </c>
      <c r="N140" s="6">
        <v>2560.65396177918</v>
      </c>
      <c r="O140" s="11">
        <v>3.3005589876825901E-9</v>
      </c>
      <c r="P140" s="6"/>
      <c r="Q140">
        <f t="shared" si="11"/>
        <v>15.616604431124578</v>
      </c>
      <c r="R140">
        <f t="shared" si="11"/>
        <v>13.817648019844045</v>
      </c>
      <c r="S140">
        <f t="shared" si="12"/>
        <v>0.30172086844192236</v>
      </c>
    </row>
    <row r="141" spans="1:19" x14ac:dyDescent="0.25">
      <c r="A141">
        <v>239</v>
      </c>
      <c r="B141" t="s">
        <v>74</v>
      </c>
      <c r="C141" t="s">
        <v>9</v>
      </c>
      <c r="D141">
        <v>2015</v>
      </c>
      <c r="E141" s="6">
        <v>23103789.687404901</v>
      </c>
      <c r="F141" s="6">
        <v>21301.026131666302</v>
      </c>
      <c r="G141" s="6">
        <v>2846068.6397227598</v>
      </c>
      <c r="H141" s="6">
        <v>5544927.7561170198</v>
      </c>
      <c r="I141" s="6">
        <v>5283.8787481531899</v>
      </c>
      <c r="J141" s="6">
        <v>43950.344478646301</v>
      </c>
      <c r="K141" s="6">
        <v>13230425.139591301</v>
      </c>
      <c r="L141" s="6">
        <v>1396185.01086911</v>
      </c>
      <c r="M141" s="6">
        <v>0</v>
      </c>
      <c r="N141" s="6">
        <v>7908.0895647369698</v>
      </c>
      <c r="O141" s="6">
        <v>0</v>
      </c>
      <c r="P141" s="6"/>
      <c r="Q141">
        <f t="shared" si="11"/>
        <v>14.861449175304124</v>
      </c>
      <c r="R141">
        <f t="shared" si="11"/>
        <v>15.528394150028353</v>
      </c>
      <c r="S141">
        <f t="shared" si="12"/>
        <v>-8.8210281096225529E-2</v>
      </c>
    </row>
    <row r="142" spans="1:19" x14ac:dyDescent="0.25">
      <c r="A142">
        <v>240</v>
      </c>
      <c r="B142" t="s">
        <v>74</v>
      </c>
      <c r="C142" t="s">
        <v>9</v>
      </c>
      <c r="D142">
        <v>2016</v>
      </c>
      <c r="E142" s="6">
        <v>14195449.4202825</v>
      </c>
      <c r="F142" s="6">
        <v>2615.7121110550802</v>
      </c>
      <c r="G142" s="6">
        <v>8590994.4996388797</v>
      </c>
      <c r="H142" s="6">
        <v>2168999.19073739</v>
      </c>
      <c r="I142" s="11">
        <v>4.4611302402675E-9</v>
      </c>
      <c r="J142" s="6">
        <v>3701.5933267748801</v>
      </c>
      <c r="K142" s="6">
        <v>2573729.23298511</v>
      </c>
      <c r="L142" s="6">
        <v>851679.14203451201</v>
      </c>
      <c r="M142" s="11">
        <v>4.4611302402675E-9</v>
      </c>
      <c r="N142" s="6">
        <v>3730.0494488006402</v>
      </c>
      <c r="O142" s="11">
        <v>4.4582581635166702E-9</v>
      </c>
      <c r="P142" s="6"/>
      <c r="Q142">
        <f t="shared" si="11"/>
        <v>15.966225061373088</v>
      </c>
      <c r="R142">
        <f t="shared" si="11"/>
        <v>14.589776416704925</v>
      </c>
      <c r="S142">
        <f t="shared" si="12"/>
        <v>-0.27167275859919826</v>
      </c>
    </row>
    <row r="143" spans="1:19" x14ac:dyDescent="0.25">
      <c r="A143">
        <v>241</v>
      </c>
      <c r="B143" t="s">
        <v>74</v>
      </c>
      <c r="C143" t="s">
        <v>9</v>
      </c>
      <c r="D143">
        <v>2017</v>
      </c>
      <c r="E143" s="6">
        <v>7250329.0928671798</v>
      </c>
      <c r="F143" s="6">
        <v>9832.2964493395102</v>
      </c>
      <c r="G143" s="6">
        <v>3713931.1999689001</v>
      </c>
      <c r="H143" s="6">
        <v>2635003.4804184898</v>
      </c>
      <c r="I143" s="6">
        <v>48.701799300539598</v>
      </c>
      <c r="J143" s="6">
        <v>2155.0960277834101</v>
      </c>
      <c r="K143" s="6">
        <v>397152.81642809598</v>
      </c>
      <c r="L143" s="6">
        <v>491949.80259328597</v>
      </c>
      <c r="M143" s="6">
        <v>0</v>
      </c>
      <c r="N143" s="6">
        <v>251.543962926219</v>
      </c>
      <c r="O143" s="6">
        <v>4.1552190571774199</v>
      </c>
      <c r="P143" s="6"/>
      <c r="Q143">
        <f t="shared" si="11"/>
        <v>15.127601496212948</v>
      </c>
      <c r="R143">
        <f t="shared" si="11"/>
        <v>14.784395060798659</v>
      </c>
      <c r="S143">
        <f t="shared" si="12"/>
        <v>-1.1818300005744291</v>
      </c>
    </row>
    <row r="144" spans="1:19" x14ac:dyDescent="0.25">
      <c r="A144">
        <v>242</v>
      </c>
      <c r="B144" t="s">
        <v>74</v>
      </c>
      <c r="C144" t="s">
        <v>9</v>
      </c>
      <c r="D144">
        <v>2018</v>
      </c>
      <c r="E144" s="6">
        <v>7466680.0050265901</v>
      </c>
      <c r="F144" s="6">
        <v>4226.6375189437604</v>
      </c>
      <c r="G144" s="6">
        <v>4484066.1512117703</v>
      </c>
      <c r="H144" s="6">
        <v>2789273.8525459301</v>
      </c>
      <c r="I144" s="6">
        <v>1907.5112412605399</v>
      </c>
      <c r="J144" s="6">
        <v>4882.9012790316301</v>
      </c>
      <c r="K144" s="6">
        <v>38269.390429415202</v>
      </c>
      <c r="L144" s="6">
        <v>143170.08095041601</v>
      </c>
      <c r="M144" s="6">
        <v>552.85805518179404</v>
      </c>
      <c r="N144" s="6">
        <v>0</v>
      </c>
      <c r="O144" s="6">
        <v>322.02235521518202</v>
      </c>
      <c r="P144" s="6"/>
      <c r="Q144">
        <f t="shared" si="11"/>
        <v>15.316040815788778</v>
      </c>
      <c r="R144">
        <f t="shared" si="11"/>
        <v>14.841291852017294</v>
      </c>
      <c r="S144">
        <f t="shared" si="12"/>
        <v>-0.2863096441956543</v>
      </c>
    </row>
    <row r="145" spans="1:19" x14ac:dyDescent="0.25">
      <c r="A145">
        <v>243</v>
      </c>
      <c r="B145" t="s">
        <v>74</v>
      </c>
      <c r="C145" t="s">
        <v>9</v>
      </c>
      <c r="D145">
        <v>2019</v>
      </c>
      <c r="E145" s="6">
        <v>7936268.7892635697</v>
      </c>
      <c r="F145" s="6">
        <v>3010.9366544146201</v>
      </c>
      <c r="G145" s="6">
        <v>5743118.1695535798</v>
      </c>
      <c r="H145" s="6">
        <v>2072930.0898513999</v>
      </c>
      <c r="I145" s="6">
        <v>13158.6331883232</v>
      </c>
      <c r="J145" s="6">
        <v>0.352971300990848</v>
      </c>
      <c r="K145" s="6">
        <v>71801.7612738147</v>
      </c>
      <c r="L145" s="6">
        <v>32242.898140994101</v>
      </c>
      <c r="M145" s="6">
        <v>0</v>
      </c>
      <c r="N145" s="6">
        <v>0</v>
      </c>
      <c r="O145" s="6">
        <v>5.9476297460819998</v>
      </c>
      <c r="P145" s="6"/>
      <c r="Q145">
        <f t="shared" si="11"/>
        <v>15.563512855910835</v>
      </c>
      <c r="R145">
        <f t="shared" si="11"/>
        <v>14.544473666706168</v>
      </c>
      <c r="S145">
        <f t="shared" si="12"/>
        <v>-0.77156714908261037</v>
      </c>
    </row>
    <row r="146" spans="1:19" x14ac:dyDescent="0.25">
      <c r="A146">
        <v>244</v>
      </c>
      <c r="B146" t="s">
        <v>74</v>
      </c>
      <c r="C146" t="s">
        <v>9</v>
      </c>
      <c r="D146">
        <v>2020</v>
      </c>
      <c r="E146" s="6">
        <v>9866664.5977398101</v>
      </c>
      <c r="F146" s="6">
        <v>1510.99094289287</v>
      </c>
      <c r="G146" s="6">
        <v>2659890.6318173599</v>
      </c>
      <c r="H146" s="6">
        <v>7068370.8626361899</v>
      </c>
      <c r="I146" s="6">
        <v>14260.0183103611</v>
      </c>
      <c r="J146" s="11">
        <v>4.7286237853680697E-9</v>
      </c>
      <c r="K146" s="6">
        <v>119279.235687259</v>
      </c>
      <c r="L146" s="6">
        <v>3352.85834573492</v>
      </c>
      <c r="M146" s="6">
        <v>0</v>
      </c>
      <c r="N146" s="11">
        <v>4.7277724151886801E-9</v>
      </c>
      <c r="O146" s="6">
        <v>0</v>
      </c>
      <c r="P146" s="6"/>
      <c r="Q146">
        <f t="shared" si="11"/>
        <v>14.793795564054466</v>
      </c>
      <c r="R146">
        <f t="shared" si="11"/>
        <v>15.771140581706787</v>
      </c>
      <c r="S146">
        <f t="shared" si="12"/>
        <v>0.20762772579595179</v>
      </c>
    </row>
    <row r="147" spans="1:19" x14ac:dyDescent="0.25">
      <c r="A147">
        <v>245</v>
      </c>
      <c r="B147" t="s">
        <v>74</v>
      </c>
      <c r="C147" t="s">
        <v>9</v>
      </c>
      <c r="D147">
        <v>2021</v>
      </c>
      <c r="E147" s="6">
        <v>8907367.5154508799</v>
      </c>
      <c r="F147" s="6">
        <v>12734.7865283423</v>
      </c>
      <c r="G147" s="6">
        <v>6164745.28905355</v>
      </c>
      <c r="H147" s="6">
        <v>1895608.6447663701</v>
      </c>
      <c r="I147" s="6">
        <v>4889.16607067931</v>
      </c>
      <c r="J147" s="6">
        <v>8431.5374503510902</v>
      </c>
      <c r="K147" s="6">
        <v>577513.28970349499</v>
      </c>
      <c r="L147" s="6">
        <v>243444.801521669</v>
      </c>
      <c r="M147" s="6">
        <v>3.45916465019352E-4</v>
      </c>
      <c r="N147" s="11">
        <v>1.0510310053242299E-6</v>
      </c>
      <c r="O147" s="11">
        <v>1.05092814523161E-6</v>
      </c>
      <c r="P147" s="11"/>
      <c r="Q147">
        <f t="shared" si="11"/>
        <v>15.634357378082875</v>
      </c>
      <c r="R147">
        <f t="shared" si="11"/>
        <v>14.455050529503223</v>
      </c>
      <c r="S147">
        <f t="shared" si="12"/>
        <v>-0.33874503455124305</v>
      </c>
    </row>
    <row r="148" spans="1:19" x14ac:dyDescent="0.25">
      <c r="A148">
        <v>246</v>
      </c>
      <c r="B148" t="s">
        <v>74</v>
      </c>
      <c r="C148" t="s">
        <v>9</v>
      </c>
      <c r="D148">
        <v>2022</v>
      </c>
      <c r="E148" s="6">
        <v>13647265.589085201</v>
      </c>
      <c r="F148" s="11">
        <v>1.04449762391799E-6</v>
      </c>
      <c r="G148" s="6">
        <v>6416570.5196083598</v>
      </c>
      <c r="H148" s="6">
        <v>4963345.9237097697</v>
      </c>
      <c r="I148" s="6">
        <v>1138.6397363580199</v>
      </c>
      <c r="J148" s="11">
        <v>1.04449762391799E-6</v>
      </c>
      <c r="K148" s="6">
        <v>2091249.8818920499</v>
      </c>
      <c r="L148" s="6">
        <v>174283.25566041001</v>
      </c>
      <c r="M148" s="11">
        <v>1.0430741148882601E-6</v>
      </c>
      <c r="N148" s="6">
        <v>677.36846576582298</v>
      </c>
      <c r="O148" s="11">
        <v>1.04308006265525E-6</v>
      </c>
      <c r="P148" s="11"/>
      <c r="Q148">
        <f t="shared" si="11"/>
        <v>15.674394345960557</v>
      </c>
      <c r="R148">
        <f t="shared" si="11"/>
        <v>15.417590652666455</v>
      </c>
      <c r="S148">
        <f t="shared" si="12"/>
        <v>-0.21676672541642006</v>
      </c>
    </row>
    <row r="149" spans="1:19" x14ac:dyDescent="0.25">
      <c r="A149">
        <v>247</v>
      </c>
      <c r="B149" t="s">
        <v>74</v>
      </c>
      <c r="C149" t="s">
        <v>9</v>
      </c>
      <c r="D149">
        <v>2023</v>
      </c>
      <c r="E149" s="6">
        <v>8759375.6703427806</v>
      </c>
      <c r="F149" s="6">
        <v>11391.816740676601</v>
      </c>
      <c r="G149" s="6">
        <v>1233550.9914899699</v>
      </c>
      <c r="H149" s="6">
        <v>5597038.68300841</v>
      </c>
      <c r="I149" s="6">
        <v>9247.41646576124</v>
      </c>
      <c r="J149" s="6">
        <v>2921.05191842869</v>
      </c>
      <c r="K149" s="6">
        <v>367103.98740078998</v>
      </c>
      <c r="L149" s="6">
        <v>1536242.24092957</v>
      </c>
      <c r="M149" s="6">
        <v>1759.49980864904</v>
      </c>
      <c r="N149" s="6">
        <v>119.982571380057</v>
      </c>
      <c r="O149" s="11">
        <v>1.0156631158596201E-6</v>
      </c>
      <c r="P149" s="11"/>
      <c r="Q149">
        <f t="shared" si="11"/>
        <v>14.025407552962115</v>
      </c>
      <c r="R149">
        <f t="shared" si="11"/>
        <v>15.537748209232213</v>
      </c>
      <c r="S149">
        <f t="shared" si="12"/>
        <v>-0.13664613672834491</v>
      </c>
    </row>
    <row r="150" spans="1:19" x14ac:dyDescent="0.25">
      <c r="A150">
        <v>248</v>
      </c>
      <c r="B150" t="s">
        <v>74</v>
      </c>
      <c r="C150" t="s">
        <v>9</v>
      </c>
      <c r="D150">
        <v>2024</v>
      </c>
      <c r="E150" s="6">
        <v>12207052.9844853</v>
      </c>
      <c r="F150" s="6">
        <v>3.3778543279057801E-4</v>
      </c>
      <c r="G150" s="6">
        <v>9939082.9249525592</v>
      </c>
      <c r="H150" s="6">
        <v>1169655.81357598</v>
      </c>
      <c r="I150" s="6">
        <v>2070.5924364839898</v>
      </c>
      <c r="J150" s="6">
        <v>3.3486488100397202E-4</v>
      </c>
      <c r="K150" s="6">
        <v>766422.78301893803</v>
      </c>
      <c r="L150" s="6">
        <v>319582.19292143401</v>
      </c>
      <c r="M150" s="6">
        <v>9907.2661192443702</v>
      </c>
      <c r="N150" s="6">
        <v>331.41077879490803</v>
      </c>
      <c r="O150" s="11">
        <v>1.02182524308438E-6</v>
      </c>
      <c r="P150" s="11"/>
      <c r="Q150">
        <f t="shared" si="11"/>
        <v>16.111985313305272</v>
      </c>
      <c r="R150">
        <f t="shared" si="11"/>
        <v>13.972220087064779</v>
      </c>
      <c r="S150">
        <f t="shared" si="12"/>
        <v>-5.3187465897336139E-2</v>
      </c>
    </row>
    <row r="152" spans="1:19" x14ac:dyDescent="0.25">
      <c r="D152" t="s">
        <v>78</v>
      </c>
      <c r="E152" s="6">
        <f>AVERAGE(E89:E150)</f>
        <v>10732475.733423652</v>
      </c>
      <c r="F152" s="6">
        <f t="shared" ref="F152:O152" si="13">AVERAGE(F89:F150)</f>
        <v>4723.5242776578471</v>
      </c>
      <c r="G152" s="6">
        <f t="shared" si="13"/>
        <v>2968218.0546248993</v>
      </c>
      <c r="H152" s="6">
        <f t="shared" si="13"/>
        <v>1443430.5079678018</v>
      </c>
      <c r="I152" s="6">
        <f t="shared" si="13"/>
        <v>4261.9316625816737</v>
      </c>
      <c r="J152" s="6">
        <f t="shared" si="13"/>
        <v>48863.049332726063</v>
      </c>
      <c r="K152" s="6">
        <f t="shared" si="13"/>
        <v>5561868.2296015713</v>
      </c>
      <c r="L152" s="6">
        <f t="shared" si="13"/>
        <v>691905.4352734636</v>
      </c>
      <c r="M152" s="6">
        <f t="shared" si="13"/>
        <v>870.83799799946632</v>
      </c>
      <c r="N152" s="6">
        <f t="shared" si="13"/>
        <v>1946.1993301811963</v>
      </c>
      <c r="O152" s="6">
        <f t="shared" si="13"/>
        <v>444.6020894767409</v>
      </c>
      <c r="P152" s="6"/>
      <c r="Q152" t="s">
        <v>79</v>
      </c>
    </row>
    <row r="153" spans="1:19" x14ac:dyDescent="0.25">
      <c r="D153" t="s">
        <v>80</v>
      </c>
      <c r="F153" s="14">
        <f>F152/$E$152</f>
        <v>4.4011506710866296E-4</v>
      </c>
      <c r="G153" s="14">
        <f t="shared" ref="G153:O153" si="14">G152/$E$152</f>
        <v>0.27656415242394772</v>
      </c>
      <c r="H153" s="14">
        <f t="shared" si="14"/>
        <v>0.13449184920796914</v>
      </c>
      <c r="I153" s="14">
        <f t="shared" si="14"/>
        <v>3.9710610752269744E-4</v>
      </c>
      <c r="J153" s="14">
        <f t="shared" si="14"/>
        <v>4.5528217856159814E-3</v>
      </c>
      <c r="K153" s="14">
        <f t="shared" si="14"/>
        <v>0.51822788774453066</v>
      </c>
      <c r="L153" s="14">
        <f t="shared" si="14"/>
        <v>6.4468390375083215E-2</v>
      </c>
      <c r="M153" s="14">
        <f t="shared" si="14"/>
        <v>8.1140458141214878E-5</v>
      </c>
      <c r="N153" s="14">
        <f t="shared" si="14"/>
        <v>1.8133740793098072E-4</v>
      </c>
      <c r="O153" s="14">
        <f t="shared" si="14"/>
        <v>4.14258648721783E-5</v>
      </c>
      <c r="Q153" s="15">
        <f>G153+H153+K153</f>
        <v>0.92928388937644746</v>
      </c>
    </row>
    <row r="154" spans="1:19" x14ac:dyDescent="0.25"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Q154" s="15"/>
    </row>
    <row r="155" spans="1:19" x14ac:dyDescent="0.25">
      <c r="C155" t="s">
        <v>81</v>
      </c>
      <c r="E155" s="6">
        <f>AVERAGE(E132:E150)</f>
        <v>10114700.162367905</v>
      </c>
      <c r="F155" s="6">
        <f t="shared" ref="F155:O155" si="15">AVERAGE(F132:F150)</f>
        <v>4491.3457536661281</v>
      </c>
      <c r="G155" s="6">
        <f t="shared" si="15"/>
        <v>4135910.4439256755</v>
      </c>
      <c r="H155" s="6">
        <f t="shared" si="15"/>
        <v>2782169.6829651566</v>
      </c>
      <c r="I155" s="6">
        <f t="shared" si="15"/>
        <v>6478.4583488951121</v>
      </c>
      <c r="J155" s="6">
        <f t="shared" si="15"/>
        <v>10226.403947272247</v>
      </c>
      <c r="K155" s="6">
        <f t="shared" si="15"/>
        <v>2502095.0242493693</v>
      </c>
      <c r="L155" s="6">
        <f t="shared" si="15"/>
        <v>669270.13889363233</v>
      </c>
      <c r="M155" s="6">
        <f t="shared" si="15"/>
        <v>1755.1460748099466</v>
      </c>
      <c r="N155" s="6">
        <f t="shared" si="15"/>
        <v>851.63131134073944</v>
      </c>
      <c r="O155" s="6">
        <f t="shared" si="15"/>
        <v>34.337182113733235</v>
      </c>
      <c r="Q155" s="15"/>
    </row>
    <row r="156" spans="1:19" x14ac:dyDescent="0.25">
      <c r="F156" s="14">
        <f>F155/$E$155</f>
        <v>4.4404141314799791E-4</v>
      </c>
      <c r="G156" s="14">
        <f t="shared" ref="G156:O156" si="16">G155/$E$155</f>
        <v>0.40890094392649173</v>
      </c>
      <c r="H156" s="14">
        <f t="shared" si="16"/>
        <v>0.27506200265988273</v>
      </c>
      <c r="I156" s="14">
        <f t="shared" si="16"/>
        <v>6.4049929754699431E-4</v>
      </c>
      <c r="J156" s="14">
        <f t="shared" si="16"/>
        <v>1.0110437069919226E-3</v>
      </c>
      <c r="K156" s="14">
        <f t="shared" si="16"/>
        <v>0.24737213996303137</v>
      </c>
      <c r="L156" s="14">
        <f t="shared" si="16"/>
        <v>6.6168065108215005E-2</v>
      </c>
      <c r="M156" s="14">
        <f t="shared" si="16"/>
        <v>1.7352428115862781E-4</v>
      </c>
      <c r="N156" s="14">
        <f t="shared" si="16"/>
        <v>8.4197385752398618E-5</v>
      </c>
      <c r="O156" s="14">
        <f t="shared" si="16"/>
        <v>3.3947800293167285E-6</v>
      </c>
      <c r="Q156" t="s">
        <v>82</v>
      </c>
    </row>
    <row r="158" spans="1:19" x14ac:dyDescent="0.25">
      <c r="K158" t="s">
        <v>83</v>
      </c>
      <c r="L158" s="6">
        <v>9939082.9249525592</v>
      </c>
      <c r="M158" t="s">
        <v>84</v>
      </c>
    </row>
    <row r="159" spans="1:19" x14ac:dyDescent="0.25">
      <c r="K159" s="1" t="s">
        <v>85</v>
      </c>
      <c r="L159" s="1"/>
      <c r="M159" s="1"/>
      <c r="N159" s="1"/>
      <c r="O159" s="1"/>
    </row>
    <row r="160" spans="1:19" x14ac:dyDescent="0.25">
      <c r="M160" t="s">
        <v>86</v>
      </c>
    </row>
    <row r="161" spans="11:17" x14ac:dyDescent="0.25">
      <c r="L161" t="s">
        <v>87</v>
      </c>
    </row>
    <row r="162" spans="11:17" x14ac:dyDescent="0.25">
      <c r="K162" t="s">
        <v>88</v>
      </c>
      <c r="L162" s="1">
        <v>2500000</v>
      </c>
      <c r="M162" t="s">
        <v>89</v>
      </c>
      <c r="O162" t="s">
        <v>90</v>
      </c>
    </row>
    <row r="163" spans="11:17" x14ac:dyDescent="0.25">
      <c r="N163" t="s">
        <v>91</v>
      </c>
    </row>
    <row r="175" spans="11:17" x14ac:dyDescent="0.25">
      <c r="K175" t="s">
        <v>92</v>
      </c>
      <c r="L175" s="6">
        <v>766422.78301893803</v>
      </c>
      <c r="M175" t="s">
        <v>93</v>
      </c>
      <c r="N175" s="2">
        <f>L178*K178^M178</f>
        <v>297257.22417070164</v>
      </c>
      <c r="O175" t="s">
        <v>89</v>
      </c>
      <c r="Q175" t="s">
        <v>94</v>
      </c>
    </row>
    <row r="176" spans="11:17" x14ac:dyDescent="0.25">
      <c r="K176" t="s">
        <v>95</v>
      </c>
    </row>
    <row r="178" spans="11:13" x14ac:dyDescent="0.25">
      <c r="K178">
        <v>766423</v>
      </c>
      <c r="L178">
        <v>9.6877999999999993</v>
      </c>
      <c r="M178">
        <v>0.76249999999999996</v>
      </c>
    </row>
    <row r="192" spans="11:13" x14ac:dyDescent="0.25">
      <c r="K192" t="s">
        <v>96</v>
      </c>
      <c r="L192" t="s">
        <v>97</v>
      </c>
    </row>
    <row r="193" spans="11:14" x14ac:dyDescent="0.25">
      <c r="K193" t="s">
        <v>98</v>
      </c>
    </row>
    <row r="194" spans="11:14" x14ac:dyDescent="0.25">
      <c r="K194" t="s">
        <v>99</v>
      </c>
      <c r="N194" t="s">
        <v>100</v>
      </c>
    </row>
    <row r="195" spans="11:14" x14ac:dyDescent="0.25">
      <c r="K195" t="s">
        <v>101</v>
      </c>
    </row>
    <row r="196" spans="11:14" x14ac:dyDescent="0.25">
      <c r="K196" t="s">
        <v>102</v>
      </c>
    </row>
    <row r="197" spans="11:14" x14ac:dyDescent="0.25">
      <c r="K197" t="s">
        <v>103</v>
      </c>
      <c r="L197" s="1">
        <v>1550000</v>
      </c>
      <c r="M197" t="s">
        <v>104</v>
      </c>
    </row>
    <row r="209" spans="3:21" x14ac:dyDescent="0.25">
      <c r="C209" t="s">
        <v>105</v>
      </c>
      <c r="G209" s="1">
        <v>99015</v>
      </c>
    </row>
    <row r="211" spans="3:21" x14ac:dyDescent="0.25">
      <c r="C211">
        <v>1.2</v>
      </c>
      <c r="D211" s="1">
        <v>1550000</v>
      </c>
      <c r="E211" t="s">
        <v>106</v>
      </c>
    </row>
    <row r="212" spans="3:21" x14ac:dyDescent="0.25">
      <c r="C212">
        <v>1.3</v>
      </c>
      <c r="D212" s="1">
        <v>2500000</v>
      </c>
      <c r="E212" t="s">
        <v>107</v>
      </c>
    </row>
    <row r="213" spans="3:21" x14ac:dyDescent="0.25">
      <c r="C213">
        <v>2.2999999999999998</v>
      </c>
      <c r="D213" s="2">
        <v>297257.22417070164</v>
      </c>
      <c r="E213" t="s">
        <v>108</v>
      </c>
    </row>
    <row r="214" spans="3:21" x14ac:dyDescent="0.25">
      <c r="C214" t="s">
        <v>109</v>
      </c>
      <c r="D214" s="1">
        <v>99015</v>
      </c>
      <c r="E214" t="s">
        <v>78</v>
      </c>
    </row>
    <row r="215" spans="3:21" x14ac:dyDescent="0.25">
      <c r="C215" t="s">
        <v>110</v>
      </c>
      <c r="D215" s="1">
        <f>SUM(D211:D214)</f>
        <v>4446272.2241707016</v>
      </c>
      <c r="E215">
        <f>LN(D215)</f>
        <v>15.307576600640115</v>
      </c>
      <c r="H215" t="s">
        <v>111</v>
      </c>
      <c r="L215">
        <f>LN(7380000)</f>
        <v>15.814284196576656</v>
      </c>
      <c r="M215" t="s">
        <v>112</v>
      </c>
    </row>
    <row r="216" spans="3:21" x14ac:dyDescent="0.25">
      <c r="C216" t="s">
        <v>113</v>
      </c>
      <c r="M216" t="s">
        <v>114</v>
      </c>
    </row>
    <row r="217" spans="3:21" x14ac:dyDescent="0.25">
      <c r="C217" t="s">
        <v>115</v>
      </c>
      <c r="H217" t="s">
        <v>116</v>
      </c>
      <c r="N217" t="s">
        <v>117</v>
      </c>
    </row>
    <row r="219" spans="3:21" x14ac:dyDescent="0.25">
      <c r="N219" t="s">
        <v>118</v>
      </c>
      <c r="T219" s="1">
        <f>4800000+SUM(D212:D214)</f>
        <v>7696272.2241707016</v>
      </c>
      <c r="U219" t="s">
        <v>119</v>
      </c>
    </row>
    <row r="220" spans="3:21" x14ac:dyDescent="0.25">
      <c r="T220">
        <f>LN(T219)</f>
        <v>15.856246642865653</v>
      </c>
    </row>
    <row r="221" spans="3:21" x14ac:dyDescent="0.25">
      <c r="M221" t="s">
        <v>120</v>
      </c>
      <c r="T221" t="s">
        <v>121</v>
      </c>
    </row>
    <row r="222" spans="3:21" x14ac:dyDescent="0.25">
      <c r="N222" t="s">
        <v>122</v>
      </c>
    </row>
    <row r="223" spans="3:21" x14ac:dyDescent="0.25">
      <c r="N223" t="s">
        <v>123</v>
      </c>
    </row>
    <row r="224" spans="3:21" x14ac:dyDescent="0.25">
      <c r="M224" t="s">
        <v>124</v>
      </c>
    </row>
    <row r="226" spans="3:11" ht="15.75" thickBot="1" x14ac:dyDescent="0.3"/>
    <row r="227" spans="3:11" x14ac:dyDescent="0.25">
      <c r="C227" s="16" t="s">
        <v>125</v>
      </c>
      <c r="D227" s="17"/>
      <c r="E227" s="17"/>
      <c r="F227" s="17"/>
      <c r="G227" s="17"/>
      <c r="H227" s="17"/>
      <c r="I227" s="17"/>
      <c r="J227" s="17"/>
      <c r="K227" s="18"/>
    </row>
    <row r="228" spans="3:11" x14ac:dyDescent="0.25">
      <c r="C228" s="19">
        <v>1.2</v>
      </c>
      <c r="D228" s="1">
        <v>3269017.3724721107</v>
      </c>
      <c r="E228" t="s">
        <v>126</v>
      </c>
      <c r="K228" s="20"/>
    </row>
    <row r="229" spans="3:11" x14ac:dyDescent="0.25">
      <c r="C229" s="19">
        <v>1.3</v>
      </c>
      <c r="D229" s="1">
        <v>8836799.4271651618</v>
      </c>
      <c r="E229" t="s">
        <v>126</v>
      </c>
      <c r="K229" s="20"/>
    </row>
    <row r="230" spans="3:11" x14ac:dyDescent="0.25">
      <c r="C230" s="19">
        <v>2.2999999999999998</v>
      </c>
      <c r="D230" s="2">
        <v>297257.22417070164</v>
      </c>
      <c r="E230" t="s">
        <v>108</v>
      </c>
      <c r="K230" s="20"/>
    </row>
    <row r="231" spans="3:11" x14ac:dyDescent="0.25">
      <c r="C231" s="19" t="s">
        <v>109</v>
      </c>
      <c r="D231" s="1">
        <v>99015</v>
      </c>
      <c r="E231" t="s">
        <v>78</v>
      </c>
      <c r="K231" s="20"/>
    </row>
    <row r="232" spans="3:11" x14ac:dyDescent="0.25">
      <c r="C232" s="19" t="s">
        <v>110</v>
      </c>
      <c r="D232" s="1">
        <f>SUM(D228:D231)</f>
        <v>12502089.023807975</v>
      </c>
      <c r="E232">
        <f>LN(D232)</f>
        <v>16.341406310213859</v>
      </c>
      <c r="G232" t="s">
        <v>127</v>
      </c>
      <c r="K232" s="20"/>
    </row>
    <row r="233" spans="3:11" ht="15.75" thickBot="1" x14ac:dyDescent="0.3">
      <c r="C233" s="21"/>
      <c r="D233" s="8"/>
      <c r="E233" s="8"/>
      <c r="F233" s="8"/>
      <c r="G233" s="8" t="s">
        <v>128</v>
      </c>
      <c r="H233" s="8"/>
      <c r="I233" s="8"/>
      <c r="J233" s="8"/>
      <c r="K233" s="2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Cors</vt:lpstr>
      <vt:lpstr>ENVIRO</vt:lpstr>
      <vt:lpstr>MAINPRED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MacCall</dc:creator>
  <cp:lastModifiedBy>Alec MacCall</cp:lastModifiedBy>
  <dcterms:created xsi:type="dcterms:W3CDTF">2025-04-29T14:45:27Z</dcterms:created>
  <dcterms:modified xsi:type="dcterms:W3CDTF">2025-05-20T15:46:55Z</dcterms:modified>
</cp:coreProperties>
</file>